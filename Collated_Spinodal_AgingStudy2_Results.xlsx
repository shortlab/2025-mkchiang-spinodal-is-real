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ra\Documents\Papers\Spinodal Paper\TGS\"/>
    </mc:Choice>
  </mc:AlternateContent>
  <xr:revisionPtr revIDLastSave="0" documentId="13_ncr:1_{7BAE4B9B-A6A7-4E9A-9E00-24A471D2F0AF}" xr6:coauthVersionLast="47" xr6:coauthVersionMax="47" xr10:uidLastSave="{00000000-0000-0000-0000-000000000000}"/>
  <bookViews>
    <workbookView xWindow="2784" yWindow="228" windowWidth="20340" windowHeight="8880" xr2:uid="{FF51E5C7-DDE3-47D2-9BF9-B7EA4E1A7D1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F15" i="1"/>
  <c r="V2" i="1" l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6" i="1"/>
  <c r="W98" i="1"/>
  <c r="W99" i="1"/>
  <c r="W100" i="1"/>
  <c r="U56" i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2" i="1"/>
  <c r="U3" i="1"/>
  <c r="V3" i="1" s="1"/>
  <c r="U4" i="1" l="1"/>
  <c r="AF7" i="1"/>
  <c r="AF3" i="1"/>
  <c r="AF5" i="1"/>
  <c r="AF6" i="1"/>
  <c r="AF8" i="1"/>
  <c r="AF11" i="1" s="1"/>
  <c r="AF14" i="1" s="1"/>
  <c r="AF4" i="1"/>
  <c r="V4" i="1" l="1"/>
  <c r="U5" i="1"/>
  <c r="AF9" i="1"/>
  <c r="AF12" i="1" s="1"/>
  <c r="AF10" i="1"/>
  <c r="AF13" i="1" s="1"/>
  <c r="V5" i="1" l="1"/>
  <c r="U6" i="1"/>
  <c r="U7" i="1" l="1"/>
  <c r="V6" i="1"/>
  <c r="U8" i="1" l="1"/>
  <c r="V7" i="1"/>
  <c r="U9" i="1" l="1"/>
  <c r="V8" i="1"/>
  <c r="U10" i="1" l="1"/>
  <c r="V9" i="1"/>
  <c r="U11" i="1" l="1"/>
  <c r="V10" i="1"/>
  <c r="U12" i="1" l="1"/>
  <c r="V11" i="1"/>
  <c r="U13" i="1" l="1"/>
  <c r="V12" i="1"/>
  <c r="U14" i="1" l="1"/>
  <c r="V13" i="1"/>
  <c r="U15" i="1" l="1"/>
  <c r="V14" i="1"/>
  <c r="U16" i="1" l="1"/>
  <c r="V15" i="1"/>
  <c r="U17" i="1" l="1"/>
  <c r="V16" i="1"/>
  <c r="U18" i="1" l="1"/>
  <c r="V17" i="1"/>
  <c r="U19" i="1" l="1"/>
  <c r="V18" i="1"/>
  <c r="U20" i="1" l="1"/>
  <c r="V19" i="1"/>
  <c r="U21" i="1" l="1"/>
  <c r="V20" i="1"/>
  <c r="U22" i="1" l="1"/>
  <c r="V21" i="1"/>
  <c r="U23" i="1" l="1"/>
  <c r="V22" i="1"/>
  <c r="U24" i="1" l="1"/>
  <c r="V23" i="1"/>
  <c r="U25" i="1" l="1"/>
  <c r="V24" i="1"/>
  <c r="V25" i="1" l="1"/>
  <c r="U26" i="1"/>
  <c r="U27" i="1" l="1"/>
  <c r="V26" i="1"/>
  <c r="U28" i="1" l="1"/>
  <c r="V27" i="1"/>
  <c r="U29" i="1" l="1"/>
  <c r="V28" i="1"/>
  <c r="U30" i="1" l="1"/>
  <c r="V29" i="1"/>
  <c r="U31" i="1" l="1"/>
  <c r="V30" i="1"/>
  <c r="U32" i="1" l="1"/>
  <c r="V31" i="1"/>
  <c r="U33" i="1" l="1"/>
  <c r="V32" i="1"/>
  <c r="U34" i="1" l="1"/>
  <c r="V33" i="1"/>
  <c r="U35" i="1" l="1"/>
  <c r="V34" i="1"/>
  <c r="U36" i="1" l="1"/>
  <c r="V35" i="1"/>
  <c r="U37" i="1" l="1"/>
  <c r="V36" i="1"/>
  <c r="U38" i="1" l="1"/>
  <c r="V37" i="1"/>
  <c r="U39" i="1" l="1"/>
  <c r="V38" i="1"/>
  <c r="U40" i="1" l="1"/>
  <c r="V39" i="1"/>
  <c r="U41" i="1" l="1"/>
  <c r="V40" i="1"/>
  <c r="U42" i="1" l="1"/>
  <c r="V41" i="1"/>
  <c r="U43" i="1" l="1"/>
  <c r="V42" i="1"/>
  <c r="U44" i="1" l="1"/>
  <c r="V43" i="1"/>
  <c r="U45" i="1" l="1"/>
  <c r="V44" i="1"/>
  <c r="U46" i="1" l="1"/>
  <c r="V45" i="1"/>
  <c r="U47" i="1" l="1"/>
  <c r="V46" i="1"/>
  <c r="U48" i="1" l="1"/>
  <c r="V47" i="1"/>
  <c r="U49" i="1" l="1"/>
  <c r="V48" i="1"/>
  <c r="U50" i="1" l="1"/>
  <c r="V49" i="1"/>
  <c r="V50" i="1" l="1"/>
  <c r="U51" i="1"/>
  <c r="U52" i="1" l="1"/>
  <c r="V51" i="1"/>
  <c r="U53" i="1" l="1"/>
  <c r="V52" i="1"/>
  <c r="U54" i="1" l="1"/>
  <c r="V54" i="1" s="1"/>
  <c r="V53" i="1"/>
</calcChain>
</file>

<file path=xl/sharedStrings.xml><?xml version="1.0" encoding="utf-8"?>
<sst xmlns="http://schemas.openxmlformats.org/spreadsheetml/2006/main" count="389" uniqueCount="240">
  <si>
    <t>run_name</t>
  </si>
  <si>
    <t>date_time</t>
  </si>
  <si>
    <t>grating_value[um]</t>
  </si>
  <si>
    <t>SAW_freq[Hz]</t>
  </si>
  <si>
    <t>SAW_freq_error[Hz]</t>
  </si>
  <si>
    <t>A[Wm^-2]</t>
  </si>
  <si>
    <t>A_err[Wm^-2]</t>
  </si>
  <si>
    <t>alpha[m^2s^-1]</t>
  </si>
  <si>
    <t>alpha_err[m^2s^-1]</t>
  </si>
  <si>
    <t>beta[s^0.5]</t>
  </si>
  <si>
    <t>beta_err[s^0.5]</t>
  </si>
  <si>
    <t>B[Wm^-2]</t>
  </si>
  <si>
    <t>B_err[Wm^-2]</t>
  </si>
  <si>
    <t>theta</t>
  </si>
  <si>
    <t>theta_err</t>
  </si>
  <si>
    <t>tau[s]</t>
  </si>
  <si>
    <t>tau_err[s]</t>
  </si>
  <si>
    <t>C[Wm^-2]</t>
  </si>
  <si>
    <t>C_err[Wm^-2]</t>
  </si>
  <si>
    <t>C:\Users\maxra\Documents\Papers\Spinodal Paper\TGS\Fe36Cr_500C_10hr_AgingStudy2\2026-02-27\Fe36Cr_500C_10hr_AgingStudy2_2026-02-27_6.4_0deg-POS-1.txt</t>
  </si>
  <si>
    <t>2026_02_27_15:19:36</t>
  </si>
  <si>
    <t>NaN</t>
  </si>
  <si>
    <t>C:\Users\maxra\Documents\Papers\Spinodal Paper\TGS\Fe36Cr_500C_10hr_AgingStudy2\2026-02-27\Fe36Cr_500C_10hr_AgingStudy2_2026-02-27_6.4_4deg-POS-1.txt</t>
  </si>
  <si>
    <t>2026_02_27_15:20:23</t>
  </si>
  <si>
    <t>C:\Users\maxra\Documents\Papers\Spinodal Paper\TGS\Fe36Cr_500C_10hr_AgingStudy2\2026-02-27\Fe36Cr_500C_10hr_AgingStudy2_2026-02-27_6.4_8deg-POS-1.txt</t>
  </si>
  <si>
    <t>2026_02_27_15:23:43</t>
  </si>
  <si>
    <t>C:\Users\maxra\Documents\Papers\Spinodal Paper\TGS\Fe36Cr_500C_10hr_AgingStudy2\2026-02-27\Fe36Cr_500C_10hr_AgingStudy2_2026-02-27_6.4_12deg-POS-1.txt</t>
  </si>
  <si>
    <t>2026_02_27_15:25:24</t>
  </si>
  <si>
    <t>C:\Users\maxra\Documents\Papers\Spinodal Paper\TGS\Fe36Cr_500C_10hr_AgingStudy2\2026-02-27\Fe36Cr_500C_10hr_AgingStudy2_2026-02-27_6.4_16deg-POS-1.txt</t>
  </si>
  <si>
    <t>2026_02_27_15:26:22</t>
  </si>
  <si>
    <t>C:\Users\maxra\Documents\Papers\Spinodal Paper\TGS\Fe36Cr_500C_10hr_AgingStudy2\2026-02-27\Fe36Cr_500C_10hr_AgingStudy2_2026-02-27_6.4_20deg-POS-1.txt</t>
  </si>
  <si>
    <t>2026_02_27_15:27:27</t>
  </si>
  <si>
    <t>C:\Users\maxra\Documents\Papers\Spinodal Paper\TGS\Fe36Cr_500C_10hr_AgingStudy2\2026-02-27\Fe36Cr_500C_10hr_AgingStudy2_2026-02-27_6.4_24deg-POS-1.txt</t>
  </si>
  <si>
    <t>2026_02_27_15:33:03</t>
  </si>
  <si>
    <t>C:\Users\maxra\Documents\Papers\Spinodal Paper\TGS\Fe36Cr_500C_10hr_AgingStudy2\2026-02-27\Fe36Cr_500C_10hr_AgingStudy2_2026-02-27_6.4_28deg-POS-1.txt</t>
  </si>
  <si>
    <t>2026_02_27_15:35:58</t>
  </si>
  <si>
    <t>C:\Users\maxra\Documents\Papers\Spinodal Paper\TGS\Fe36Cr_500C_10hr_AgingStudy2\2026-02-27\Fe36Cr_500C_10hr_AgingStudy2_2026-02-27_6.4_32deg-POS-1.txt</t>
  </si>
  <si>
    <t>2026_02_27_15:37:23</t>
  </si>
  <si>
    <t>C:\Users\maxra\Documents\Papers\Spinodal Paper\TGS\Fe36Cr_500C_10hr_AgingStudy2\2026-02-27\Fe36Cr_500C_10hr_AgingStudy2_2026-02-27_6.4_36deg-POS-1.txt</t>
  </si>
  <si>
    <t>2026_02_27_15:38:51</t>
  </si>
  <si>
    <t>C:\Users\maxra\Documents\Papers\Spinodal Paper\TGS\Fe36Cr_500C_10hr_AgingStudy2\2026-02-27\Fe36Cr_500C_10hr_AgingStudy2_2026-02-27_6.4_40deg-POS-1.txt</t>
  </si>
  <si>
    <t>2026_02_27_15:39:38</t>
  </si>
  <si>
    <t>C:\Users\maxra\Documents\Papers\Spinodal Paper\TGS\Fe36Cr_500C_10hr_AgingStudy2\2026-02-27\Fe36Cr_500C_10hr_AgingStudy2_2026-02-27_6.4_44deg-POS-1.txt</t>
  </si>
  <si>
    <t>2026_02_27_15:41:20</t>
  </si>
  <si>
    <t>C:\Users\maxra\Documents\Papers\Spinodal Paper\TGS\Fe36Cr_500C_10hr_AgingStudy2\2026-02-27\Fe36Cr_500C_10hr_AgingStudy2_2026-02-27_6.4_48deg-POS-1.txt</t>
  </si>
  <si>
    <t>2026_02_27_15:42:51</t>
  </si>
  <si>
    <t>C:\Users\maxra\Documents\Papers\Spinodal Paper\TGS\Fe36Cr_500C_10hr_AgingStudy2\2026-02-27\Fe36Cr_500C_10hr_AgingStudy2_2026-02-27_6.4_52deg-POS-1.txt</t>
  </si>
  <si>
    <t>2026_02_27_15:46:12</t>
  </si>
  <si>
    <t>C:\Users\maxra\Documents\Papers\Spinodal Paper\TGS\Fe36Cr_500C_10hr_AgingStudy2\2026-02-27\Fe36Cr_500C_10hr_AgingStudy2_2026-02-27_6.4_56deg-POS-1.txt</t>
  </si>
  <si>
    <t>2026_02_27_15:47:21</t>
  </si>
  <si>
    <t>C:\Users\maxra\Documents\Papers\Spinodal Paper\TGS\Fe36Cr_500C_10hr_AgingStudy2\2026-02-27\Fe36Cr_500C_10hr_AgingStudy2_2026-02-27_6.4_60deg-POS-1.txt</t>
  </si>
  <si>
    <t>2026_02_27_15:48:45</t>
  </si>
  <si>
    <t>C:\Users\maxra\Documents\Papers\Spinodal Paper\TGS\Fe36Cr_500C_10hr_AgingStudy2\2026-02-27\Fe36Cr_500C_10hr_AgingStudy2_2026-02-27_6.4_64deg-POS-1.txt</t>
  </si>
  <si>
    <t>2026_02_27_15:53:34</t>
  </si>
  <si>
    <t>C:\Users\maxra\Documents\Papers\Spinodal Paper\TGS\Fe36Cr_500C_10hr_AgingStudy2\2026-02-27\Fe36Cr_500C_10hr_AgingStudy2_2026-02-27_6.4_68deg-POS-1.txt</t>
  </si>
  <si>
    <t>2026_02_27_15:54:39</t>
  </si>
  <si>
    <t>C:\Users\maxra\Documents\Papers\Spinodal Paper\TGS\Fe36Cr_500C_10hr_AgingStudy2\2026-02-27\Fe36Cr_500C_10hr_AgingStudy2_2026-02-27_6.4_72deg-POS-1.txt</t>
  </si>
  <si>
    <t>2026_02_27_15:55:43</t>
  </si>
  <si>
    <t>C:\Users\maxra\Documents\Papers\Spinodal Paper\TGS\Fe36Cr_500C_10hr_AgingStudy2\2026-02-27\Fe36Cr_500C_10hr_AgingStudy2_2026-02-27_6.4_76deg-POS-1.txt</t>
  </si>
  <si>
    <t>2026_02_27_15:56:24</t>
  </si>
  <si>
    <t>C:\Users\maxra\Documents\Papers\Spinodal Paper\TGS\Fe36Cr_500C_10hr_AgingStudy2\2026-02-27\Fe36Cr_500C_10hr_AgingStudy2_2026-02-27_6.4_80deg-POS-1.txt</t>
  </si>
  <si>
    <t>2026_02_27_16:00:01</t>
  </si>
  <si>
    <t>C:\Users\maxra\Documents\Papers\Spinodal Paper\TGS\Fe36Cr_500C_10hr_AgingStudy2\2026-02-27\Fe36Cr_500C_10hr_AgingStudy2_2026-02-27_6.4_84deg-POS-1.txt</t>
  </si>
  <si>
    <t>2026_02_27_16:03:16</t>
  </si>
  <si>
    <t>C:\Users\maxra\Documents\Papers\Spinodal Paper\TGS\Fe36Cr_500C_10hr_AgingStudy2\2026-02-27\Fe36Cr_500C_10hr_AgingStudy2_2026-02-27_6.4_88deg-POS-1.txt</t>
  </si>
  <si>
    <t>2026_02_27_16:04:23</t>
  </si>
  <si>
    <t>C:\Users\maxra\Documents\Papers\Spinodal Paper\TGS\Fe36Cr_500C_10hr_AgingStudy2\2026-02-27\Fe36Cr_500C_10hr_AgingStudy2_2026-02-27_6.4_92deg-POS-1.txt</t>
  </si>
  <si>
    <t>2026_02_27_16:05:57</t>
  </si>
  <si>
    <t>C:\Users\maxra\Documents\Papers\Spinodal Paper\TGS\Fe36Cr_500C_10hr_AgingStudy2\2026-02-27\Fe36Cr_500C_10hr_AgingStudy2_2026-02-27_6.4_96deg-POS-1.txt</t>
  </si>
  <si>
    <t>2026_02_27_16:06:33</t>
  </si>
  <si>
    <t>C:\Users\maxra\Documents\Papers\Spinodal Paper\TGS\Fe36Cr_500C_10hr_AgingStudy2\2026-02-27\Fe36Cr_500C_10hr_AgingStudy2_2026-02-27_6.4_100deg-POS-1.txt</t>
  </si>
  <si>
    <t>2026_02_27_16:07:14</t>
  </si>
  <si>
    <t>C:\Users\maxra\Documents\Papers\Spinodal Paper\TGS\Fe36Cr_500C_10hr_AgingStudy2\2026-02-27\Fe36Cr_500C_10hr_AgingStudy2_2026-02-27_6.4_104deg-POS-1.txt</t>
  </si>
  <si>
    <t>2026_02_27_16:09:24</t>
  </si>
  <si>
    <t>C:\Users\maxra\Documents\Papers\Spinodal Paper\TGS\Fe36Cr_500C_10hr_AgingStudy2\2026-02-27\Fe36Cr_500C_10hr_AgingStudy2_2026-02-27_6.4_108deg-POS-1.txt</t>
  </si>
  <si>
    <t>2026_02_27_16:10:26</t>
  </si>
  <si>
    <t>C:\Users\maxra\Documents\Papers\Spinodal Paper\TGS\Fe36Cr_500C_10hr_AgingStudy2\2026-02-27\Fe36Cr_500C_10hr_AgingStudy2_2026-02-27_6.4_112deg-POS-1.txt</t>
  </si>
  <si>
    <t>2026_02_27_16:11:13</t>
  </si>
  <si>
    <t>C:\Users\maxra\Documents\Papers\Spinodal Paper\TGS\Fe36Cr_500C_10hr_AgingStudy2\2026-02-27\Fe36Cr_500C_10hr_AgingStudy2_2026-02-27_6.4_116deg-POS-1.txt</t>
  </si>
  <si>
    <t>2026_02_27_16:11:49</t>
  </si>
  <si>
    <t>C:\Users\maxra\Documents\Papers\Spinodal Paper\TGS\Fe36Cr_500C_10hr_AgingStudy2\2026-02-27\Fe36Cr_500C_10hr_AgingStudy2_2026-02-27_6.4_120deg-POS-1.txt</t>
  </si>
  <si>
    <t>2026_02_27_16:15:30</t>
  </si>
  <si>
    <t>C:\Users\maxra\Documents\Papers\Spinodal Paper\TGS\Fe36Cr_500C_10hr_AgingStudy2\2026-02-27\Fe36Cr_500C_10hr_AgingStudy2_2026-02-27_6.4_124deg-POS-1.txt</t>
  </si>
  <si>
    <t>2026_02_27_16:16:56</t>
  </si>
  <si>
    <t>C:\Users\maxra\Documents\Papers\Spinodal Paper\TGS\Fe36Cr_500C_10hr_AgingStudy2\2026-02-27\Fe36Cr_500C_10hr_AgingStudy2_2026-02-27_6.4_128deg-POS-1.txt</t>
  </si>
  <si>
    <t>2026_02_27_16:18:12</t>
  </si>
  <si>
    <t>C:\Users\maxra\Documents\Papers\Spinodal Paper\TGS\Fe36Cr_500C_10hr_AgingStudy2\2026-02-27\Fe36Cr_500C_10hr_AgingStudy2_2026-02-27_6.4_132deg-POS-1.txt</t>
  </si>
  <si>
    <t>2026_02_27_16:19:22</t>
  </si>
  <si>
    <t>C:\Users\maxra\Documents\Papers\Spinodal Paper\TGS\Fe36Cr_500C_10hr_AgingStudy2\2026-02-27\Fe36Cr_500C_10hr_AgingStudy2_2026-02-27_6.4_136deg-POS-1.txt</t>
  </si>
  <si>
    <t>2026_02_27_16:20:36</t>
  </si>
  <si>
    <t>C:\Users\maxra\Documents\Papers\Spinodal Paper\TGS\Fe36Cr_500C_10hr_AgingStudy2\2026-02-27\Fe36Cr_500C_10hr_AgingStudy2_2026-02-27_6.4_140deg-POS-1.txt</t>
  </si>
  <si>
    <t>2026_02_27_16:21:15</t>
  </si>
  <si>
    <t>C:\Users\maxra\Documents\Papers\Spinodal Paper\TGS\Fe36Cr_500C_10hr_AgingStudy2\2026-02-27\Fe36Cr_500C_10hr_AgingStudy2_2026-02-27_6.4_144deg-POS-1.txt</t>
  </si>
  <si>
    <t>2026_02_27_16:22:17</t>
  </si>
  <si>
    <t>C:\Users\maxra\Documents\Papers\Spinodal Paper\TGS\Fe36Cr_500C_10hr_AgingStudy2\2026-02-27\Fe36Cr_500C_10hr_AgingStudy2_2026-02-27_6.4_148deg-POS-1.txt</t>
  </si>
  <si>
    <t>2026_02_27_16:22:59</t>
  </si>
  <si>
    <t>C:\Users\maxra\Documents\Papers\Spinodal Paper\TGS\Fe36Cr_500C_10hr_AgingStudy2\2026-02-27\Fe36Cr_500C_10hr_AgingStudy2_2026-02-27_6.4_152deg-POS-1.txt</t>
  </si>
  <si>
    <t>2026_02_27_16:25:12</t>
  </si>
  <si>
    <t>C:\Users\maxra\Documents\Papers\Spinodal Paper\TGS\Fe36Cr_500C_10hr_AgingStudy2\2026-02-27\Fe36Cr_500C_10hr_AgingStudy2_2026-02-27_6.4_156deg-POS-1.txt</t>
  </si>
  <si>
    <t>2026_02_27_16:26:16</t>
  </si>
  <si>
    <t>C:\Users\maxra\Documents\Papers\Spinodal Paper\TGS\Fe36Cr_500C_10hr_AgingStudy2\2026-02-27\Fe36Cr_500C_10hr_AgingStudy2_2026-02-27_6.4_160deg-POS-1.txt</t>
  </si>
  <si>
    <t>2026_02_27_16:26:49</t>
  </si>
  <si>
    <t>C:\Users\maxra\Documents\Papers\Spinodal Paper\TGS\Fe36Cr_500C_10hr_AgingStudy2\2026-02-27\Fe36Cr_500C_10hr_AgingStudy2_2026-02-27_6.4_164deg-POS-1.txt</t>
  </si>
  <si>
    <t>2026_02_27_16:28:17</t>
  </si>
  <si>
    <t>C:\Users\maxra\Documents\Papers\Spinodal Paper\TGS\Fe36Cr_500C_10hr_AgingStudy2\2026-02-27\Fe36Cr_500C_10hr_AgingStudy2_2026-02-27_6.4_168deg-POS-1.txt</t>
  </si>
  <si>
    <t>2026_02_27_16:29:25</t>
  </si>
  <si>
    <t>C:\Users\maxra\Documents\Papers\Spinodal Paper\TGS\Fe36Cr_500C_10hr_AgingStudy2\2026-02-27\Fe36Cr_500C_10hr_AgingStudy2_2026-02-27_6.4_172deg-POS-1.txt</t>
  </si>
  <si>
    <t>2026_02_27_16:30:15</t>
  </si>
  <si>
    <t>C:\Users\maxra\Documents\Papers\Spinodal Paper\TGS\Fe36Cr_500C_10hr_AgingStudy2\2026-02-27\Fe36Cr_500C_10hr_AgingStudy2_2026-02-27_6.4_176deg-POS-1.txt</t>
  </si>
  <si>
    <t>2026_02_27_16:31:26</t>
  </si>
  <si>
    <t>C:\Users\maxra\Documents\Papers\Spinodal Paper\TGS\Fe36Cr_500C_10hr_AgingStudy2\2026-02-27\Fe36Cr_500C_10hr_AgingStudy2_2026-02-27_6.4_180deg-POS-1.txt</t>
  </si>
  <si>
    <t>2026_02_27_16:32:37</t>
  </si>
  <si>
    <t>C:\Users\maxra\Documents\Papers\Spinodal Paper\TGS\Fe36Cr_500C_10hr_AgingStudy2\2026-02-27\Fe36Cr_500C_10hr_AgingStudy2_2026-02-27_6.4_184deg-POS-1.txt</t>
  </si>
  <si>
    <t>2026_02_27_16:33:29</t>
  </si>
  <si>
    <t>C:\Users\maxra\Documents\Papers\Spinodal Paper\TGS\Fe36Cr_500C_10hr_AgingStudy2\2026-02-27\Fe36Cr_500C_10hr_AgingStudy2_2026-02-27_6.4_188deg-POS-1.txt</t>
  </si>
  <si>
    <t>2026_02_27_16:36:07</t>
  </si>
  <si>
    <t>C:\Users\maxra\Documents\Papers\Spinodal Paper\TGS\Fe36Cr_500C_10hr_AgingStudy2\2026-02-27\Fe36Cr_500C_10hr_AgingStudy2_2026-02-27_6.4_192deg-POS-1.txt</t>
  </si>
  <si>
    <t>2026_02_27_16:37:08</t>
  </si>
  <si>
    <t>C:\Users\maxra\Documents\Papers\Spinodal Paper\TGS\Fe36Cr_500C_10hr_AgingStudy2\2026-02-27\Fe36Cr_500C_10hr_AgingStudy2_2026-02-27_6.4_196deg-POS-1.txt</t>
  </si>
  <si>
    <t>2026_02_27_16:38:47</t>
  </si>
  <si>
    <t>C:\Users\maxra\Documents\Papers\Spinodal Paper\TGS\Fe36Cr_500C_10hr_AgingStudy2\2026-02-27\Fe36Cr_500C_10hr_AgingStudy2_2026-02-27_6.4_200deg-POS-1.txt</t>
  </si>
  <si>
    <t>2026_02_27_16:39:26</t>
  </si>
  <si>
    <t>C:\Users\maxra\Documents\Papers\Spinodal Paper\TGS\Fe36Cr_500C_10hr_AgingStudy2\2026-02-27\Fe36Cr_500C_10hr_AgingStudy2_2026-02-27_6.4_204deg-POS-1.txt</t>
  </si>
  <si>
    <t>2026_02_27_16:40:15</t>
  </si>
  <si>
    <t>C:\Users\maxra\Documents\Papers\Spinodal Paper\TGS\Fe36Cr_500C_10hr_AgingStudy2\2026-02-27\Fe36Cr_500C_10hr_AgingStudy2_2026-02-27_6.4_208deg-POS-1.txt</t>
  </si>
  <si>
    <t>2026_02_27_16:42:23</t>
  </si>
  <si>
    <t>Aging Time at Temp</t>
  </si>
  <si>
    <t>500C, 10hr</t>
  </si>
  <si>
    <t>Degrees</t>
  </si>
  <si>
    <t>Shifted Degrees</t>
  </si>
  <si>
    <t>SAW Speed [m/s]</t>
  </si>
  <si>
    <t>C:\Users\maxra\Documents\Papers\Spinodal Paper\TGS\Fe36Cr_HT1000C_2hr_VibPolish\2026-02-07\Fe36Cr_HT1000C_2hr_VibPolish_2026-02-07_6.4_0deg-POS-1.txt</t>
  </si>
  <si>
    <t>2026_02_07_11:25:38</t>
  </si>
  <si>
    <t>C:\Users\maxra\Documents\Papers\Spinodal Paper\TGS\Fe36Cr_HT1000C_2hr_VibPolish\2026-02-07\Fe36Cr_HT1000C_2hr_VibPolish_2026-02-07_6.4_4deg-POS-1.txt</t>
  </si>
  <si>
    <t>2026_02_07_11:27:50</t>
  </si>
  <si>
    <t>C:\Users\maxra\Documents\Papers\Spinodal Paper\TGS\Fe36Cr_HT1000C_2hr_VibPolish\2026-02-07\Fe36Cr_HT1000C_2hr_VibPolish_2026-02-07_6.4_8deg-POS-1.txt</t>
  </si>
  <si>
    <t>2026_02_07_11:28:38</t>
  </si>
  <si>
    <t>C:\Users\maxra\Documents\Papers\Spinodal Paper\TGS\Fe36Cr_HT1000C_2hr_VibPolish\2026-02-07\Fe36Cr_HT1000C_2hr_VibPolish_2026-02-07_6.4_12deg-POS-1.txt</t>
  </si>
  <si>
    <t>2026_02_07_11:31:25</t>
  </si>
  <si>
    <t>C:\Users\maxra\Documents\Papers\Spinodal Paper\TGS\Fe36Cr_HT1000C_2hr_VibPolish\2026-02-07\Fe36Cr_HT1000C_2hr_VibPolish_2026-02-07_6.4_16deg-POS-1.txt</t>
  </si>
  <si>
    <t>2026_02_07_11:34:37</t>
  </si>
  <si>
    <t>C:\Users\maxra\Documents\Papers\Spinodal Paper\TGS\Fe36Cr_HT1000C_2hr_VibPolish\2026-02-07\Fe36Cr_HT1000C_2hr_VibPolish_2026-02-07_6.4_20deg-POS-1.txt</t>
  </si>
  <si>
    <t>2026_02_07_11:36:22</t>
  </si>
  <si>
    <t>C:\Users\maxra\Documents\Papers\Spinodal Paper\TGS\Fe36Cr_HT1000C_2hr_VibPolish\2026-02-07\Fe36Cr_HT1000C_2hr_VibPolish_2026-02-07_6.4_24deg-POS-1.txt</t>
  </si>
  <si>
    <t>2026_02_07_11:37:45</t>
  </si>
  <si>
    <t>C:\Users\maxra\Documents\Papers\Spinodal Paper\TGS\Fe36Cr_HT1000C_2hr_VibPolish\2026-02-07\Fe36Cr_HT1000C_2hr_VibPolish_2026-02-07_6.4_28deg-POS-1.txt</t>
  </si>
  <si>
    <t>2026_02_07_11:40:23</t>
  </si>
  <si>
    <t>C:\Users\maxra\Documents\Papers\Spinodal Paper\TGS\Fe36Cr_HT1000C_2hr_VibPolish\2026-02-07\Fe36Cr_HT1000C_2hr_VibPolish_2026-02-07_6.4_32deg-POS-1.txt</t>
  </si>
  <si>
    <t>2026_02_07_11:42:03</t>
  </si>
  <si>
    <t>C:\Users\maxra\Documents\Papers\Spinodal Paper\TGS\Fe36Cr_HT1000C_2hr_VibPolish\2026-02-07\Fe36Cr_HT1000C_2hr_VibPolish_2026-02-07_6.4_36deg-POS-1.txt</t>
  </si>
  <si>
    <t>2026_02_07_11:46:37</t>
  </si>
  <si>
    <t>C:\Users\maxra\Documents\Papers\Spinodal Paper\TGS\Fe36Cr_HT1000C_2hr_VibPolish\2026-02-07\Fe36Cr_HT1000C_2hr_VibPolish_2026-02-07_6.4_40deg-POS-1.txt</t>
  </si>
  <si>
    <t>2026_02_07_11:48:40</t>
  </si>
  <si>
    <t>C:\Users\maxra\Documents\Papers\Spinodal Paper\TGS\Fe36Cr_HT1000C_2hr_VibPolish\2026-02-07\Fe36Cr_HT1000C_2hr_VibPolish_2026-02-07_6.4_44deg-POS-1.txt</t>
  </si>
  <si>
    <t>2026_02_07_11:53:34</t>
  </si>
  <si>
    <t>C:\Users\maxra\Documents\Papers\Spinodal Paper\TGS\Fe36Cr_HT1000C_2hr_VibPolish\2026-02-07\Fe36Cr_HT1000C_2hr_VibPolish_2026-02-07_6.4_48deg-POS-1.txt</t>
  </si>
  <si>
    <t>2026_02_07_12:10:31</t>
  </si>
  <si>
    <t>C:\Users\maxra\Documents\Papers\Spinodal Paper\TGS\Fe36Cr_HT1000C_2hr_VibPolish\2026-02-07\Fe36Cr_HT1000C_2hr_VibPolish_2026-02-07_6.4_52deg-POS-1.txt</t>
  </si>
  <si>
    <t>2026_02_07_12:12:42</t>
  </si>
  <si>
    <t>C:\Users\maxra\Documents\Papers\Spinodal Paper\TGS\Fe36Cr_HT1000C_2hr_VibPolish\2026-02-07\Fe36Cr_HT1000C_2hr_VibPolish_2026-02-07_6.4_56deg-POS-1.txt</t>
  </si>
  <si>
    <t>2026_02_07_12:13:40</t>
  </si>
  <si>
    <t>C:\Users\maxra\Documents\Papers\Spinodal Paper\TGS\Fe36Cr_HT1000C_2hr_VibPolish\2026-02-07\Fe36Cr_HT1000C_2hr_VibPolish_2026-02-07_6.4_60deg-POS-1.txt</t>
  </si>
  <si>
    <t>2026_02_07_12:15:30</t>
  </si>
  <si>
    <t>C:\Users\maxra\Documents\Papers\Spinodal Paper\TGS\Fe36Cr_HT1000C_2hr_VibPolish\2026-02-07\Fe36Cr_HT1000C_2hr_VibPolish_2026-02-07_6.4_64deg-POS-1.txt</t>
  </si>
  <si>
    <t>2026_02_07_12:16:50</t>
  </si>
  <si>
    <t>C:\Users\maxra\Documents\Papers\Spinodal Paper\TGS\Fe36Cr_HT1000C_2hr_VibPolish\2026-02-07\Fe36Cr_HT1000C_2hr_VibPolish_2026-02-07_6.4_68deg-POS-1.txt</t>
  </si>
  <si>
    <t>2026_02_07_12:18:10</t>
  </si>
  <si>
    <t>C:\Users\maxra\Documents\Papers\Spinodal Paper\TGS\Fe36Cr_HT1000C_2hr_VibPolish\2026-02-07\Fe36Cr_HT1000C_2hr_VibPolish_2026-02-07_6.4_72deg-POS-1.txt</t>
  </si>
  <si>
    <t>2026_02_07_12:21:09</t>
  </si>
  <si>
    <t>C:\Users\maxra\Documents\Papers\Spinodal Paper\TGS\Fe36Cr_HT1000C_2hr_VibPolish\2026-02-07\Fe36Cr_HT1000C_2hr_VibPolish_2026-02-07_6.4_76deg-POS-1.txt</t>
  </si>
  <si>
    <t>2026_02_07_12:27:36</t>
  </si>
  <si>
    <t>C:\Users\maxra\Documents\Papers\Spinodal Paper\TGS\Fe36Cr_HT1000C_2hr_VibPolish\2026-02-07\Fe36Cr_HT1000C_2hr_VibPolish_2026-02-07_6.4_80deg-POS-1.txt</t>
  </si>
  <si>
    <t>2026_02_07_12:30:31</t>
  </si>
  <si>
    <t>C:\Users\maxra\Documents\Papers\Spinodal Paper\TGS\Fe36Cr_HT1000C_2hr_VibPolish\2026-02-07\Fe36Cr_HT1000C_2hr_VibPolish_2026-02-07_6.4_84deg-POS-1.txt</t>
  </si>
  <si>
    <t>2026_02_07_12:33:32</t>
  </si>
  <si>
    <t>C:\Users\maxra\Documents\Papers\Spinodal Paper\TGS\Fe36Cr_HT1000C_2hr_VibPolish\2026-02-07\Fe36Cr_HT1000C_2hr_VibPolish_2026-02-07_6.4_88deg-POS-1.txt</t>
  </si>
  <si>
    <t>2026_02_07_12:41:06</t>
  </si>
  <si>
    <t>C:\Users\maxra\Documents\Papers\Spinodal Paper\TGS\Fe36Cr_HT1000C_2hr_VibPolish\2026-02-07\Fe36Cr_HT1000C_2hr_VibPolish_2026-02-07_6.4_92deg-POS-1.txt</t>
  </si>
  <si>
    <t>2026_02_07_12:43:59</t>
  </si>
  <si>
    <t>C:\Users\maxra\Documents\Papers\Spinodal Paper\TGS\Fe36Cr_HT1000C_2hr_VibPolish\2026-02-07\Fe36Cr_HT1000C_2hr_VibPolish_2026-02-07_6.4_96deg-POS-1.txt</t>
  </si>
  <si>
    <t>2026_02_07_12:46:50</t>
  </si>
  <si>
    <t>C:\Users\maxra\Documents\Papers\Spinodal Paper\TGS\Fe36Cr_HT1000C_2hr_VibPolish\2026-02-07\Fe36Cr_HT1000C_2hr_VibPolish_2026-02-07_6.4_100deg-POS-1.txt</t>
  </si>
  <si>
    <t>2026_02_07_12:49:40</t>
  </si>
  <si>
    <t>C:\Users\maxra\Documents\Papers\Spinodal Paper\TGS\Fe36Cr_HT1000C_2hr_VibPolish\2026-02-07\Fe36Cr_HT1000C_2hr_VibPolish_2026-02-07_6.4_104deg-POS-1.txt</t>
  </si>
  <si>
    <t>2026_02_07_12:50:56</t>
  </si>
  <si>
    <t>C:\Users\maxra\Documents\Papers\Spinodal Paper\TGS\Fe36Cr_HT1000C_2hr_VibPolish\2026-02-07\Fe36Cr_HT1000C_2hr_VibPolish_2026-02-07_6.4_108deg-POS-1.txt</t>
  </si>
  <si>
    <t>2026_02_07_12:52:22</t>
  </si>
  <si>
    <t>C:\Users\maxra\Documents\Papers\Spinodal Paper\TGS\Fe36Cr_HT1000C_2hr_VibPolish\2026-02-07\Fe36Cr_HT1000C_2hr_VibPolish_2026-02-07_6.4_112deg-POS-1.txt</t>
  </si>
  <si>
    <t>2026_02_07_12:53:47</t>
  </si>
  <si>
    <t>C:\Users\maxra\Documents\Papers\Spinodal Paper\TGS\Fe36Cr_HT1000C_2hr_VibPolish\2026-02-07\Fe36Cr_HT1000C_2hr_VibPolish_2026-02-07_6.4_116deg-POS-1.txt</t>
  </si>
  <si>
    <t>2026_02_07_12:55:58</t>
  </si>
  <si>
    <t>C:\Users\maxra\Documents\Papers\Spinodal Paper\TGS\Fe36Cr_HT1000C_2hr_VibPolish\2026-02-07\Fe36Cr_HT1000C_2hr_VibPolish_2026-02-07_6.4_120deg-POS-1.txt</t>
  </si>
  <si>
    <t>2026_02_07_12:57:30</t>
  </si>
  <si>
    <t>C:\Users\maxra\Documents\Papers\Spinodal Paper\TGS\Fe36Cr_HT1000C_2hr_VibPolish\2026-02-07\Fe36Cr_HT1000C_2hr_VibPolish_2026-02-07_6.4_124deg-POS-1.txt</t>
  </si>
  <si>
    <t>2026_02_07_12:59:48</t>
  </si>
  <si>
    <t>C:\Users\maxra\Documents\Papers\Spinodal Paper\TGS\Fe36Cr_HT1000C_2hr_VibPolish\2026-02-07\Fe36Cr_HT1000C_2hr_VibPolish_2026-02-07_6.4_128deg-POS-1.txt</t>
  </si>
  <si>
    <t>2026_02_07_13:01:08</t>
  </si>
  <si>
    <t>C:\Users\maxra\Documents\Papers\Spinodal Paper\TGS\Fe36Cr_HT1000C_2hr_VibPolish\2026-02-07\Fe36Cr_HT1000C_2hr_VibPolish_2026-02-07_6.4_132deg-POS-1.txt</t>
  </si>
  <si>
    <t>2026_02_07_13:03:05</t>
  </si>
  <si>
    <t>C:\Users\maxra\Documents\Papers\Spinodal Paper\TGS\Fe36Cr_HT1000C_2hr_VibPolish\2026-02-07\Fe36Cr_HT1000C_2hr_VibPolish_2026-02-07_6.4_136deg-POS-1.txt</t>
  </si>
  <si>
    <t>2026_02_07_13:04:42</t>
  </si>
  <si>
    <t>C:\Users\maxra\Documents\Papers\Spinodal Paper\TGS\Fe36Cr_HT1000C_2hr_VibPolish\2026-02-07\Fe36Cr_HT1000C_2hr_VibPolish_2026-02-07_6.4_140deg-POS-1.txt</t>
  </si>
  <si>
    <t>2026_02_07_13:06:30</t>
  </si>
  <si>
    <t>C:\Users\maxra\Documents\Papers\Spinodal Paper\TGS\Fe36Cr_HT1000C_2hr_VibPolish\2026-02-07\Fe36Cr_HT1000C_2hr_VibPolish_2026-02-07_6.4_144deg-POS-1.txt</t>
  </si>
  <si>
    <t>2026_02_07_13:09:53</t>
  </si>
  <si>
    <t>C:\Users\maxra\Documents\Papers\Spinodal Paper\TGS\Fe36Cr_HT1000C_2hr_VibPolish\2026-02-07\Fe36Cr_HT1000C_2hr_VibPolish_2026-02-07_6.4_148deg-POS-1.txt</t>
  </si>
  <si>
    <t>2026_02_07_13:11:19</t>
  </si>
  <si>
    <t>C:\Users\maxra\Documents\Papers\Spinodal Paper\TGS\Fe36Cr_HT1000C_2hr_VibPolish\2026-02-07\Fe36Cr_HT1000C_2hr_VibPolish_2026-02-07_6.4_152deg-POS-1.txt</t>
  </si>
  <si>
    <t>2026_02_07_13:13:09</t>
  </si>
  <si>
    <t>C:\Users\maxra\Documents\Papers\Spinodal Paper\TGS\Fe36Cr_HT1000C_2hr_VibPolish\2026-02-07\Fe36Cr_HT1000C_2hr_VibPolish_2026-02-07_6.4_156deg-POS-1.txt</t>
  </si>
  <si>
    <t>2026_02_07_13:16:05</t>
  </si>
  <si>
    <t>C:\Users\maxra\Documents\Papers\Spinodal Paper\TGS\Fe36Cr_HT1000C_2hr_VibPolish\2026-02-07\Fe36Cr_HT1000C_2hr_VibPolish_2026-02-07_6.4_160deg-POS-1.txt</t>
  </si>
  <si>
    <t>2026_02_07_13:18:37</t>
  </si>
  <si>
    <t>C:\Users\maxra\Documents\Papers\Spinodal Paper\TGS\Fe36Cr_HT1000C_2hr_VibPolish\2026-02-07\Fe36Cr_HT1000C_2hr_VibPolish_2026-02-07_6.4_164deg-POS-1.txt</t>
  </si>
  <si>
    <t>2026_02_07_13:20:00</t>
  </si>
  <si>
    <t>C:\Users\maxra\Documents\Papers\Spinodal Paper\TGS\Fe36Cr_HT1000C_2hr_VibPolish\2026-02-07\Fe36Cr_HT1000C_2hr_VibPolish_2026-02-07_6.4_168deg-POS-1.txt</t>
  </si>
  <si>
    <t>2026_02_07_13:21:31</t>
  </si>
  <si>
    <t>C:\Users\maxra\Documents\Papers\Spinodal Paper\TGS\Fe36Cr_HT1000C_2hr_VibPolish\2026-02-07\Fe36Cr_HT1000C_2hr_VibPolish_2026-02-07_6.4_172deg-POS-1.txt</t>
  </si>
  <si>
    <t>2026_02_07_13:22:42</t>
  </si>
  <si>
    <t>C:\Users\maxra\Documents\Papers\Spinodal Paper\TGS\Fe36Cr_HT1000C_2hr_VibPolish\2026-02-07\Fe36Cr_HT1000C_2hr_VibPolish_2026-02-07_6.4_176deg-POS-1.txt</t>
  </si>
  <si>
    <t>2026_02_07_13:23:54</t>
  </si>
  <si>
    <t>C:\Users\maxra\Documents\Papers\Spinodal Paper\TGS\Fe36Cr_HT1000C_2hr_VibPolish\2026-02-07\Fe36Cr_HT1000C_2hr_VibPolish_2026-02-07_6.4_180deg-POS-1.txt</t>
  </si>
  <si>
    <t>2026_02_07_13:24:47</t>
  </si>
  <si>
    <t>1000C, 2hr</t>
  </si>
  <si>
    <t>Upper Cutoff Lorentzian Fit</t>
  </si>
  <si>
    <t>Cross-sample √(C/ρ) consistency</t>
  </si>
  <si>
    <t>Δρ/ρ (MD)</t>
  </si>
  <si>
    <t>homog mean SAW speed [m/s]</t>
  </si>
  <si>
    <t>aged mean SAW speed [m/s]</t>
  </si>
  <si>
    <t>homog min SAW speed [m/s]</t>
  </si>
  <si>
    <t>aged min SAW speed [m/s]</t>
  </si>
  <si>
    <t>homog max SAW speed [m/s]</t>
  </si>
  <si>
    <t>aged max SAW speed [m/s]</t>
  </si>
  <si>
    <t>Δv/v mean</t>
  </si>
  <si>
    <t>Δv/v max</t>
  </si>
  <si>
    <t>Δv/v min (soft direction)</t>
  </si>
  <si>
    <t>implied ΔC′/C′ from mean</t>
  </si>
  <si>
    <t>implied ΔC′/C′ from min</t>
  </si>
  <si>
    <t>implied ΔC′/C′ from max</t>
  </si>
  <si>
    <t>Sample-1 measured ΔC′/C′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</si>
</sst>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Sheet1!$T$17</c:f>
              <c:strCache>
                <c:ptCount val="1"/>
                <c:pt idx="0">
                  <c:v>500C, 10hr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Sheet1!$V$2:$V$54</c:f>
              <c:numCache>
                <c:formatCode>General</c:formatCode>
                <c:ptCount val="53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32</c:v>
                </c:pt>
                <c:pt idx="5">
                  <c:v>36</c:v>
                </c:pt>
                <c:pt idx="6">
                  <c:v>40</c:v>
                </c:pt>
                <c:pt idx="7">
                  <c:v>44</c:v>
                </c:pt>
                <c:pt idx="8">
                  <c:v>48</c:v>
                </c:pt>
                <c:pt idx="9">
                  <c:v>52</c:v>
                </c:pt>
                <c:pt idx="10">
                  <c:v>56</c:v>
                </c:pt>
                <c:pt idx="11">
                  <c:v>60</c:v>
                </c:pt>
                <c:pt idx="12">
                  <c:v>64</c:v>
                </c:pt>
                <c:pt idx="13">
                  <c:v>68</c:v>
                </c:pt>
                <c:pt idx="14">
                  <c:v>72</c:v>
                </c:pt>
                <c:pt idx="15">
                  <c:v>76</c:v>
                </c:pt>
                <c:pt idx="16">
                  <c:v>80</c:v>
                </c:pt>
                <c:pt idx="17">
                  <c:v>84</c:v>
                </c:pt>
                <c:pt idx="18">
                  <c:v>88</c:v>
                </c:pt>
                <c:pt idx="19">
                  <c:v>92</c:v>
                </c:pt>
                <c:pt idx="20">
                  <c:v>96</c:v>
                </c:pt>
                <c:pt idx="21">
                  <c:v>100</c:v>
                </c:pt>
                <c:pt idx="22">
                  <c:v>104</c:v>
                </c:pt>
                <c:pt idx="23">
                  <c:v>108</c:v>
                </c:pt>
                <c:pt idx="24">
                  <c:v>112</c:v>
                </c:pt>
                <c:pt idx="25">
                  <c:v>116</c:v>
                </c:pt>
                <c:pt idx="26">
                  <c:v>120</c:v>
                </c:pt>
                <c:pt idx="27">
                  <c:v>124</c:v>
                </c:pt>
                <c:pt idx="28">
                  <c:v>128</c:v>
                </c:pt>
                <c:pt idx="29">
                  <c:v>132</c:v>
                </c:pt>
                <c:pt idx="30">
                  <c:v>136</c:v>
                </c:pt>
                <c:pt idx="31">
                  <c:v>140</c:v>
                </c:pt>
                <c:pt idx="32">
                  <c:v>144</c:v>
                </c:pt>
                <c:pt idx="33">
                  <c:v>148</c:v>
                </c:pt>
                <c:pt idx="34">
                  <c:v>152</c:v>
                </c:pt>
                <c:pt idx="35">
                  <c:v>156</c:v>
                </c:pt>
                <c:pt idx="36">
                  <c:v>160</c:v>
                </c:pt>
                <c:pt idx="37">
                  <c:v>164</c:v>
                </c:pt>
                <c:pt idx="38">
                  <c:v>168</c:v>
                </c:pt>
                <c:pt idx="39">
                  <c:v>172</c:v>
                </c:pt>
                <c:pt idx="40">
                  <c:v>176</c:v>
                </c:pt>
                <c:pt idx="41">
                  <c:v>180</c:v>
                </c:pt>
                <c:pt idx="42">
                  <c:v>184</c:v>
                </c:pt>
                <c:pt idx="43">
                  <c:v>188</c:v>
                </c:pt>
                <c:pt idx="44">
                  <c:v>192</c:v>
                </c:pt>
                <c:pt idx="45">
                  <c:v>196</c:v>
                </c:pt>
                <c:pt idx="46">
                  <c:v>200</c:v>
                </c:pt>
                <c:pt idx="47">
                  <c:v>204</c:v>
                </c:pt>
                <c:pt idx="48">
                  <c:v>208</c:v>
                </c:pt>
                <c:pt idx="49">
                  <c:v>212</c:v>
                </c:pt>
                <c:pt idx="50">
                  <c:v>216</c:v>
                </c:pt>
                <c:pt idx="51">
                  <c:v>220</c:v>
                </c:pt>
                <c:pt idx="52">
                  <c:v>224</c:v>
                </c:pt>
              </c:numCache>
            </c:numRef>
          </c:xVal>
          <c:yVal>
            <c:numRef>
              <c:f>Sheet1!$W$2:$W$54</c:f>
              <c:numCache>
                <c:formatCode>0.00E+00</c:formatCode>
                <c:ptCount val="53"/>
                <c:pt idx="0">
                  <c:v>3113.7968157</c:v>
                </c:pt>
                <c:pt idx="1">
                  <c:v>3128.7200888999996</c:v>
                </c:pt>
                <c:pt idx="2">
                  <c:v>3134.2265372999996</c:v>
                </c:pt>
                <c:pt idx="3">
                  <c:v>3135.0179229999999</c:v>
                </c:pt>
                <c:pt idx="4">
                  <c:v>3124.4638968999998</c:v>
                </c:pt>
                <c:pt idx="5">
                  <c:v>3070.4435100000001</c:v>
                </c:pt>
                <c:pt idx="6">
                  <c:v>3361.0084176</c:v>
                </c:pt>
                <c:pt idx="7">
                  <c:v>3325.4426131999999</c:v>
                </c:pt>
                <c:pt idx="8">
                  <c:v>3318.7125096</c:v>
                </c:pt>
                <c:pt idx="9">
                  <c:v>3296.5537100000001</c:v>
                </c:pt>
                <c:pt idx="10">
                  <c:v>3303.3370159999999</c:v>
                </c:pt>
                <c:pt idx="11">
                  <c:v>3293.7073815999997</c:v>
                </c:pt>
                <c:pt idx="12">
                  <c:v>3295.955183</c:v>
                </c:pt>
                <c:pt idx="13">
                  <c:v>3294.6916259999998</c:v>
                </c:pt>
                <c:pt idx="14">
                  <c:v>3325.1433496999998</c:v>
                </c:pt>
                <c:pt idx="15">
                  <c:v>2949.0223326</c:v>
                </c:pt>
                <c:pt idx="16">
                  <c:v>2987.1551527999995</c:v>
                </c:pt>
                <c:pt idx="17">
                  <c:v>2968.5476133999996</c:v>
                </c:pt>
                <c:pt idx="18">
                  <c:v>2943.1767188999997</c:v>
                </c:pt>
                <c:pt idx="19">
                  <c:v>2890.3533859999998</c:v>
                </c:pt>
                <c:pt idx="20">
                  <c:v>2898.5066537999996</c:v>
                </c:pt>
                <c:pt idx="21">
                  <c:v>2865.0556447999998</c:v>
                </c:pt>
                <c:pt idx="22">
                  <c:v>2865.2086016999997</c:v>
                </c:pt>
                <c:pt idx="23">
                  <c:v>2851.3427262</c:v>
                </c:pt>
                <c:pt idx="24">
                  <c:v>2848.6227534999998</c:v>
                </c:pt>
                <c:pt idx="25">
                  <c:v>2869.8505110999999</c:v>
                </c:pt>
                <c:pt idx="26">
                  <c:v>2860.0147173999994</c:v>
                </c:pt>
                <c:pt idx="27">
                  <c:v>2895.2214055999998</c:v>
                </c:pt>
                <c:pt idx="28">
                  <c:v>2909.6525566</c:v>
                </c:pt>
                <c:pt idx="29">
                  <c:v>2933.8729491999998</c:v>
                </c:pt>
                <c:pt idx="30">
                  <c:v>2919.1159335000002</c:v>
                </c:pt>
                <c:pt idx="31">
                  <c:v>3120.6333240999998</c:v>
                </c:pt>
                <c:pt idx="32">
                  <c:v>3128.3609726999998</c:v>
                </c:pt>
                <c:pt idx="33">
                  <c:v>3121.2518020000002</c:v>
                </c:pt>
                <c:pt idx="34">
                  <c:v>3092.6023095999999</c:v>
                </c:pt>
                <c:pt idx="35">
                  <c:v>3062.2104386000001</c:v>
                </c:pt>
                <c:pt idx="36">
                  <c:v>2958.7849729999998</c:v>
                </c:pt>
                <c:pt idx="37">
                  <c:v>2974.7722942</c:v>
                </c:pt>
                <c:pt idx="38">
                  <c:v>2984.2622722999995</c:v>
                </c:pt>
                <c:pt idx="39">
                  <c:v>2996.1729596</c:v>
                </c:pt>
                <c:pt idx="40">
                  <c:v>3004.0402644999999</c:v>
                </c:pt>
                <c:pt idx="41">
                  <c:v>3020.100739</c:v>
                </c:pt>
                <c:pt idx="42">
                  <c:v>3039.8388293999997</c:v>
                </c:pt>
                <c:pt idx="43">
                  <c:v>3060.0291401999998</c:v>
                </c:pt>
                <c:pt idx="44">
                  <c:v>3086.3244263999995</c:v>
                </c:pt>
                <c:pt idx="45">
                  <c:v>3114.7744097999998</c:v>
                </c:pt>
                <c:pt idx="46">
                  <c:v>3129.9902961999996</c:v>
                </c:pt>
                <c:pt idx="47">
                  <c:v>3146.9552115000001</c:v>
                </c:pt>
                <c:pt idx="48">
                  <c:v>3168.7814960999999</c:v>
                </c:pt>
                <c:pt idx="49">
                  <c:v>3144.9601214999998</c:v>
                </c:pt>
                <c:pt idx="50">
                  <c:v>3089.7759320999999</c:v>
                </c:pt>
                <c:pt idx="51">
                  <c:v>3356.0406435</c:v>
                </c:pt>
                <c:pt idx="52">
                  <c:v>3329.3330386999996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8-4B7C-BBF6-DE266902517E}"/>
            </c:ext>
          </c:extLst>
        </c:ser>
        <c:ser>
          <c:idx val="1"/>
          <c:order val="1"/>
          <c:tx>
            <c:strRef>
              <c:f>Sheet1!$T$55</c:f>
              <c:strCache>
                <c:ptCount val="1"/>
                <c:pt idx="0">
                  <c:v>1000C, 2hr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Sheet1!$U$55:$U$100</c:f>
              <c:numCache>
                <c:formatCode>General</c:formatCode>
                <c:ptCount val="46"/>
                <c:pt idx="0" formatCode="0.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Sheet1!$W$55:$W$100</c:f>
              <c:numCache>
                <c:formatCode>0.00E+00</c:formatCode>
                <c:ptCount val="46"/>
                <c:pt idx="0">
                  <c:v>2973.0571353999999</c:v>
                </c:pt>
                <c:pt idx="1">
                  <c:v>2998.3003369000003</c:v>
                </c:pt>
                <c:pt idx="2">
                  <c:v>3025.0335191999998</c:v>
                </c:pt>
                <c:pt idx="3">
                  <c:v>3039.7736864000003</c:v>
                </c:pt>
                <c:pt idx="4">
                  <c:v>3075.7593833999999</c:v>
                </c:pt>
                <c:pt idx="5">
                  <c:v>3104.5279859000002</c:v>
                </c:pt>
                <c:pt idx="6">
                  <c:v>3120.4322005999998</c:v>
                </c:pt>
                <c:pt idx="7">
                  <c:v>3112.7760939</c:v>
                </c:pt>
                <c:pt idx="8">
                  <c:v>3059.1700436000001</c:v>
                </c:pt>
                <c:pt idx="9">
                  <c:v>2981.9504583000003</c:v>
                </c:pt>
                <c:pt idx="10">
                  <c:v>3314.8081780000002</c:v>
                </c:pt>
                <c:pt idx="11">
                  <c:v>3302.3295888000002</c:v>
                </c:pt>
                <c:pt idx="12">
                  <c:v>3283.678222</c:v>
                </c:pt>
                <c:pt idx="13">
                  <c:v>3297.5603199000002</c:v>
                </c:pt>
                <c:pt idx="14">
                  <c:v>3294.9462018000004</c:v>
                </c:pt>
                <c:pt idx="15">
                  <c:v>3304.7175490999998</c:v>
                </c:pt>
                <c:pt idx="16">
                  <c:v>3313.7838161999998</c:v>
                </c:pt>
                <c:pt idx="17">
                  <c:v>3322.5640601999999</c:v>
                </c:pt>
                <c:pt idx="18">
                  <c:v>2891.7534063000003</c:v>
                </c:pt>
                <c:pt idx="19">
                  <c:v>2977.6601118000003</c:v>
                </c:pt>
                <c:pt idx="20">
                  <c:v>2964.5762179000003</c:v>
                </c:pt>
                <c:pt idx="21">
                  <c:v>2918.8524321</c:v>
                </c:pt>
                <c:pt idx="22">
                  <c:v>2895.6180439999998</c:v>
                </c:pt>
                <c:pt idx="23">
                  <c:v>2855.2821351999996</c:v>
                </c:pt>
                <c:pt idx="24">
                  <c:v>2822.6555466999998</c:v>
                </c:pt>
                <c:pt idx="25">
                  <c:v>2791.5056356</c:v>
                </c:pt>
                <c:pt idx="26">
                  <c:v>2780.5569374000002</c:v>
                </c:pt>
                <c:pt idx="27">
                  <c:v>2784.7541600999998</c:v>
                </c:pt>
                <c:pt idx="28">
                  <c:v>2807.4630639000002</c:v>
                </c:pt>
                <c:pt idx="29">
                  <c:v>2815.4650590000001</c:v>
                </c:pt>
                <c:pt idx="30">
                  <c:v>2832.0211403000003</c:v>
                </c:pt>
                <c:pt idx="31">
                  <c:v>2859.0336940000002</c:v>
                </c:pt>
                <c:pt idx="32">
                  <c:v>2881.6694290999999</c:v>
                </c:pt>
                <c:pt idx="33">
                  <c:v>2900.1877619000002</c:v>
                </c:pt>
                <c:pt idx="34">
                  <c:v>3082.6106344</c:v>
                </c:pt>
                <c:pt idx="35">
                  <c:v>3112.6763184000001</c:v>
                </c:pt>
                <c:pt idx="36">
                  <c:v>3100.4438421</c:v>
                </c:pt>
                <c:pt idx="37">
                  <c:v>3101.1821808</c:v>
                </c:pt>
                <c:pt idx="38">
                  <c:v>3046.8843536999998</c:v>
                </c:pt>
                <c:pt idx="39">
                  <c:v>2980.8728829000001</c:v>
                </c:pt>
                <c:pt idx="41">
                  <c:v>2929.8676473</c:v>
                </c:pt>
                <c:pt idx="43">
                  <c:v>2940.3972884</c:v>
                </c:pt>
                <c:pt idx="44">
                  <c:v>2965.9265129999999</c:v>
                </c:pt>
                <c:pt idx="45">
                  <c:v>2987.2784700000002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88-4B7C-BBF6-DE2669025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045872"/>
        <c:axId val="735492384"/>
      </c:scatterChart>
      <c:valAx>
        <c:axId val="85204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92384"/>
        <c:crosses val="autoZero"/>
        <c:crossBetween val="midCat"/>
      </c:valAx>
      <c:valAx>
        <c:axId val="735492384"/>
        <c:scaling>
          <c:orientation val="minMax"/>
          <c:min val="2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45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Fe-36Cr Alloy (APT Grain</a:t>
            </a:r>
            <a:r>
              <a:rPr lang="en-US" u="sng" baseline="0"/>
              <a:t>)</a:t>
            </a:r>
            <a:r>
              <a:rPr lang="en-US" u="sng"/>
              <a:t> </a:t>
            </a:r>
          </a:p>
        </c:rich>
      </c:tx>
      <c:layout>
        <c:manualLayout>
          <c:xMode val="edge"/>
          <c:yMode val="edge"/>
          <c:x val="0.24124989632578586"/>
          <c:y val="1.871860142393098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606938145443833"/>
          <c:y val="0.13712710911136108"/>
          <c:w val="0.7236080404567925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Sheet1!$U$55:$U$100</c:f>
              <c:numCache>
                <c:formatCode>General</c:formatCode>
                <c:ptCount val="46"/>
                <c:pt idx="0" formatCode="0.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Sheet1!$W$55:$W$100</c:f>
              <c:numCache>
                <c:formatCode>0.00E+00</c:formatCode>
                <c:ptCount val="46"/>
                <c:pt idx="0">
                  <c:v>2973.0571353999999</c:v>
                </c:pt>
                <c:pt idx="1">
                  <c:v>2998.3003369000003</c:v>
                </c:pt>
                <c:pt idx="2">
                  <c:v>3025.0335191999998</c:v>
                </c:pt>
                <c:pt idx="3">
                  <c:v>3039.7736864000003</c:v>
                </c:pt>
                <c:pt idx="4">
                  <c:v>3075.7593833999999</c:v>
                </c:pt>
                <c:pt idx="5">
                  <c:v>3104.5279859000002</c:v>
                </c:pt>
                <c:pt idx="6">
                  <c:v>3120.4322005999998</c:v>
                </c:pt>
                <c:pt idx="7">
                  <c:v>3112.7760939</c:v>
                </c:pt>
                <c:pt idx="8">
                  <c:v>3059.1700436000001</c:v>
                </c:pt>
                <c:pt idx="9">
                  <c:v>2981.9504583000003</c:v>
                </c:pt>
                <c:pt idx="10">
                  <c:v>3314.8081780000002</c:v>
                </c:pt>
                <c:pt idx="11">
                  <c:v>3302.3295888000002</c:v>
                </c:pt>
                <c:pt idx="12">
                  <c:v>3283.678222</c:v>
                </c:pt>
                <c:pt idx="13">
                  <c:v>3297.5603199000002</c:v>
                </c:pt>
                <c:pt idx="14">
                  <c:v>3294.9462018000004</c:v>
                </c:pt>
                <c:pt idx="15">
                  <c:v>3304.7175490999998</c:v>
                </c:pt>
                <c:pt idx="16">
                  <c:v>3313.7838161999998</c:v>
                </c:pt>
                <c:pt idx="17">
                  <c:v>3322.5640601999999</c:v>
                </c:pt>
                <c:pt idx="18">
                  <c:v>2891.7534063000003</c:v>
                </c:pt>
                <c:pt idx="19">
                  <c:v>2977.6601118000003</c:v>
                </c:pt>
                <c:pt idx="20">
                  <c:v>2964.5762179000003</c:v>
                </c:pt>
                <c:pt idx="21">
                  <c:v>2918.8524321</c:v>
                </c:pt>
                <c:pt idx="22">
                  <c:v>2895.6180439999998</c:v>
                </c:pt>
                <c:pt idx="23">
                  <c:v>2855.2821351999996</c:v>
                </c:pt>
                <c:pt idx="24">
                  <c:v>2822.6555466999998</c:v>
                </c:pt>
                <c:pt idx="25">
                  <c:v>2791.5056356</c:v>
                </c:pt>
                <c:pt idx="26">
                  <c:v>2780.5569374000002</c:v>
                </c:pt>
                <c:pt idx="27">
                  <c:v>2784.7541600999998</c:v>
                </c:pt>
                <c:pt idx="28">
                  <c:v>2807.4630639000002</c:v>
                </c:pt>
                <c:pt idx="29">
                  <c:v>2815.4650590000001</c:v>
                </c:pt>
                <c:pt idx="30">
                  <c:v>2832.0211403000003</c:v>
                </c:pt>
                <c:pt idx="31">
                  <c:v>2859.0336940000002</c:v>
                </c:pt>
                <c:pt idx="32">
                  <c:v>2881.6694290999999</c:v>
                </c:pt>
                <c:pt idx="33">
                  <c:v>2900.1877619000002</c:v>
                </c:pt>
                <c:pt idx="34">
                  <c:v>3082.6106344</c:v>
                </c:pt>
                <c:pt idx="35">
                  <c:v>3112.6763184000001</c:v>
                </c:pt>
                <c:pt idx="36">
                  <c:v>3100.4438421</c:v>
                </c:pt>
                <c:pt idx="37">
                  <c:v>3101.1821808</c:v>
                </c:pt>
                <c:pt idx="38">
                  <c:v>3046.8843536999998</c:v>
                </c:pt>
                <c:pt idx="39">
                  <c:v>2980.8728829000001</c:v>
                </c:pt>
                <c:pt idx="41">
                  <c:v>2929.8676473</c:v>
                </c:pt>
                <c:pt idx="43">
                  <c:v>2940.3972884</c:v>
                </c:pt>
                <c:pt idx="44">
                  <c:v>2965.9265129999999</c:v>
                </c:pt>
                <c:pt idx="45">
                  <c:v>2987.2784700000002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62-46F2-9267-F6827BC85169}"/>
            </c:ext>
          </c:extLst>
        </c:ser>
        <c:ser>
          <c:idx val="2"/>
          <c:order val="1"/>
          <c:tx>
            <c:v>500C 10hr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Sheet1!$V$2:$V$54</c:f>
              <c:numCache>
                <c:formatCode>General</c:formatCode>
                <c:ptCount val="53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32</c:v>
                </c:pt>
                <c:pt idx="5">
                  <c:v>36</c:v>
                </c:pt>
                <c:pt idx="6">
                  <c:v>40</c:v>
                </c:pt>
                <c:pt idx="7">
                  <c:v>44</c:v>
                </c:pt>
                <c:pt idx="8">
                  <c:v>48</c:v>
                </c:pt>
                <c:pt idx="9">
                  <c:v>52</c:v>
                </c:pt>
                <c:pt idx="10">
                  <c:v>56</c:v>
                </c:pt>
                <c:pt idx="11">
                  <c:v>60</c:v>
                </c:pt>
                <c:pt idx="12">
                  <c:v>64</c:v>
                </c:pt>
                <c:pt idx="13">
                  <c:v>68</c:v>
                </c:pt>
                <c:pt idx="14">
                  <c:v>72</c:v>
                </c:pt>
                <c:pt idx="15">
                  <c:v>76</c:v>
                </c:pt>
                <c:pt idx="16">
                  <c:v>80</c:v>
                </c:pt>
                <c:pt idx="17">
                  <c:v>84</c:v>
                </c:pt>
                <c:pt idx="18">
                  <c:v>88</c:v>
                </c:pt>
                <c:pt idx="19">
                  <c:v>92</c:v>
                </c:pt>
                <c:pt idx="20">
                  <c:v>96</c:v>
                </c:pt>
                <c:pt idx="21">
                  <c:v>100</c:v>
                </c:pt>
                <c:pt idx="22">
                  <c:v>104</c:v>
                </c:pt>
                <c:pt idx="23">
                  <c:v>108</c:v>
                </c:pt>
                <c:pt idx="24">
                  <c:v>112</c:v>
                </c:pt>
                <c:pt idx="25">
                  <c:v>116</c:v>
                </c:pt>
                <c:pt idx="26">
                  <c:v>120</c:v>
                </c:pt>
                <c:pt idx="27">
                  <c:v>124</c:v>
                </c:pt>
                <c:pt idx="28">
                  <c:v>128</c:v>
                </c:pt>
                <c:pt idx="29">
                  <c:v>132</c:v>
                </c:pt>
                <c:pt idx="30">
                  <c:v>136</c:v>
                </c:pt>
                <c:pt idx="31">
                  <c:v>140</c:v>
                </c:pt>
                <c:pt idx="32">
                  <c:v>144</c:v>
                </c:pt>
                <c:pt idx="33">
                  <c:v>148</c:v>
                </c:pt>
                <c:pt idx="34">
                  <c:v>152</c:v>
                </c:pt>
                <c:pt idx="35">
                  <c:v>156</c:v>
                </c:pt>
                <c:pt idx="36">
                  <c:v>160</c:v>
                </c:pt>
                <c:pt idx="37">
                  <c:v>164</c:v>
                </c:pt>
                <c:pt idx="38">
                  <c:v>168</c:v>
                </c:pt>
                <c:pt idx="39">
                  <c:v>172</c:v>
                </c:pt>
                <c:pt idx="40">
                  <c:v>176</c:v>
                </c:pt>
                <c:pt idx="41">
                  <c:v>180</c:v>
                </c:pt>
                <c:pt idx="42">
                  <c:v>184</c:v>
                </c:pt>
                <c:pt idx="43">
                  <c:v>188</c:v>
                </c:pt>
                <c:pt idx="44">
                  <c:v>192</c:v>
                </c:pt>
                <c:pt idx="45">
                  <c:v>196</c:v>
                </c:pt>
                <c:pt idx="46">
                  <c:v>200</c:v>
                </c:pt>
                <c:pt idx="47">
                  <c:v>204</c:v>
                </c:pt>
                <c:pt idx="48">
                  <c:v>208</c:v>
                </c:pt>
                <c:pt idx="49">
                  <c:v>212</c:v>
                </c:pt>
                <c:pt idx="50">
                  <c:v>216</c:v>
                </c:pt>
                <c:pt idx="51">
                  <c:v>220</c:v>
                </c:pt>
                <c:pt idx="52">
                  <c:v>224</c:v>
                </c:pt>
              </c:numCache>
            </c:numRef>
          </c:xVal>
          <c:yVal>
            <c:numRef>
              <c:f>Sheet1!$W$2:$W$54</c:f>
              <c:numCache>
                <c:formatCode>0.00E+00</c:formatCode>
                <c:ptCount val="53"/>
                <c:pt idx="0">
                  <c:v>3113.7968157</c:v>
                </c:pt>
                <c:pt idx="1">
                  <c:v>3128.7200888999996</c:v>
                </c:pt>
                <c:pt idx="2">
                  <c:v>3134.2265372999996</c:v>
                </c:pt>
                <c:pt idx="3">
                  <c:v>3135.0179229999999</c:v>
                </c:pt>
                <c:pt idx="4">
                  <c:v>3124.4638968999998</c:v>
                </c:pt>
                <c:pt idx="5">
                  <c:v>3070.4435100000001</c:v>
                </c:pt>
                <c:pt idx="6">
                  <c:v>3361.0084176</c:v>
                </c:pt>
                <c:pt idx="7">
                  <c:v>3325.4426131999999</c:v>
                </c:pt>
                <c:pt idx="8">
                  <c:v>3318.7125096</c:v>
                </c:pt>
                <c:pt idx="9">
                  <c:v>3296.5537100000001</c:v>
                </c:pt>
                <c:pt idx="10">
                  <c:v>3303.3370159999999</c:v>
                </c:pt>
                <c:pt idx="11">
                  <c:v>3293.7073815999997</c:v>
                </c:pt>
                <c:pt idx="12">
                  <c:v>3295.955183</c:v>
                </c:pt>
                <c:pt idx="13">
                  <c:v>3294.6916259999998</c:v>
                </c:pt>
                <c:pt idx="14">
                  <c:v>3325.1433496999998</c:v>
                </c:pt>
                <c:pt idx="15">
                  <c:v>2949.0223326</c:v>
                </c:pt>
                <c:pt idx="16">
                  <c:v>2987.1551527999995</c:v>
                </c:pt>
                <c:pt idx="17">
                  <c:v>2968.5476133999996</c:v>
                </c:pt>
                <c:pt idx="18">
                  <c:v>2943.1767188999997</c:v>
                </c:pt>
                <c:pt idx="19">
                  <c:v>2890.3533859999998</c:v>
                </c:pt>
                <c:pt idx="20">
                  <c:v>2898.5066537999996</c:v>
                </c:pt>
                <c:pt idx="21">
                  <c:v>2865.0556447999998</c:v>
                </c:pt>
                <c:pt idx="22">
                  <c:v>2865.2086016999997</c:v>
                </c:pt>
                <c:pt idx="23">
                  <c:v>2851.3427262</c:v>
                </c:pt>
                <c:pt idx="24">
                  <c:v>2848.6227534999998</c:v>
                </c:pt>
                <c:pt idx="25">
                  <c:v>2869.8505110999999</c:v>
                </c:pt>
                <c:pt idx="26">
                  <c:v>2860.0147173999994</c:v>
                </c:pt>
                <c:pt idx="27">
                  <c:v>2895.2214055999998</c:v>
                </c:pt>
                <c:pt idx="28">
                  <c:v>2909.6525566</c:v>
                </c:pt>
                <c:pt idx="29">
                  <c:v>2933.8729491999998</c:v>
                </c:pt>
                <c:pt idx="30">
                  <c:v>2919.1159335000002</c:v>
                </c:pt>
                <c:pt idx="31">
                  <c:v>3120.6333240999998</c:v>
                </c:pt>
                <c:pt idx="32">
                  <c:v>3128.3609726999998</c:v>
                </c:pt>
                <c:pt idx="33">
                  <c:v>3121.2518020000002</c:v>
                </c:pt>
                <c:pt idx="34">
                  <c:v>3092.6023095999999</c:v>
                </c:pt>
                <c:pt idx="35">
                  <c:v>3062.2104386000001</c:v>
                </c:pt>
                <c:pt idx="36">
                  <c:v>2958.7849729999998</c:v>
                </c:pt>
                <c:pt idx="37">
                  <c:v>2974.7722942</c:v>
                </c:pt>
                <c:pt idx="38">
                  <c:v>2984.2622722999995</c:v>
                </c:pt>
                <c:pt idx="39">
                  <c:v>2996.1729596</c:v>
                </c:pt>
                <c:pt idx="40">
                  <c:v>3004.0402644999999</c:v>
                </c:pt>
                <c:pt idx="41">
                  <c:v>3020.100739</c:v>
                </c:pt>
                <c:pt idx="42">
                  <c:v>3039.8388293999997</c:v>
                </c:pt>
                <c:pt idx="43">
                  <c:v>3060.0291401999998</c:v>
                </c:pt>
                <c:pt idx="44">
                  <c:v>3086.3244263999995</c:v>
                </c:pt>
                <c:pt idx="45">
                  <c:v>3114.7744097999998</c:v>
                </c:pt>
                <c:pt idx="46">
                  <c:v>3129.9902961999996</c:v>
                </c:pt>
                <c:pt idx="47">
                  <c:v>3146.9552115000001</c:v>
                </c:pt>
                <c:pt idx="48">
                  <c:v>3168.7814960999999</c:v>
                </c:pt>
                <c:pt idx="49">
                  <c:v>3144.9601214999998</c:v>
                </c:pt>
                <c:pt idx="50">
                  <c:v>3089.7759320999999</c:v>
                </c:pt>
                <c:pt idx="51">
                  <c:v>3356.0406435</c:v>
                </c:pt>
                <c:pt idx="52">
                  <c:v>3329.3330386999996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62-46F2-9267-F6827BC85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2.3888715796137861E-3"/>
              <c:y val="0.1312892668272691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65291553443891037"/>
          <c:y val="0.15736424285258113"/>
          <c:w val="0.34708446556108957"/>
          <c:h val="9.815454309873213E-2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498026</xdr:colOff>
      <xdr:row>10</xdr:row>
      <xdr:rowOff>17992</xdr:rowOff>
    </xdr:from>
    <xdr:to>
      <xdr:col>52</xdr:col>
      <xdr:colOff>194431</xdr:colOff>
      <xdr:row>25</xdr:row>
      <xdr:rowOff>17992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9234F-BF3C-EDE5-DAC7-EF0C4F764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517529</xdr:colOff>
      <xdr:row>1</xdr:row>
      <xdr:rowOff>52828</xdr:rowOff>
    </xdr:from>
    <xdr:to>
      <xdr:col>44</xdr:col>
      <xdr:colOff>560294</xdr:colOff>
      <xdr:row>29</xdr:row>
      <xdr:rowOff>126963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140D12-D3BC-4F24-ADD0-1D1B7671C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xra\Documents\Papers\Spinodal%20Paper\FeCr%20Spinodal%20Acta\postprocessing_Merrill_MaxEdited.xlsx" TargetMode="External"/><Relationship Id="rId1" Type="http://schemas.openxmlformats.org/officeDocument/2006/relationships/externalLinkPath" Target="/Users/maxra/Documents/Papers/Spinodal%20Paper/FeCr%20Spinodal%20Acta/postprocessing_Merrill_MaxEdi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ngsten Calibration"/>
      <sheetName val="Fe36Cr Max + MD + Variance"/>
      <sheetName val="Fe36Cr Max + MD"/>
      <sheetName val="Fe36Cr Max Reformat"/>
      <sheetName val="Fe25Cr Max Edits"/>
      <sheetName val="Fe25Cr"/>
    </sheetNames>
    <sheetDataSet>
      <sheetData sheetId="0"/>
      <sheetData sheetId="1"/>
      <sheetData sheetId="2"/>
      <sheetData sheetId="3">
        <row r="10">
          <cell r="E10">
            <v>0</v>
          </cell>
          <cell r="G10">
            <v>2916.3609070000002</v>
          </cell>
        </row>
        <row r="11">
          <cell r="E11">
            <v>4</v>
          </cell>
          <cell r="G11">
            <v>2868.667234</v>
          </cell>
        </row>
        <row r="12">
          <cell r="E12">
            <v>8</v>
          </cell>
          <cell r="G12">
            <v>2919.2484899999999</v>
          </cell>
        </row>
        <row r="13">
          <cell r="E13">
            <v>12</v>
          </cell>
          <cell r="G13">
            <v>2882.8287799999998</v>
          </cell>
        </row>
        <row r="14">
          <cell r="E14">
            <v>16</v>
          </cell>
          <cell r="G14">
            <v>2831.0709459999998</v>
          </cell>
        </row>
        <row r="15">
          <cell r="E15">
            <v>20</v>
          </cell>
          <cell r="G15">
            <v>2784.5478520000001</v>
          </cell>
        </row>
        <row r="16">
          <cell r="E16">
            <v>24</v>
          </cell>
          <cell r="G16">
            <v>2741.1190000000001</v>
          </cell>
        </row>
        <row r="17">
          <cell r="E17">
            <v>28</v>
          </cell>
          <cell r="G17">
            <v>2715.0408170000001</v>
          </cell>
        </row>
        <row r="18">
          <cell r="E18">
            <v>32</v>
          </cell>
          <cell r="G18">
            <v>2705.6075679999999</v>
          </cell>
        </row>
        <row r="19">
          <cell r="E19">
            <v>36</v>
          </cell>
          <cell r="G19">
            <v>2703.5915150000001</v>
          </cell>
        </row>
        <row r="20">
          <cell r="E20">
            <v>40</v>
          </cell>
          <cell r="G20">
            <v>2697.1228190000002</v>
          </cell>
        </row>
        <row r="21">
          <cell r="E21">
            <v>44</v>
          </cell>
        </row>
        <row r="22">
          <cell r="E22">
            <v>48</v>
          </cell>
          <cell r="G22">
            <v>2743.024645</v>
          </cell>
        </row>
        <row r="23">
          <cell r="E23">
            <v>52</v>
          </cell>
          <cell r="G23">
            <v>2769.437246</v>
          </cell>
        </row>
        <row r="24">
          <cell r="E24">
            <v>56</v>
          </cell>
          <cell r="G24">
            <v>2825.232974</v>
          </cell>
        </row>
        <row r="25">
          <cell r="E25">
            <v>60</v>
          </cell>
          <cell r="G25">
            <v>2871.2661889999999</v>
          </cell>
        </row>
        <row r="26">
          <cell r="E26">
            <v>64</v>
          </cell>
          <cell r="G26">
            <v>2938.9012210000001</v>
          </cell>
        </row>
        <row r="27">
          <cell r="E27">
            <v>68</v>
          </cell>
          <cell r="G27">
            <v>2911.3965870000002</v>
          </cell>
        </row>
        <row r="28">
          <cell r="E28">
            <v>72</v>
          </cell>
          <cell r="G28">
            <v>2951.8618670000001</v>
          </cell>
        </row>
        <row r="29">
          <cell r="E29">
            <v>76</v>
          </cell>
          <cell r="G29">
            <v>2911.0496790000002</v>
          </cell>
        </row>
        <row r="30">
          <cell r="E30">
            <v>80</v>
          </cell>
          <cell r="G30">
            <v>2761.3106299999999</v>
          </cell>
        </row>
        <row r="31">
          <cell r="E31">
            <v>84</v>
          </cell>
          <cell r="G31">
            <v>3386.4394550000002</v>
          </cell>
        </row>
        <row r="32">
          <cell r="E32">
            <v>88</v>
          </cell>
          <cell r="G32">
            <v>2685.0016169999999</v>
          </cell>
        </row>
        <row r="33">
          <cell r="E33">
            <v>92</v>
          </cell>
          <cell r="G33">
            <v>3431.8580440000001</v>
          </cell>
        </row>
        <row r="34">
          <cell r="E34">
            <v>96</v>
          </cell>
          <cell r="G34">
            <v>3454.0285389999999</v>
          </cell>
        </row>
        <row r="35">
          <cell r="E35">
            <v>100</v>
          </cell>
          <cell r="G35">
            <v>3510.479366</v>
          </cell>
        </row>
        <row r="36">
          <cell r="E36">
            <v>104</v>
          </cell>
          <cell r="G36">
            <v>3523.3606770000001</v>
          </cell>
        </row>
        <row r="37">
          <cell r="E37">
            <v>108</v>
          </cell>
          <cell r="G37">
            <v>3521.1461380000001</v>
          </cell>
        </row>
        <row r="38">
          <cell r="E38">
            <v>112</v>
          </cell>
          <cell r="G38">
            <v>2928.924829</v>
          </cell>
        </row>
        <row r="39">
          <cell r="E39">
            <v>116</v>
          </cell>
          <cell r="G39">
            <v>2993.7271959999998</v>
          </cell>
        </row>
        <row r="40">
          <cell r="E40">
            <v>120</v>
          </cell>
          <cell r="G40">
            <v>3035.0224210000001</v>
          </cell>
        </row>
        <row r="41">
          <cell r="E41">
            <v>124</v>
          </cell>
          <cell r="G41">
            <v>3064.1191220000001</v>
          </cell>
        </row>
        <row r="42">
          <cell r="E42">
            <v>128</v>
          </cell>
          <cell r="G42">
            <v>3059.0998960000002</v>
          </cell>
        </row>
        <row r="43">
          <cell r="E43">
            <v>132</v>
          </cell>
          <cell r="G43">
            <v>3010.0217269999998</v>
          </cell>
        </row>
        <row r="44">
          <cell r="E44">
            <v>136</v>
          </cell>
          <cell r="G44">
            <v>2956.084906</v>
          </cell>
        </row>
        <row r="45">
          <cell r="E45">
            <v>140</v>
          </cell>
          <cell r="G45">
            <v>2909.9287129999998</v>
          </cell>
        </row>
        <row r="46">
          <cell r="E46">
            <v>144</v>
          </cell>
          <cell r="G46">
            <v>2867.8370490000002</v>
          </cell>
        </row>
        <row r="47">
          <cell r="E47">
            <v>148</v>
          </cell>
          <cell r="G47">
            <v>2832.3881879999999</v>
          </cell>
        </row>
        <row r="48">
          <cell r="E48">
            <v>152</v>
          </cell>
          <cell r="G48">
            <v>2785.2873599999998</v>
          </cell>
        </row>
        <row r="49">
          <cell r="E49">
            <v>156</v>
          </cell>
          <cell r="G49">
            <v>2757.442865</v>
          </cell>
        </row>
        <row r="50">
          <cell r="E50">
            <v>160</v>
          </cell>
          <cell r="G50">
            <v>2758.3473220000001</v>
          </cell>
        </row>
        <row r="51">
          <cell r="E51">
            <v>164</v>
          </cell>
          <cell r="G51">
            <v>2771.1630660000001</v>
          </cell>
        </row>
        <row r="52">
          <cell r="E52">
            <v>168</v>
          </cell>
          <cell r="G52">
            <v>2790.3039199999998</v>
          </cell>
        </row>
        <row r="53">
          <cell r="E53">
            <v>172</v>
          </cell>
          <cell r="G53">
            <v>2821.7763690000002</v>
          </cell>
        </row>
        <row r="54">
          <cell r="E54">
            <v>176</v>
          </cell>
          <cell r="G54">
            <v>2860.996889</v>
          </cell>
        </row>
        <row r="55">
          <cell r="E55">
            <v>180</v>
          </cell>
          <cell r="G55">
            <v>2913.8749849999999</v>
          </cell>
        </row>
        <row r="56">
          <cell r="E56">
            <v>-8</v>
          </cell>
          <cell r="G56">
            <v>2842.54</v>
          </cell>
        </row>
        <row r="57">
          <cell r="E57">
            <v>-4</v>
          </cell>
          <cell r="G57">
            <v>2895.29</v>
          </cell>
        </row>
        <row r="58">
          <cell r="E58">
            <v>0</v>
          </cell>
          <cell r="G58">
            <v>2922.65</v>
          </cell>
        </row>
        <row r="59">
          <cell r="E59">
            <v>4</v>
          </cell>
          <cell r="G59">
            <v>2961.21</v>
          </cell>
        </row>
        <row r="60">
          <cell r="E60">
            <v>8</v>
          </cell>
          <cell r="G60">
            <v>2933.97</v>
          </cell>
        </row>
        <row r="61">
          <cell r="E61">
            <v>12</v>
          </cell>
          <cell r="G61">
            <v>2908.49</v>
          </cell>
        </row>
        <row r="62">
          <cell r="E62">
            <v>16</v>
          </cell>
          <cell r="G62">
            <v>2857.82</v>
          </cell>
        </row>
        <row r="63">
          <cell r="E63">
            <v>20</v>
          </cell>
          <cell r="G63">
            <v>2817.07</v>
          </cell>
        </row>
        <row r="64">
          <cell r="E64">
            <v>24</v>
          </cell>
          <cell r="G64">
            <v>2768.75</v>
          </cell>
        </row>
        <row r="65">
          <cell r="E65">
            <v>28</v>
          </cell>
          <cell r="G65">
            <v>2747.92</v>
          </cell>
        </row>
        <row r="66">
          <cell r="E66">
            <v>32</v>
          </cell>
          <cell r="G66">
            <v>2728.73</v>
          </cell>
        </row>
        <row r="67">
          <cell r="E67">
            <v>36</v>
          </cell>
          <cell r="G67">
            <v>2707.55</v>
          </cell>
        </row>
        <row r="68">
          <cell r="E68">
            <v>40</v>
          </cell>
          <cell r="G68">
            <v>2729.34</v>
          </cell>
        </row>
        <row r="69">
          <cell r="E69">
            <v>44</v>
          </cell>
          <cell r="G69">
            <v>2734.7</v>
          </cell>
        </row>
        <row r="70">
          <cell r="E70">
            <v>48</v>
          </cell>
          <cell r="G70">
            <v>2778.85</v>
          </cell>
        </row>
        <row r="71">
          <cell r="E71">
            <v>52</v>
          </cell>
          <cell r="G71">
            <v>2825.01</v>
          </cell>
        </row>
        <row r="72">
          <cell r="E72">
            <v>56</v>
          </cell>
          <cell r="G72">
            <v>2870.69</v>
          </cell>
        </row>
        <row r="73">
          <cell r="E73">
            <v>60</v>
          </cell>
          <cell r="G73">
            <v>2915.29</v>
          </cell>
        </row>
        <row r="74">
          <cell r="E74">
            <v>64</v>
          </cell>
          <cell r="G74">
            <v>2960.07</v>
          </cell>
        </row>
        <row r="75">
          <cell r="E75">
            <v>68</v>
          </cell>
          <cell r="G75">
            <v>2976.03</v>
          </cell>
        </row>
        <row r="76">
          <cell r="E76">
            <v>72</v>
          </cell>
          <cell r="G76">
            <v>2959.78</v>
          </cell>
        </row>
        <row r="77">
          <cell r="E77">
            <v>76</v>
          </cell>
          <cell r="G77">
            <v>2914.14</v>
          </cell>
        </row>
        <row r="78">
          <cell r="E78">
            <v>80</v>
          </cell>
          <cell r="G78">
            <v>2868.23</v>
          </cell>
        </row>
        <row r="79">
          <cell r="E79">
            <v>84</v>
          </cell>
          <cell r="G79">
            <v>2802.99</v>
          </cell>
        </row>
        <row r="80">
          <cell r="E80">
            <v>88</v>
          </cell>
          <cell r="G80">
            <v>3474.31</v>
          </cell>
        </row>
        <row r="81">
          <cell r="E81">
            <v>92</v>
          </cell>
          <cell r="G81">
            <v>3511.66</v>
          </cell>
        </row>
        <row r="82">
          <cell r="E82">
            <v>96</v>
          </cell>
          <cell r="G82">
            <v>3554.07</v>
          </cell>
        </row>
        <row r="83">
          <cell r="E83">
            <v>100</v>
          </cell>
          <cell r="G83">
            <v>3591.21</v>
          </cell>
        </row>
        <row r="84">
          <cell r="E84">
            <v>104</v>
          </cell>
          <cell r="G84">
            <v>3500.87</v>
          </cell>
        </row>
        <row r="85">
          <cell r="E85">
            <v>108</v>
          </cell>
          <cell r="G85">
            <v>2883.2</v>
          </cell>
        </row>
        <row r="86">
          <cell r="E86">
            <v>112</v>
          </cell>
          <cell r="G86">
            <v>2938.22</v>
          </cell>
        </row>
        <row r="87">
          <cell r="E87">
            <v>116</v>
          </cell>
          <cell r="G87">
            <v>2955.42</v>
          </cell>
        </row>
        <row r="88">
          <cell r="E88">
            <v>120</v>
          </cell>
          <cell r="G88">
            <v>3060.88</v>
          </cell>
        </row>
        <row r="89">
          <cell r="E89">
            <v>124</v>
          </cell>
          <cell r="G89">
            <v>3071.2</v>
          </cell>
        </row>
        <row r="90">
          <cell r="E90">
            <v>128</v>
          </cell>
          <cell r="G90">
            <v>3060.57</v>
          </cell>
        </row>
        <row r="91">
          <cell r="E91">
            <v>132</v>
          </cell>
          <cell r="G91">
            <v>3021.78</v>
          </cell>
        </row>
        <row r="92">
          <cell r="E92">
            <v>136</v>
          </cell>
          <cell r="G92">
            <v>2972.46</v>
          </cell>
        </row>
        <row r="93">
          <cell r="E93">
            <v>140</v>
          </cell>
          <cell r="G93">
            <v>2920.27</v>
          </cell>
        </row>
        <row r="94">
          <cell r="E94">
            <v>144</v>
          </cell>
          <cell r="G94">
            <v>2877.33</v>
          </cell>
        </row>
        <row r="95">
          <cell r="E95">
            <v>148</v>
          </cell>
          <cell r="G95">
            <v>2830.87</v>
          </cell>
        </row>
        <row r="96">
          <cell r="E96">
            <v>152</v>
          </cell>
          <cell r="G96">
            <v>2798.05</v>
          </cell>
        </row>
        <row r="97">
          <cell r="E97">
            <v>156</v>
          </cell>
          <cell r="G97">
            <v>2783.84</v>
          </cell>
        </row>
        <row r="98">
          <cell r="E98">
            <v>160</v>
          </cell>
          <cell r="G98">
            <v>2783.86</v>
          </cell>
        </row>
        <row r="99">
          <cell r="E99">
            <v>164</v>
          </cell>
          <cell r="G99">
            <v>2785.65</v>
          </cell>
        </row>
        <row r="100">
          <cell r="E100">
            <v>168</v>
          </cell>
          <cell r="G100">
            <v>2817.8</v>
          </cell>
        </row>
        <row r="101">
          <cell r="E101">
            <v>172</v>
          </cell>
          <cell r="G101">
            <v>2858.45</v>
          </cell>
        </row>
        <row r="102">
          <cell r="E102">
            <v>176</v>
          </cell>
          <cell r="G102">
            <v>2900.92</v>
          </cell>
        </row>
        <row r="103">
          <cell r="E103">
            <v>180</v>
          </cell>
          <cell r="G103">
            <v>2936.09</v>
          </cell>
        </row>
        <row r="104">
          <cell r="C104">
            <v>0</v>
          </cell>
          <cell r="G104">
            <v>2873.43</v>
          </cell>
        </row>
        <row r="105">
          <cell r="C105">
            <v>4</v>
          </cell>
          <cell r="G105">
            <v>2946.6</v>
          </cell>
        </row>
        <row r="106">
          <cell r="C106">
            <v>8</v>
          </cell>
          <cell r="G106">
            <v>2967.71</v>
          </cell>
        </row>
        <row r="107">
          <cell r="C107">
            <v>12</v>
          </cell>
          <cell r="G107">
            <v>2961.07</v>
          </cell>
        </row>
        <row r="108">
          <cell r="C108">
            <v>16</v>
          </cell>
          <cell r="G108">
            <v>2910.31</v>
          </cell>
        </row>
        <row r="109">
          <cell r="C109">
            <v>20</v>
          </cell>
          <cell r="G109">
            <v>2879.67</v>
          </cell>
        </row>
        <row r="110">
          <cell r="C110">
            <v>24</v>
          </cell>
          <cell r="G110">
            <v>2837.42</v>
          </cell>
        </row>
        <row r="111">
          <cell r="C111">
            <v>28</v>
          </cell>
          <cell r="G111">
            <v>2781.1</v>
          </cell>
        </row>
        <row r="112">
          <cell r="C112">
            <v>32</v>
          </cell>
          <cell r="G112">
            <v>2766.05</v>
          </cell>
        </row>
        <row r="113">
          <cell r="C113">
            <v>36</v>
          </cell>
          <cell r="G113">
            <v>2759.42</v>
          </cell>
        </row>
        <row r="114">
          <cell r="C114">
            <v>40</v>
          </cell>
          <cell r="G114">
            <v>2757.31</v>
          </cell>
        </row>
        <row r="115">
          <cell r="C115">
            <v>44</v>
          </cell>
          <cell r="G115">
            <v>2783.57</v>
          </cell>
        </row>
        <row r="116">
          <cell r="C116">
            <v>48</v>
          </cell>
          <cell r="G116">
            <v>2804.39</v>
          </cell>
        </row>
        <row r="117">
          <cell r="C117">
            <v>52</v>
          </cell>
          <cell r="G117">
            <v>2842.51</v>
          </cell>
        </row>
        <row r="118">
          <cell r="C118">
            <v>56</v>
          </cell>
          <cell r="G118">
            <v>2844.33</v>
          </cell>
        </row>
        <row r="119">
          <cell r="C119">
            <v>60</v>
          </cell>
          <cell r="G119">
            <v>2921.44</v>
          </cell>
        </row>
        <row r="120">
          <cell r="C120">
            <v>64</v>
          </cell>
          <cell r="G120">
            <v>2971.84</v>
          </cell>
        </row>
        <row r="121">
          <cell r="C121">
            <v>68</v>
          </cell>
          <cell r="G121">
            <v>2985.9</v>
          </cell>
        </row>
        <row r="122">
          <cell r="C122">
            <v>72</v>
          </cell>
          <cell r="G122">
            <v>2977.04</v>
          </cell>
        </row>
        <row r="123">
          <cell r="C123">
            <v>76</v>
          </cell>
          <cell r="G123">
            <v>2934.94</v>
          </cell>
        </row>
        <row r="124">
          <cell r="C124">
            <v>80</v>
          </cell>
          <cell r="G124">
            <v>2882.74</v>
          </cell>
        </row>
        <row r="125">
          <cell r="C125">
            <v>84</v>
          </cell>
          <cell r="G125">
            <v>3415.9</v>
          </cell>
        </row>
        <row r="126">
          <cell r="C126">
            <v>88</v>
          </cell>
          <cell r="G126">
            <v>3444.88</v>
          </cell>
        </row>
        <row r="127">
          <cell r="C127">
            <v>92</v>
          </cell>
          <cell r="G127">
            <v>3462.63</v>
          </cell>
        </row>
        <row r="128">
          <cell r="C128">
            <v>94</v>
          </cell>
          <cell r="G128">
            <v>3503.28</v>
          </cell>
        </row>
        <row r="129">
          <cell r="C129">
            <v>98</v>
          </cell>
          <cell r="G129">
            <v>3503.22</v>
          </cell>
        </row>
        <row r="130">
          <cell r="C130">
            <v>102</v>
          </cell>
          <cell r="G130">
            <v>3525.03</v>
          </cell>
        </row>
        <row r="131">
          <cell r="C131">
            <v>106</v>
          </cell>
          <cell r="G131">
            <v>3566.99</v>
          </cell>
        </row>
        <row r="132">
          <cell r="C132">
            <v>110</v>
          </cell>
          <cell r="G132">
            <v>2910.02</v>
          </cell>
        </row>
        <row r="133">
          <cell r="C133">
            <v>114</v>
          </cell>
          <cell r="G133">
            <v>2983.39</v>
          </cell>
        </row>
        <row r="134">
          <cell r="C134">
            <v>118</v>
          </cell>
          <cell r="G134">
            <v>2990.8</v>
          </cell>
        </row>
        <row r="135">
          <cell r="C135">
            <v>122</v>
          </cell>
          <cell r="G135">
            <v>3051.54</v>
          </cell>
        </row>
        <row r="136">
          <cell r="C136">
            <v>126</v>
          </cell>
          <cell r="G136">
            <v>3072.55</v>
          </cell>
        </row>
        <row r="137">
          <cell r="C137">
            <v>130</v>
          </cell>
          <cell r="G137">
            <v>3074.09</v>
          </cell>
        </row>
        <row r="187">
          <cell r="E187">
            <v>4</v>
          </cell>
          <cell r="G187">
            <v>2912.63</v>
          </cell>
        </row>
        <row r="188">
          <cell r="E188">
            <v>8</v>
          </cell>
          <cell r="G188">
            <v>2918.54</v>
          </cell>
        </row>
        <row r="189">
          <cell r="E189">
            <v>12</v>
          </cell>
          <cell r="G189">
            <v>2883.85</v>
          </cell>
        </row>
        <row r="190">
          <cell r="E190">
            <v>16</v>
          </cell>
          <cell r="G190">
            <v>2833.31</v>
          </cell>
        </row>
        <row r="191">
          <cell r="E191">
            <v>20</v>
          </cell>
          <cell r="G191">
            <v>2782.36</v>
          </cell>
        </row>
        <row r="192">
          <cell r="E192">
            <v>24</v>
          </cell>
          <cell r="G192">
            <v>2739.77</v>
          </cell>
        </row>
        <row r="193">
          <cell r="E193">
            <v>28</v>
          </cell>
          <cell r="G193">
            <v>2705.83</v>
          </cell>
        </row>
        <row r="194">
          <cell r="E194">
            <v>32</v>
          </cell>
          <cell r="G194">
            <v>2674.53</v>
          </cell>
        </row>
        <row r="195">
          <cell r="E195">
            <v>36</v>
          </cell>
          <cell r="G195">
            <v>2649.28</v>
          </cell>
        </row>
        <row r="196">
          <cell r="E196">
            <v>40</v>
          </cell>
          <cell r="G196">
            <v>2668.04</v>
          </cell>
        </row>
        <row r="197">
          <cell r="E197">
            <v>44</v>
          </cell>
          <cell r="G197">
            <v>2673.74</v>
          </cell>
        </row>
        <row r="198">
          <cell r="E198">
            <v>48</v>
          </cell>
          <cell r="G198">
            <v>2703.25</v>
          </cell>
        </row>
        <row r="199">
          <cell r="E199">
            <v>52</v>
          </cell>
          <cell r="G199">
            <v>2738.57</v>
          </cell>
        </row>
        <row r="200">
          <cell r="E200">
            <v>56</v>
          </cell>
          <cell r="G200">
            <v>2714.81</v>
          </cell>
        </row>
        <row r="201">
          <cell r="E201">
            <v>60</v>
          </cell>
          <cell r="G201">
            <v>2797.16</v>
          </cell>
        </row>
        <row r="202">
          <cell r="E202">
            <v>64</v>
          </cell>
          <cell r="G202">
            <v>2874.37</v>
          </cell>
        </row>
        <row r="203">
          <cell r="E203">
            <v>68</v>
          </cell>
          <cell r="G203">
            <v>2915.04</v>
          </cell>
        </row>
        <row r="204">
          <cell r="E204">
            <v>72</v>
          </cell>
          <cell r="G204">
            <v>2938.32</v>
          </cell>
        </row>
        <row r="205">
          <cell r="E205">
            <v>76</v>
          </cell>
          <cell r="G205">
            <v>2897.89</v>
          </cell>
        </row>
        <row r="206">
          <cell r="E206">
            <v>80</v>
          </cell>
          <cell r="G206">
            <v>2775.79</v>
          </cell>
        </row>
        <row r="207">
          <cell r="E207">
            <v>84</v>
          </cell>
          <cell r="G207">
            <v>3325.78</v>
          </cell>
        </row>
        <row r="208">
          <cell r="E208">
            <v>88</v>
          </cell>
          <cell r="G208">
            <v>3332.4</v>
          </cell>
        </row>
        <row r="209">
          <cell r="E209">
            <v>92</v>
          </cell>
          <cell r="G209">
            <v>3212.53</v>
          </cell>
        </row>
        <row r="210">
          <cell r="E210">
            <v>96</v>
          </cell>
          <cell r="G210">
            <v>3401.34</v>
          </cell>
        </row>
        <row r="211">
          <cell r="E211">
            <v>100</v>
          </cell>
          <cell r="G211">
            <v>3463.72</v>
          </cell>
        </row>
        <row r="212">
          <cell r="E212">
            <v>104</v>
          </cell>
          <cell r="G212">
            <v>3482.44</v>
          </cell>
        </row>
        <row r="213">
          <cell r="E213">
            <v>108</v>
          </cell>
          <cell r="G213">
            <v>3561.59</v>
          </cell>
        </row>
        <row r="214">
          <cell r="E214">
            <v>112</v>
          </cell>
          <cell r="G214">
            <v>3541.41</v>
          </cell>
        </row>
        <row r="215">
          <cell r="E215">
            <v>116</v>
          </cell>
          <cell r="G215">
            <v>2933.84</v>
          </cell>
        </row>
        <row r="216">
          <cell r="E216">
            <v>120</v>
          </cell>
          <cell r="G216">
            <v>2991.48</v>
          </cell>
        </row>
        <row r="217">
          <cell r="E217">
            <v>124</v>
          </cell>
          <cell r="G217">
            <v>3024.97</v>
          </cell>
        </row>
        <row r="218">
          <cell r="E218">
            <v>128</v>
          </cell>
          <cell r="G218">
            <v>3031.79</v>
          </cell>
        </row>
        <row r="219">
          <cell r="E219">
            <v>132</v>
          </cell>
          <cell r="G219">
            <v>3009.79</v>
          </cell>
        </row>
        <row r="220">
          <cell r="E220">
            <v>136</v>
          </cell>
          <cell r="G220">
            <v>2984.62</v>
          </cell>
        </row>
        <row r="221">
          <cell r="E221">
            <v>140</v>
          </cell>
          <cell r="G221">
            <v>2919.69</v>
          </cell>
        </row>
        <row r="222">
          <cell r="E222">
            <v>144</v>
          </cell>
          <cell r="G222">
            <v>2903.62</v>
          </cell>
        </row>
        <row r="223">
          <cell r="E223">
            <v>148</v>
          </cell>
          <cell r="G223">
            <v>2815.94</v>
          </cell>
        </row>
        <row r="224">
          <cell r="E224">
            <v>152</v>
          </cell>
          <cell r="G224">
            <v>2784.22</v>
          </cell>
        </row>
        <row r="225">
          <cell r="E225">
            <v>156</v>
          </cell>
          <cell r="G225">
            <v>2755.88</v>
          </cell>
        </row>
        <row r="226">
          <cell r="E226">
            <v>160</v>
          </cell>
          <cell r="G226">
            <v>2727.17</v>
          </cell>
        </row>
        <row r="227">
          <cell r="E227">
            <v>164</v>
          </cell>
          <cell r="G227">
            <v>2734.55</v>
          </cell>
        </row>
        <row r="228">
          <cell r="E228">
            <v>168</v>
          </cell>
          <cell r="G228">
            <v>2746.06</v>
          </cell>
        </row>
        <row r="229">
          <cell r="E229">
            <v>172</v>
          </cell>
          <cell r="G229">
            <v>2770.3</v>
          </cell>
        </row>
        <row r="230">
          <cell r="E230">
            <v>176</v>
          </cell>
          <cell r="G230">
            <v>2816.48</v>
          </cell>
        </row>
        <row r="231">
          <cell r="E231">
            <v>180</v>
          </cell>
          <cell r="G231">
            <v>2863.26</v>
          </cell>
        </row>
        <row r="232">
          <cell r="E232">
            <v>184</v>
          </cell>
          <cell r="G232">
            <v>2915.02</v>
          </cell>
        </row>
        <row r="233">
          <cell r="E233">
            <v>188</v>
          </cell>
          <cell r="G233">
            <v>2918.5</v>
          </cell>
        </row>
        <row r="234">
          <cell r="E234">
            <v>192</v>
          </cell>
          <cell r="G234">
            <v>2877.57</v>
          </cell>
        </row>
        <row r="235">
          <cell r="E235">
            <v>196</v>
          </cell>
          <cell r="G235">
            <v>2824.06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6FB5-DD19-46F2-969A-72E6D46C14C0}">
  <dimension ref="A1:AF100"/>
  <sheetViews>
    <sheetView tabSelected="1" topLeftCell="T1" zoomScale="79" workbookViewId="0">
      <selection activeCell="AB16" sqref="AB16"/>
    </sheetView>
  </sheetViews>
  <sheetFormatPr defaultRowHeight="14.4" x14ac:dyDescent="0.3"/>
  <cols>
    <col min="23" max="23" width="12.33203125" customWidth="1"/>
    <col min="27" max="27" width="34.1093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126</v>
      </c>
      <c r="U1" t="s">
        <v>128</v>
      </c>
      <c r="V1" t="s">
        <v>129</v>
      </c>
      <c r="W1" t="s">
        <v>130</v>
      </c>
      <c r="X1" t="s">
        <v>224</v>
      </c>
      <c r="AB1" t="s">
        <v>225</v>
      </c>
    </row>
    <row r="2" spans="1:32" x14ac:dyDescent="0.3">
      <c r="A2" t="s">
        <v>19</v>
      </c>
      <c r="B2" t="s">
        <v>20</v>
      </c>
      <c r="C2">
        <v>6.6502999999999997</v>
      </c>
      <c r="D2" s="1">
        <v>468219000</v>
      </c>
      <c r="E2" s="1">
        <v>6446.2</v>
      </c>
      <c r="F2">
        <v>7.2611091000000003E-2</v>
      </c>
      <c r="G2">
        <v>2.3589142000000001E-4</v>
      </c>
      <c r="H2" s="1">
        <v>8.1189607999999998E-6</v>
      </c>
      <c r="I2" s="1">
        <v>1.9138437000000001E-7</v>
      </c>
      <c r="J2" s="1">
        <v>5.7359547000000005E-10</v>
      </c>
      <c r="K2" t="s">
        <v>21</v>
      </c>
      <c r="L2">
        <v>1.5840460000000001E-2</v>
      </c>
      <c r="M2">
        <v>4.9987214000000004E-4</v>
      </c>
      <c r="N2">
        <v>2.5324328999999999</v>
      </c>
      <c r="O2">
        <v>1.5812251999999999E-2</v>
      </c>
      <c r="P2" s="1">
        <v>2.9596176999999999E-8</v>
      </c>
      <c r="Q2" s="1">
        <v>7.6180426000000005E-10</v>
      </c>
      <c r="R2">
        <v>4.1441672999999998E-4</v>
      </c>
      <c r="S2">
        <v>3.6451269E-4</v>
      </c>
      <c r="T2" t="s">
        <v>127</v>
      </c>
      <c r="U2">
        <v>0</v>
      </c>
      <c r="V2">
        <f>U2+16</f>
        <v>16</v>
      </c>
      <c r="W2" s="1">
        <f>C2*D2/1000000</f>
        <v>3113.7968157</v>
      </c>
      <c r="X2">
        <v>0.53</v>
      </c>
      <c r="AB2" t="s">
        <v>226</v>
      </c>
      <c r="AF2">
        <f>(7444-7367)/7367</f>
        <v>1.045201574589385E-2</v>
      </c>
    </row>
    <row r="3" spans="1:32" x14ac:dyDescent="0.3">
      <c r="A3" t="s">
        <v>22</v>
      </c>
      <c r="B3" t="s">
        <v>23</v>
      </c>
      <c r="C3">
        <v>6.6502999999999997</v>
      </c>
      <c r="D3" s="1">
        <v>470463000</v>
      </c>
      <c r="E3" s="1">
        <v>6130.76</v>
      </c>
      <c r="F3">
        <v>8.0300115000000005E-2</v>
      </c>
      <c r="G3">
        <v>6.6657887000000004E-3</v>
      </c>
      <c r="H3" s="1">
        <v>7.8613584000000005E-6</v>
      </c>
      <c r="I3" s="1">
        <v>6.3358181000000004E-7</v>
      </c>
      <c r="J3" s="1">
        <v>3.8952979999999998E-7</v>
      </c>
      <c r="K3" s="1">
        <v>8.1100862000000004E-6</v>
      </c>
      <c r="L3">
        <v>2.1086700999999999E-2</v>
      </c>
      <c r="M3">
        <v>7.0155857999999998E-4</v>
      </c>
      <c r="N3">
        <v>-2.1973604999999998</v>
      </c>
      <c r="O3">
        <v>1.5540826000000001E-2</v>
      </c>
      <c r="P3" s="1">
        <v>2.6749630999999999E-8</v>
      </c>
      <c r="Q3" s="1">
        <v>6.1869489000000003E-10</v>
      </c>
      <c r="R3">
        <v>-1.4520559999999999E-4</v>
      </c>
      <c r="S3">
        <v>9.6338550000000004E-4</v>
      </c>
      <c r="T3" t="s">
        <v>127</v>
      </c>
      <c r="U3">
        <f>U2+4</f>
        <v>4</v>
      </c>
      <c r="V3">
        <f t="shared" ref="V3:V54" si="0">U3+16</f>
        <v>20</v>
      </c>
      <c r="W3" s="1">
        <f t="shared" ref="W3:W66" si="1">C3*D3/1000000</f>
        <v>3128.7200888999996</v>
      </c>
      <c r="X3">
        <v>0.53</v>
      </c>
      <c r="AB3" t="s">
        <v>227</v>
      </c>
      <c r="AF3">
        <f>AVERAGEIF($T$2:$T$100,"1000C, 2hr",$W$2:$W$100)</f>
        <v>3021.6446292249998</v>
      </c>
    </row>
    <row r="4" spans="1:32" x14ac:dyDescent="0.3">
      <c r="A4" t="s">
        <v>24</v>
      </c>
      <c r="B4" t="s">
        <v>25</v>
      </c>
      <c r="C4">
        <v>6.6502999999999997</v>
      </c>
      <c r="D4" s="1">
        <v>471291000</v>
      </c>
      <c r="E4" s="1">
        <v>6780.34</v>
      </c>
      <c r="F4">
        <v>4.7794018000000001E-2</v>
      </c>
      <c r="G4">
        <v>6.4642700000000003E-3</v>
      </c>
      <c r="H4" s="1">
        <v>7.9554598999999993E-6</v>
      </c>
      <c r="I4" s="1">
        <v>1.1283909000000001E-6</v>
      </c>
      <c r="J4" s="1">
        <v>4.1638765999999998E-8</v>
      </c>
      <c r="K4" s="1">
        <v>1.2972385E-5</v>
      </c>
      <c r="L4">
        <v>5.0872486999999997E-3</v>
      </c>
      <c r="M4">
        <v>4.1797299999999998E-4</v>
      </c>
      <c r="N4">
        <v>1.7177757</v>
      </c>
      <c r="O4">
        <v>4.2137398999999999E-2</v>
      </c>
      <c r="P4" s="1">
        <v>4.2413021000000001E-8</v>
      </c>
      <c r="Q4" s="1">
        <v>3.3699367999999999E-9</v>
      </c>
      <c r="R4">
        <v>8.2250680000000003E-4</v>
      </c>
      <c r="S4">
        <v>1.0384569E-3</v>
      </c>
      <c r="T4" t="s">
        <v>127</v>
      </c>
      <c r="U4">
        <f t="shared" ref="U4:U67" si="2">U3+4</f>
        <v>8</v>
      </c>
      <c r="V4">
        <f t="shared" si="0"/>
        <v>24</v>
      </c>
      <c r="W4" s="1">
        <f t="shared" si="1"/>
        <v>3134.2265372999996</v>
      </c>
      <c r="X4">
        <v>0.53</v>
      </c>
      <c r="AB4" t="s">
        <v>228</v>
      </c>
      <c r="AF4">
        <f>AVERAGEIF($T$2:$T$100,"500C, 10hr",$W$2:$W$100)</f>
        <v>3077.4704930301873</v>
      </c>
    </row>
    <row r="5" spans="1:32" x14ac:dyDescent="0.3">
      <c r="A5" t="s">
        <v>26</v>
      </c>
      <c r="B5" t="s">
        <v>27</v>
      </c>
      <c r="C5">
        <v>6.6502999999999997</v>
      </c>
      <c r="D5" s="1">
        <v>471410000</v>
      </c>
      <c r="E5" s="1">
        <v>6965.85</v>
      </c>
      <c r="F5">
        <v>4.5508104000000001E-2</v>
      </c>
      <c r="G5">
        <v>2.2227562000000001E-4</v>
      </c>
      <c r="H5" s="1">
        <v>8.8224623999999998E-6</v>
      </c>
      <c r="I5" s="1">
        <v>2.6164416000000001E-7</v>
      </c>
      <c r="J5" s="1">
        <v>6.0481578999999995E-13</v>
      </c>
      <c r="K5" t="s">
        <v>21</v>
      </c>
      <c r="L5">
        <v>1.0104370999999999E-2</v>
      </c>
      <c r="M5">
        <v>4.8204192000000001E-4</v>
      </c>
      <c r="N5">
        <v>2.2907899</v>
      </c>
      <c r="O5">
        <v>2.3806896000000001E-2</v>
      </c>
      <c r="P5" s="1">
        <v>2.6795163999999999E-8</v>
      </c>
      <c r="Q5" s="1">
        <v>9.8947014999999994E-10</v>
      </c>
      <c r="R5">
        <v>1.0050898999999999E-3</v>
      </c>
      <c r="S5">
        <v>2.7015726000000003E-4</v>
      </c>
      <c r="T5" t="s">
        <v>127</v>
      </c>
      <c r="U5">
        <f t="shared" si="2"/>
        <v>12</v>
      </c>
      <c r="V5">
        <f t="shared" si="0"/>
        <v>28</v>
      </c>
      <c r="W5" s="1">
        <f t="shared" si="1"/>
        <v>3135.0179229999999</v>
      </c>
      <c r="X5">
        <v>0.53</v>
      </c>
      <c r="AB5" t="s">
        <v>229</v>
      </c>
      <c r="AF5">
        <f>_xlfn.MINIFS($W$2:$W$100,$T$2:$T$100,"1000C, 2hr")</f>
        <v>2780.5569374000002</v>
      </c>
    </row>
    <row r="6" spans="1:32" x14ac:dyDescent="0.3">
      <c r="A6" t="s">
        <v>28</v>
      </c>
      <c r="B6" t="s">
        <v>29</v>
      </c>
      <c r="C6">
        <v>6.6502999999999997</v>
      </c>
      <c r="D6" s="1">
        <v>469823000</v>
      </c>
      <c r="E6" s="1">
        <v>7508.07</v>
      </c>
      <c r="F6">
        <v>6.1818640000000001E-2</v>
      </c>
      <c r="G6">
        <v>2.4421765999999999E-4</v>
      </c>
      <c r="H6" s="1">
        <v>7.4088001000000001E-6</v>
      </c>
      <c r="I6" s="1">
        <v>2.4708635000000002E-7</v>
      </c>
      <c r="J6" s="1">
        <v>2.390292E-10</v>
      </c>
      <c r="K6" t="s">
        <v>21</v>
      </c>
      <c r="L6">
        <v>4.3076972000000002E-3</v>
      </c>
      <c r="M6">
        <v>3.1679952000000002E-4</v>
      </c>
      <c r="N6">
        <v>-2.1478223000000001</v>
      </c>
      <c r="O6">
        <v>3.8240086999999999E-2</v>
      </c>
      <c r="P6" s="1">
        <v>4.6838771000000003E-8</v>
      </c>
      <c r="Q6" s="1">
        <v>3.5436629999999999E-9</v>
      </c>
      <c r="R6">
        <v>1.0844889E-4</v>
      </c>
      <c r="S6">
        <v>4.7439997E-4</v>
      </c>
      <c r="T6" t="s">
        <v>127</v>
      </c>
      <c r="U6">
        <f t="shared" si="2"/>
        <v>16</v>
      </c>
      <c r="V6">
        <f t="shared" si="0"/>
        <v>32</v>
      </c>
      <c r="W6" s="1">
        <f t="shared" si="1"/>
        <v>3124.4638968999998</v>
      </c>
      <c r="X6">
        <v>0.53</v>
      </c>
      <c r="AB6" t="s">
        <v>230</v>
      </c>
      <c r="AF6">
        <f>_xlfn.MINIFS($W$2:$W$100,$T$2:$T$100,"500C, 10hr")</f>
        <v>2848.6227534999998</v>
      </c>
    </row>
    <row r="7" spans="1:32" x14ac:dyDescent="0.3">
      <c r="A7" t="s">
        <v>30</v>
      </c>
      <c r="B7" t="s">
        <v>31</v>
      </c>
      <c r="C7">
        <v>6.6502999999999997</v>
      </c>
      <c r="D7" s="1">
        <v>461700000</v>
      </c>
      <c r="E7" s="1">
        <v>12533.9</v>
      </c>
      <c r="F7">
        <v>7.0766804000000003E-2</v>
      </c>
      <c r="G7">
        <v>5.1701485E-3</v>
      </c>
      <c r="H7" s="1">
        <v>7.1785765000000001E-6</v>
      </c>
      <c r="I7" s="1">
        <v>6.7394226E-7</v>
      </c>
      <c r="J7" s="1">
        <v>1.1211334E-7</v>
      </c>
      <c r="K7" s="1">
        <v>7.3592638E-6</v>
      </c>
      <c r="L7">
        <v>3.2478833000000001E-3</v>
      </c>
      <c r="M7">
        <v>3.3806694000000002E-4</v>
      </c>
      <c r="N7">
        <v>-1.7949375999999999</v>
      </c>
      <c r="O7">
        <v>5.4126009000000003E-2</v>
      </c>
      <c r="P7" s="1">
        <v>4.6693179000000001E-8</v>
      </c>
      <c r="Q7" s="1">
        <v>4.9487771000000003E-9</v>
      </c>
      <c r="R7">
        <v>1.8969705999999999E-4</v>
      </c>
      <c r="S7">
        <v>1.1225372999999999E-3</v>
      </c>
      <c r="T7" t="s">
        <v>127</v>
      </c>
      <c r="U7">
        <f t="shared" si="2"/>
        <v>20</v>
      </c>
      <c r="V7">
        <f t="shared" si="0"/>
        <v>36</v>
      </c>
      <c r="W7" s="1">
        <f t="shared" si="1"/>
        <v>3070.4435100000001</v>
      </c>
      <c r="X7">
        <v>0.53</v>
      </c>
      <c r="AB7" t="s">
        <v>231</v>
      </c>
      <c r="AF7">
        <f>_xlfn.MAXIFS($W$2:$W$100,$T$2:$T$100,"1000C, 2hr")</f>
        <v>3322.5640601999999</v>
      </c>
    </row>
    <row r="8" spans="1:32" x14ac:dyDescent="0.3">
      <c r="A8" t="s">
        <v>32</v>
      </c>
      <c r="B8" t="s">
        <v>33</v>
      </c>
      <c r="C8">
        <v>6.6502999999999997</v>
      </c>
      <c r="D8" s="1">
        <v>505392000</v>
      </c>
      <c r="E8" s="1">
        <v>27938.799999999999</v>
      </c>
      <c r="F8">
        <v>2.184024E-2</v>
      </c>
      <c r="G8">
        <v>3.6930808999999999E-3</v>
      </c>
      <c r="H8" s="1">
        <v>9.4425040000000008E-6</v>
      </c>
      <c r="I8" s="1">
        <v>1.3572246999999999E-6</v>
      </c>
      <c r="J8" s="1">
        <v>8.1036145999999994E-6</v>
      </c>
      <c r="K8" s="1">
        <v>1.3673871E-5</v>
      </c>
      <c r="L8">
        <v>1.5377233000000001E-3</v>
      </c>
      <c r="M8">
        <v>3.6797069999999998E-4</v>
      </c>
      <c r="N8">
        <v>1.3123039000000001</v>
      </c>
      <c r="O8">
        <v>0.12087679</v>
      </c>
      <c r="P8" s="1">
        <v>2.6760244000000001E-8</v>
      </c>
      <c r="Q8" s="1">
        <v>5.1180881999999999E-9</v>
      </c>
      <c r="R8">
        <v>7.7298131999999997E-4</v>
      </c>
      <c r="S8">
        <v>3.9602586999999998E-4</v>
      </c>
      <c r="T8" t="s">
        <v>127</v>
      </c>
      <c r="U8">
        <f t="shared" si="2"/>
        <v>24</v>
      </c>
      <c r="V8">
        <f t="shared" si="0"/>
        <v>40</v>
      </c>
      <c r="W8" s="1">
        <f t="shared" si="1"/>
        <v>3361.0084176</v>
      </c>
      <c r="X8">
        <v>0.53</v>
      </c>
      <c r="AB8" t="s">
        <v>232</v>
      </c>
      <c r="AF8">
        <f>_xlfn.MAXIFS($W$2:$W$100,$T$2:$T$100,"500C, 10hr")</f>
        <v>3361.0084176</v>
      </c>
    </row>
    <row r="9" spans="1:32" x14ac:dyDescent="0.3">
      <c r="A9" t="s">
        <v>34</v>
      </c>
      <c r="B9" t="s">
        <v>35</v>
      </c>
      <c r="C9">
        <v>6.6502999999999997</v>
      </c>
      <c r="D9" s="1">
        <v>500044000</v>
      </c>
      <c r="E9" s="1">
        <v>14903.3</v>
      </c>
      <c r="F9">
        <v>1.1338190999999999E-2</v>
      </c>
      <c r="G9">
        <v>5.8210820999999996E-3</v>
      </c>
      <c r="H9" s="1">
        <v>1.1193752E-5</v>
      </c>
      <c r="I9" s="1">
        <v>3.5046783000000001E-6</v>
      </c>
      <c r="J9" s="1">
        <v>1.8942376000000001E-5</v>
      </c>
      <c r="K9" s="1">
        <v>3.4895409000000003E-5</v>
      </c>
      <c r="L9">
        <v>1.7406024000000001E-3</v>
      </c>
      <c r="M9">
        <v>6.3396792000000005E-4</v>
      </c>
      <c r="N9">
        <v>1.3673747000000001</v>
      </c>
      <c r="O9">
        <v>0.17186499999999999</v>
      </c>
      <c r="P9" s="1">
        <v>2.1382978E-8</v>
      </c>
      <c r="Q9" s="1">
        <v>4.7076017000000003E-9</v>
      </c>
      <c r="R9">
        <v>6.4409967999999997E-4</v>
      </c>
      <c r="S9">
        <v>3.2264605999999998E-4</v>
      </c>
      <c r="T9" t="s">
        <v>127</v>
      </c>
      <c r="U9">
        <f t="shared" si="2"/>
        <v>28</v>
      </c>
      <c r="V9">
        <f t="shared" si="0"/>
        <v>44</v>
      </c>
      <c r="W9" s="1">
        <f t="shared" si="1"/>
        <v>3325.4426131999999</v>
      </c>
      <c r="X9">
        <v>0.53</v>
      </c>
      <c r="AB9" t="s">
        <v>233</v>
      </c>
      <c r="AF9">
        <f>AF4/AF3-1</f>
        <v>1.8475324088493394E-2</v>
      </c>
    </row>
    <row r="10" spans="1:32" x14ac:dyDescent="0.3">
      <c r="A10" t="s">
        <v>36</v>
      </c>
      <c r="B10" t="s">
        <v>37</v>
      </c>
      <c r="C10">
        <v>6.6502999999999997</v>
      </c>
      <c r="D10" s="1">
        <v>499032000</v>
      </c>
      <c r="E10" s="1">
        <v>9841.93</v>
      </c>
      <c r="F10">
        <v>2.6473851999999999E-2</v>
      </c>
      <c r="G10">
        <v>3.5693315E-3</v>
      </c>
      <c r="H10" s="1">
        <v>7.4884233000000004E-6</v>
      </c>
      <c r="I10" s="1">
        <v>1.1776151000000001E-6</v>
      </c>
      <c r="J10" s="1">
        <v>5.2293538000000004E-6</v>
      </c>
      <c r="K10" s="1">
        <v>1.2653921E-5</v>
      </c>
      <c r="L10">
        <v>4.1333521999999999E-3</v>
      </c>
      <c r="M10">
        <v>5.3333953000000002E-4</v>
      </c>
      <c r="N10">
        <v>-1.4445192</v>
      </c>
      <c r="O10">
        <v>6.1680330999999998E-2</v>
      </c>
      <c r="P10" s="1">
        <v>2.2908785000000001E-8</v>
      </c>
      <c r="Q10" s="1">
        <v>2.0160311000000001E-9</v>
      </c>
      <c r="R10">
        <v>7.1491820999999996E-4</v>
      </c>
      <c r="S10">
        <v>6.5135230999999996E-4</v>
      </c>
      <c r="T10" t="s">
        <v>127</v>
      </c>
      <c r="U10">
        <f t="shared" si="2"/>
        <v>32</v>
      </c>
      <c r="V10">
        <f t="shared" si="0"/>
        <v>48</v>
      </c>
      <c r="W10" s="1">
        <f t="shared" si="1"/>
        <v>3318.7125096</v>
      </c>
      <c r="X10">
        <v>0.53</v>
      </c>
      <c r="AB10" t="s">
        <v>235</v>
      </c>
      <c r="AF10">
        <f>AF6/AF5-1</f>
        <v>2.4479202416061829E-2</v>
      </c>
    </row>
    <row r="11" spans="1:32" x14ac:dyDescent="0.3">
      <c r="A11" t="s">
        <v>38</v>
      </c>
      <c r="B11" t="s">
        <v>39</v>
      </c>
      <c r="C11">
        <v>6.6502999999999997</v>
      </c>
      <c r="D11" s="1">
        <v>495700000</v>
      </c>
      <c r="E11" s="1">
        <v>7446.25</v>
      </c>
      <c r="F11">
        <v>8.0923386E-2</v>
      </c>
      <c r="G11">
        <v>1.1660617E-2</v>
      </c>
      <c r="H11" s="1">
        <v>7.9891459000000004E-6</v>
      </c>
      <c r="I11" s="1">
        <v>8.4754769000000003E-7</v>
      </c>
      <c r="J11" s="1">
        <v>1.3940055000000001E-5</v>
      </c>
      <c r="K11" s="1">
        <v>1.2705362E-5</v>
      </c>
      <c r="L11">
        <v>1.7859413000000001E-2</v>
      </c>
      <c r="M11">
        <v>1.5072968E-3</v>
      </c>
      <c r="N11">
        <v>1.5785832</v>
      </c>
      <c r="O11">
        <v>3.3516760999999999E-2</v>
      </c>
      <c r="P11" s="1">
        <v>2.2702866999999999E-8</v>
      </c>
      <c r="Q11" s="1">
        <v>8.3889546999999995E-10</v>
      </c>
      <c r="R11">
        <v>8.4147100999999995E-4</v>
      </c>
      <c r="S11">
        <v>1.0089054E-3</v>
      </c>
      <c r="T11" t="s">
        <v>127</v>
      </c>
      <c r="U11">
        <f t="shared" si="2"/>
        <v>36</v>
      </c>
      <c r="V11">
        <f t="shared" si="0"/>
        <v>52</v>
      </c>
      <c r="W11" s="1">
        <f t="shared" si="1"/>
        <v>3296.5537100000001</v>
      </c>
      <c r="X11">
        <v>0.53</v>
      </c>
      <c r="AB11" t="s">
        <v>234</v>
      </c>
      <c r="AF11">
        <f>AF8/AF7-1</f>
        <v>1.1570689594976757E-2</v>
      </c>
    </row>
    <row r="12" spans="1:32" x14ac:dyDescent="0.3">
      <c r="A12" t="s">
        <v>40</v>
      </c>
      <c r="B12" t="s">
        <v>41</v>
      </c>
      <c r="C12">
        <v>6.6502999999999997</v>
      </c>
      <c r="D12" s="1">
        <v>496720000</v>
      </c>
      <c r="E12" s="1">
        <v>8480.24</v>
      </c>
      <c r="F12">
        <v>6.0928946999999997E-2</v>
      </c>
      <c r="G12">
        <v>1.9614958E-4</v>
      </c>
      <c r="H12" s="1">
        <v>7.174919E-6</v>
      </c>
      <c r="I12" s="1">
        <v>1.9649610000000001E-7</v>
      </c>
      <c r="J12" s="1">
        <v>4.9346371000000003E-14</v>
      </c>
      <c r="K12" t="s">
        <v>21</v>
      </c>
      <c r="L12">
        <v>1.0259191000000001E-2</v>
      </c>
      <c r="M12">
        <v>5.9538793000000003E-4</v>
      </c>
      <c r="N12">
        <v>1.270832</v>
      </c>
      <c r="O12">
        <v>2.8875281999999999E-2</v>
      </c>
      <c r="P12" s="1">
        <v>2.3211379E-8</v>
      </c>
      <c r="Q12" s="1">
        <v>9.8150349000000001E-10</v>
      </c>
      <c r="R12">
        <v>1.8005026E-4</v>
      </c>
      <c r="S12">
        <v>3.8933756E-4</v>
      </c>
      <c r="T12" t="s">
        <v>127</v>
      </c>
      <c r="U12">
        <f t="shared" si="2"/>
        <v>40</v>
      </c>
      <c r="V12">
        <f t="shared" si="0"/>
        <v>56</v>
      </c>
      <c r="W12" s="1">
        <f t="shared" si="1"/>
        <v>3303.3370159999999</v>
      </c>
      <c r="X12">
        <v>0.53</v>
      </c>
      <c r="AB12" t="s">
        <v>236</v>
      </c>
      <c r="AF12">
        <f>2*AF9+$AF$2</f>
        <v>4.7402663922880638E-2</v>
      </c>
    </row>
    <row r="13" spans="1:32" x14ac:dyDescent="0.3">
      <c r="A13" t="s">
        <v>42</v>
      </c>
      <c r="B13" t="s">
        <v>43</v>
      </c>
      <c r="C13">
        <v>6.6502999999999997</v>
      </c>
      <c r="D13" s="1">
        <v>495272000</v>
      </c>
      <c r="E13" s="1">
        <v>7002.71</v>
      </c>
      <c r="F13">
        <v>9.6640448000000004E-2</v>
      </c>
      <c r="G13">
        <v>1.2672053000000001E-2</v>
      </c>
      <c r="H13" s="1">
        <v>7.5014470000000001E-6</v>
      </c>
      <c r="I13" s="1">
        <v>8.1779653000000004E-7</v>
      </c>
      <c r="J13" s="1">
        <v>1.7033968999999998E-5</v>
      </c>
      <c r="K13" s="1">
        <v>1.1448169E-5</v>
      </c>
      <c r="L13">
        <v>2.3262962000000002E-2</v>
      </c>
      <c r="M13">
        <v>1.6475044000000001E-3</v>
      </c>
      <c r="N13">
        <v>1.5986940999999999</v>
      </c>
      <c r="O13">
        <v>2.8113617E-2</v>
      </c>
      <c r="P13" s="1">
        <v>2.3274219000000001E-8</v>
      </c>
      <c r="Q13" s="1">
        <v>7.3995040999999998E-10</v>
      </c>
      <c r="R13">
        <v>4.7709304E-4</v>
      </c>
      <c r="S13">
        <v>1.3076807999999999E-3</v>
      </c>
      <c r="T13" t="s">
        <v>127</v>
      </c>
      <c r="U13">
        <f t="shared" si="2"/>
        <v>44</v>
      </c>
      <c r="V13">
        <f t="shared" si="0"/>
        <v>60</v>
      </c>
      <c r="W13" s="1">
        <f t="shared" si="1"/>
        <v>3293.7073815999997</v>
      </c>
      <c r="X13">
        <v>0.53</v>
      </c>
      <c r="AB13" t="s">
        <v>237</v>
      </c>
      <c r="AF13">
        <f>2*AF10+$AF$2</f>
        <v>5.9410420578017507E-2</v>
      </c>
    </row>
    <row r="14" spans="1:32" x14ac:dyDescent="0.3">
      <c r="A14" t="s">
        <v>44</v>
      </c>
      <c r="B14" t="s">
        <v>45</v>
      </c>
      <c r="C14">
        <v>6.6502999999999997</v>
      </c>
      <c r="D14" s="1">
        <v>495610000</v>
      </c>
      <c r="E14" s="1">
        <v>7381.53</v>
      </c>
      <c r="F14">
        <v>0.12222776</v>
      </c>
      <c r="G14">
        <v>1.8278222E-2</v>
      </c>
      <c r="H14" s="1">
        <v>8.7858431000000007E-6</v>
      </c>
      <c r="I14" s="1">
        <v>8.3791438000000002E-7</v>
      </c>
      <c r="J14" s="1">
        <v>3.2742457000000003E-5</v>
      </c>
      <c r="K14" s="1">
        <v>1.019961E-5</v>
      </c>
      <c r="L14">
        <v>3.1114719999999998E-2</v>
      </c>
      <c r="M14">
        <v>2.3552619999999999E-3</v>
      </c>
      <c r="N14">
        <v>0.93506321000000003</v>
      </c>
      <c r="O14">
        <v>2.9155292999999999E-2</v>
      </c>
      <c r="P14" s="1">
        <v>2.1747829999999999E-8</v>
      </c>
      <c r="Q14" s="1">
        <v>6.0987215999999999E-10</v>
      </c>
      <c r="R14">
        <v>2.0620984000000002E-3</v>
      </c>
      <c r="S14">
        <v>1.0429189E-3</v>
      </c>
      <c r="T14" t="s">
        <v>127</v>
      </c>
      <c r="U14">
        <f t="shared" si="2"/>
        <v>48</v>
      </c>
      <c r="V14">
        <f t="shared" si="0"/>
        <v>64</v>
      </c>
      <c r="W14" s="1">
        <f t="shared" si="1"/>
        <v>3295.955183</v>
      </c>
      <c r="X14">
        <v>0.53</v>
      </c>
      <c r="AB14" t="s">
        <v>238</v>
      </c>
      <c r="AF14">
        <f>2*AF11+$AF$2</f>
        <v>3.3593394935847364E-2</v>
      </c>
    </row>
    <row r="15" spans="1:32" x14ac:dyDescent="0.3">
      <c r="A15" t="s">
        <v>46</v>
      </c>
      <c r="B15" t="s">
        <v>47</v>
      </c>
      <c r="C15">
        <v>6.6502999999999997</v>
      </c>
      <c r="D15" s="1">
        <v>495420000</v>
      </c>
      <c r="E15" s="1">
        <v>9703.09</v>
      </c>
      <c r="F15">
        <v>2.2788043000000001E-2</v>
      </c>
      <c r="G15">
        <v>3.2567456999999999E-3</v>
      </c>
      <c r="H15" s="1">
        <v>8.1031732999999999E-6</v>
      </c>
      <c r="I15" s="1">
        <v>1.2080273000000001E-6</v>
      </c>
      <c r="J15" s="1">
        <v>9.1131071000000003E-8</v>
      </c>
      <c r="K15" s="1">
        <v>1.3534747E-5</v>
      </c>
      <c r="L15">
        <v>4.1337600000000002E-3</v>
      </c>
      <c r="M15">
        <v>4.599289E-4</v>
      </c>
      <c r="N15">
        <v>1.1337946999999999</v>
      </c>
      <c r="O15">
        <v>5.4745202E-2</v>
      </c>
      <c r="P15" s="1">
        <v>2.2997116000000001E-8</v>
      </c>
      <c r="Q15" s="1">
        <v>1.8465068000000001E-9</v>
      </c>
      <c r="R15">
        <v>7.7058981999999999E-4</v>
      </c>
      <c r="S15">
        <v>5.1703361000000002E-4</v>
      </c>
      <c r="T15" t="s">
        <v>127</v>
      </c>
      <c r="U15">
        <f t="shared" si="2"/>
        <v>52</v>
      </c>
      <c r="V15">
        <f t="shared" si="0"/>
        <v>68</v>
      </c>
      <c r="W15" s="1">
        <f t="shared" si="1"/>
        <v>3294.6916259999998</v>
      </c>
      <c r="X15">
        <v>0.53</v>
      </c>
      <c r="AB15" t="s">
        <v>239</v>
      </c>
      <c r="AF15">
        <f>(59.8-56.7)/56.7</f>
        <v>5.4673721340387907E-2</v>
      </c>
    </row>
    <row r="16" spans="1:32" x14ac:dyDescent="0.3">
      <c r="A16" t="s">
        <v>48</v>
      </c>
      <c r="B16" t="s">
        <v>49</v>
      </c>
      <c r="C16">
        <v>6.6502999999999997</v>
      </c>
      <c r="D16" s="1">
        <v>499999000</v>
      </c>
      <c r="E16" s="1">
        <v>30420</v>
      </c>
      <c r="F16">
        <v>3.1095159000000001E-2</v>
      </c>
      <c r="G16">
        <v>2.1586948E-4</v>
      </c>
      <c r="H16" s="1">
        <v>8.6416214999999992E-6</v>
      </c>
      <c r="I16" s="1">
        <v>3.5547790000000001E-7</v>
      </c>
      <c r="J16" s="1">
        <v>3.0792406000000002E-13</v>
      </c>
      <c r="K16" t="s">
        <v>21</v>
      </c>
      <c r="L16">
        <v>4.0499656000000002E-3</v>
      </c>
      <c r="M16">
        <v>4.2768359000000002E-4</v>
      </c>
      <c r="N16">
        <v>1.3486146999999999</v>
      </c>
      <c r="O16">
        <v>0.10691355</v>
      </c>
      <c r="P16" s="1">
        <v>1.8451549000000001E-8</v>
      </c>
      <c r="Q16" t="s">
        <v>21</v>
      </c>
      <c r="R16">
        <v>9.0318843999999995E-4</v>
      </c>
      <c r="S16">
        <v>2.5286143999999998E-4</v>
      </c>
      <c r="T16" t="s">
        <v>127</v>
      </c>
      <c r="U16">
        <f t="shared" si="2"/>
        <v>56</v>
      </c>
      <c r="V16">
        <f t="shared" si="0"/>
        <v>72</v>
      </c>
      <c r="W16" s="1">
        <f t="shared" si="1"/>
        <v>3325.1433496999998</v>
      </c>
      <c r="X16">
        <v>0.53</v>
      </c>
    </row>
    <row r="17" spans="1:24" x14ac:dyDescent="0.3">
      <c r="A17" t="s">
        <v>50</v>
      </c>
      <c r="B17" t="s">
        <v>51</v>
      </c>
      <c r="C17">
        <v>6.6502999999999997</v>
      </c>
      <c r="D17" s="1">
        <v>443442000</v>
      </c>
      <c r="E17" s="1">
        <v>11347.6</v>
      </c>
      <c r="F17">
        <v>3.3441846999999997E-2</v>
      </c>
      <c r="G17">
        <v>1.6216557E-4</v>
      </c>
      <c r="H17" s="1">
        <v>8.0313438999999992E-6</v>
      </c>
      <c r="I17" s="1">
        <v>2.8853428000000002E-7</v>
      </c>
      <c r="J17" s="1">
        <v>4.6584220000000002E-12</v>
      </c>
      <c r="K17" t="s">
        <v>21</v>
      </c>
      <c r="L17">
        <v>3.1318433000000001E-3</v>
      </c>
      <c r="M17">
        <v>3.6087688E-4</v>
      </c>
      <c r="N17">
        <v>-0.77195121</v>
      </c>
      <c r="O17">
        <v>5.7115262E-2</v>
      </c>
      <c r="P17" s="1">
        <v>2.8883891000000001E-8</v>
      </c>
      <c r="Q17" s="1">
        <v>2.6727763E-9</v>
      </c>
      <c r="R17">
        <v>1.2452089999999999E-4</v>
      </c>
      <c r="S17">
        <v>2.5786453000000001E-4</v>
      </c>
      <c r="T17" t="s">
        <v>127</v>
      </c>
      <c r="U17">
        <f t="shared" si="2"/>
        <v>60</v>
      </c>
      <c r="V17">
        <f t="shared" si="0"/>
        <v>76</v>
      </c>
      <c r="W17" s="1">
        <f t="shared" si="1"/>
        <v>2949.0223326</v>
      </c>
      <c r="X17">
        <v>0.53</v>
      </c>
    </row>
    <row r="18" spans="1:24" x14ac:dyDescent="0.3">
      <c r="A18" t="s">
        <v>52</v>
      </c>
      <c r="B18" t="s">
        <v>53</v>
      </c>
      <c r="C18">
        <v>6.6502999999999997</v>
      </c>
      <c r="D18" s="1">
        <v>449176000</v>
      </c>
      <c r="E18" s="1">
        <v>10412.9</v>
      </c>
      <c r="F18">
        <v>1.5827470999999999E-2</v>
      </c>
      <c r="G18">
        <v>1.7526999000000001E-2</v>
      </c>
      <c r="H18" s="1">
        <v>1.1735391999999999E-5</v>
      </c>
      <c r="I18" s="1">
        <v>5.7943576000000003E-6</v>
      </c>
      <c r="J18" s="1">
        <v>4.7072425999999998E-5</v>
      </c>
      <c r="K18" s="1">
        <v>5.2749651E-5</v>
      </c>
      <c r="L18">
        <v>2.852757E-3</v>
      </c>
      <c r="M18">
        <v>1.1646123000000001E-3</v>
      </c>
      <c r="N18">
        <v>9.5558823000000001E-2</v>
      </c>
      <c r="O18">
        <v>0.15692473000000001</v>
      </c>
      <c r="P18" s="1">
        <v>2.5282541000000001E-8</v>
      </c>
      <c r="Q18" s="1">
        <v>4.3536815999999999E-9</v>
      </c>
      <c r="R18">
        <v>4.4968107E-4</v>
      </c>
      <c r="S18">
        <v>4.0017901999999999E-4</v>
      </c>
      <c r="T18" t="s">
        <v>127</v>
      </c>
      <c r="U18">
        <f t="shared" si="2"/>
        <v>64</v>
      </c>
      <c r="V18">
        <f t="shared" si="0"/>
        <v>80</v>
      </c>
      <c r="W18" s="1">
        <f t="shared" si="1"/>
        <v>2987.1551527999995</v>
      </c>
      <c r="X18">
        <v>0.53</v>
      </c>
    </row>
    <row r="19" spans="1:24" x14ac:dyDescent="0.3">
      <c r="A19" t="s">
        <v>54</v>
      </c>
      <c r="B19" t="s">
        <v>55</v>
      </c>
      <c r="C19">
        <v>6.6502999999999997</v>
      </c>
      <c r="D19" s="1">
        <v>446378000</v>
      </c>
      <c r="E19" s="1">
        <v>7334.08</v>
      </c>
      <c r="F19">
        <v>2.2202983999999999E-2</v>
      </c>
      <c r="G19">
        <v>4.1079167000000003E-3</v>
      </c>
      <c r="H19" s="1">
        <v>9.4238355999999998E-6</v>
      </c>
      <c r="I19" s="1">
        <v>1.3320440000000001E-6</v>
      </c>
      <c r="J19" s="1">
        <v>8.2647747999999999E-8</v>
      </c>
      <c r="K19" s="1">
        <v>1.6669962000000001E-5</v>
      </c>
      <c r="L19">
        <v>3.6800664000000002E-3</v>
      </c>
      <c r="M19">
        <v>3.3878465000000002E-4</v>
      </c>
      <c r="N19">
        <v>-2.5636011999999999</v>
      </c>
      <c r="O19">
        <v>4.6101158000000003E-2</v>
      </c>
      <c r="P19" s="1">
        <v>2.9621820000000001E-8</v>
      </c>
      <c r="Q19" s="1">
        <v>2.1852509E-9</v>
      </c>
      <c r="R19">
        <v>6.1912925999999999E-4</v>
      </c>
      <c r="S19">
        <v>4.0047849E-4</v>
      </c>
      <c r="T19" t="s">
        <v>127</v>
      </c>
      <c r="U19">
        <f t="shared" si="2"/>
        <v>68</v>
      </c>
      <c r="V19">
        <f t="shared" si="0"/>
        <v>84</v>
      </c>
      <c r="W19" s="1">
        <f t="shared" si="1"/>
        <v>2968.5476133999996</v>
      </c>
      <c r="X19">
        <v>0.53</v>
      </c>
    </row>
    <row r="20" spans="1:24" x14ac:dyDescent="0.3">
      <c r="A20" t="s">
        <v>56</v>
      </c>
      <c r="B20" t="s">
        <v>57</v>
      </c>
      <c r="C20">
        <v>6.6502999999999997</v>
      </c>
      <c r="D20" s="1">
        <v>442563000</v>
      </c>
      <c r="E20" s="1">
        <v>6387.46</v>
      </c>
      <c r="F20">
        <v>5.8845796999999998E-2</v>
      </c>
      <c r="G20">
        <v>2.6618418000000002E-4</v>
      </c>
      <c r="H20" s="1">
        <v>8.6619175000000004E-6</v>
      </c>
      <c r="I20" s="1">
        <v>2.4369898E-7</v>
      </c>
      <c r="J20" s="1">
        <v>4.0828801999999999E-9</v>
      </c>
      <c r="K20" t="s">
        <v>21</v>
      </c>
      <c r="L20">
        <v>5.1929921999999996E-3</v>
      </c>
      <c r="M20">
        <v>2.9149393000000001E-4</v>
      </c>
      <c r="N20">
        <v>-2.0009261999999999</v>
      </c>
      <c r="O20">
        <v>2.9082381000000001E-2</v>
      </c>
      <c r="P20" s="1">
        <v>4.8599481999999999E-8</v>
      </c>
      <c r="Q20" s="1">
        <v>2.7783022000000001E-9</v>
      </c>
      <c r="R20">
        <v>8.6454117999999996E-4</v>
      </c>
      <c r="S20">
        <v>3.3364296E-4</v>
      </c>
      <c r="T20" t="s">
        <v>127</v>
      </c>
      <c r="U20">
        <f t="shared" si="2"/>
        <v>72</v>
      </c>
      <c r="V20">
        <f t="shared" si="0"/>
        <v>88</v>
      </c>
      <c r="W20" s="1">
        <f t="shared" si="1"/>
        <v>2943.1767188999997</v>
      </c>
      <c r="X20">
        <v>0.53</v>
      </c>
    </row>
    <row r="21" spans="1:24" x14ac:dyDescent="0.3">
      <c r="A21" t="s">
        <v>58</v>
      </c>
      <c r="B21" t="s">
        <v>59</v>
      </c>
      <c r="C21">
        <v>6.6502999999999997</v>
      </c>
      <c r="D21" s="1">
        <v>434620000</v>
      </c>
      <c r="E21" s="1">
        <v>7105.87</v>
      </c>
      <c r="F21">
        <v>5.9394785999999998E-2</v>
      </c>
      <c r="G21">
        <v>2.2497994E-4</v>
      </c>
      <c r="H21" s="1">
        <v>8.5787491000000004E-6</v>
      </c>
      <c r="I21" s="1">
        <v>2.0654365E-7</v>
      </c>
      <c r="J21" s="1">
        <v>2.2623619000000001E-14</v>
      </c>
      <c r="K21" t="s">
        <v>21</v>
      </c>
      <c r="L21">
        <v>1.169592E-2</v>
      </c>
      <c r="M21">
        <v>5.1545484000000005E-4</v>
      </c>
      <c r="N21">
        <v>-1.2598697999999999</v>
      </c>
      <c r="O21">
        <v>2.1658825E-2</v>
      </c>
      <c r="P21" s="1">
        <v>2.6691652E-8</v>
      </c>
      <c r="Q21" s="1">
        <v>8.8685797000000003E-10</v>
      </c>
      <c r="R21">
        <v>8.2003583000000004E-4</v>
      </c>
      <c r="S21">
        <v>2.9028204E-4</v>
      </c>
      <c r="T21" t="s">
        <v>127</v>
      </c>
      <c r="U21">
        <f t="shared" si="2"/>
        <v>76</v>
      </c>
      <c r="V21">
        <f t="shared" si="0"/>
        <v>92</v>
      </c>
      <c r="W21" s="1">
        <f t="shared" si="1"/>
        <v>2890.3533859999998</v>
      </c>
      <c r="X21">
        <v>0.53</v>
      </c>
    </row>
    <row r="22" spans="1:24" x14ac:dyDescent="0.3">
      <c r="A22" t="s">
        <v>60</v>
      </c>
      <c r="B22" t="s">
        <v>61</v>
      </c>
      <c r="C22">
        <v>6.6502999999999997</v>
      </c>
      <c r="D22" s="1">
        <v>435846000</v>
      </c>
      <c r="E22" s="1">
        <v>5827.58</v>
      </c>
      <c r="F22">
        <v>2.8836264E-2</v>
      </c>
      <c r="G22">
        <v>1.9391012999999999E-4</v>
      </c>
      <c r="H22" s="1">
        <v>8.8991840000000007E-6</v>
      </c>
      <c r="I22" s="1">
        <v>3.4963171E-7</v>
      </c>
      <c r="J22" s="1">
        <v>4.2065516000000002E-9</v>
      </c>
      <c r="K22" t="s">
        <v>21</v>
      </c>
      <c r="L22">
        <v>5.3207068E-3</v>
      </c>
      <c r="M22">
        <v>3.2226995000000003E-4</v>
      </c>
      <c r="N22">
        <v>-1.5284114</v>
      </c>
      <c r="O22">
        <v>3.0268768000000001E-2</v>
      </c>
      <c r="P22" s="1">
        <v>3.2530777E-8</v>
      </c>
      <c r="Q22" s="1">
        <v>1.6534583999999999E-9</v>
      </c>
      <c r="R22">
        <v>6.4736412000000005E-4</v>
      </c>
      <c r="S22">
        <v>2.2357727000000001E-4</v>
      </c>
      <c r="T22" t="s">
        <v>127</v>
      </c>
      <c r="U22">
        <f t="shared" si="2"/>
        <v>80</v>
      </c>
      <c r="V22">
        <f t="shared" si="0"/>
        <v>96</v>
      </c>
      <c r="W22" s="1">
        <f t="shared" si="1"/>
        <v>2898.5066537999996</v>
      </c>
      <c r="X22">
        <v>0.53</v>
      </c>
    </row>
    <row r="23" spans="1:24" x14ac:dyDescent="0.3">
      <c r="A23" t="s">
        <v>62</v>
      </c>
      <c r="B23" t="s">
        <v>63</v>
      </c>
      <c r="C23">
        <v>6.6502999999999997</v>
      </c>
      <c r="D23" s="1">
        <v>430816000</v>
      </c>
      <c r="E23" s="1">
        <v>7165.35</v>
      </c>
      <c r="F23">
        <v>3.3552361000000003E-2</v>
      </c>
      <c r="G23">
        <v>1.9599738999999999E-4</v>
      </c>
      <c r="H23" s="1">
        <v>8.8266642999999994E-6</v>
      </c>
      <c r="I23" s="1">
        <v>3.0696946E-7</v>
      </c>
      <c r="J23" s="1">
        <v>1.2542399000000001E-8</v>
      </c>
      <c r="K23" t="s">
        <v>21</v>
      </c>
      <c r="L23">
        <v>6.6623194E-3</v>
      </c>
      <c r="M23">
        <v>4.1198790999999999E-4</v>
      </c>
      <c r="N23">
        <v>-0.94522481000000003</v>
      </c>
      <c r="O23">
        <v>3.0280491999999999E-2</v>
      </c>
      <c r="P23" s="1">
        <v>2.7607939999999999E-8</v>
      </c>
      <c r="Q23" s="1">
        <v>1.309649E-9</v>
      </c>
      <c r="R23">
        <v>1.1627426E-3</v>
      </c>
      <c r="S23">
        <v>2.3173004000000001E-4</v>
      </c>
      <c r="T23" t="s">
        <v>127</v>
      </c>
      <c r="U23">
        <f t="shared" si="2"/>
        <v>84</v>
      </c>
      <c r="V23">
        <f t="shared" si="0"/>
        <v>100</v>
      </c>
      <c r="W23" s="1">
        <f t="shared" si="1"/>
        <v>2865.0556447999998</v>
      </c>
      <c r="X23">
        <v>0.53</v>
      </c>
    </row>
    <row r="24" spans="1:24" x14ac:dyDescent="0.3">
      <c r="A24" t="s">
        <v>64</v>
      </c>
      <c r="B24" t="s">
        <v>65</v>
      </c>
      <c r="C24">
        <v>6.6502999999999997</v>
      </c>
      <c r="D24" s="1">
        <v>430839000</v>
      </c>
      <c r="E24" s="1">
        <v>9306.94</v>
      </c>
      <c r="F24">
        <v>2.0983965E-2</v>
      </c>
      <c r="G24">
        <v>7.8948799000000004E-3</v>
      </c>
      <c r="H24" s="1">
        <v>1.0023359000000001E-5</v>
      </c>
      <c r="I24" s="1">
        <v>2.3066043E-6</v>
      </c>
      <c r="J24" s="1">
        <v>2.211993E-5</v>
      </c>
      <c r="K24" s="1">
        <v>2.6701671999999999E-5</v>
      </c>
      <c r="L24">
        <v>3.7561516999999999E-3</v>
      </c>
      <c r="M24">
        <v>7.1874274000000005E-4</v>
      </c>
      <c r="N24">
        <v>0.12631522000000001</v>
      </c>
      <c r="O24">
        <v>8.1198803E-2</v>
      </c>
      <c r="P24" s="1">
        <v>2.4730338999999999E-8</v>
      </c>
      <c r="Q24" s="1">
        <v>2.6194205999999998E-9</v>
      </c>
      <c r="R24">
        <v>1.0042072000000001E-3</v>
      </c>
      <c r="S24">
        <v>4.4366586000000002E-4</v>
      </c>
      <c r="T24" t="s">
        <v>127</v>
      </c>
      <c r="U24">
        <f t="shared" si="2"/>
        <v>88</v>
      </c>
      <c r="V24">
        <f t="shared" si="0"/>
        <v>104</v>
      </c>
      <c r="W24" s="1">
        <f t="shared" si="1"/>
        <v>2865.2086016999997</v>
      </c>
      <c r="X24">
        <v>0.53</v>
      </c>
    </row>
    <row r="25" spans="1:24" x14ac:dyDescent="0.3">
      <c r="A25" t="s">
        <v>66</v>
      </c>
      <c r="B25" t="s">
        <v>67</v>
      </c>
      <c r="C25">
        <v>6.6502999999999997</v>
      </c>
      <c r="D25" s="1">
        <v>428754000</v>
      </c>
      <c r="E25" s="1">
        <v>5753.38</v>
      </c>
      <c r="F25">
        <v>4.2464531999999999E-2</v>
      </c>
      <c r="G25">
        <v>1.8426071000000001E-4</v>
      </c>
      <c r="H25" s="1">
        <v>7.8218001000000002E-6</v>
      </c>
      <c r="I25" s="1">
        <v>2.6150488000000003E-7</v>
      </c>
      <c r="J25" s="1">
        <v>3.6259286000000001E-9</v>
      </c>
      <c r="K25" t="s">
        <v>21</v>
      </c>
      <c r="L25">
        <v>7.7419248000000001E-3</v>
      </c>
      <c r="M25">
        <v>3.5820622000000001E-4</v>
      </c>
      <c r="N25">
        <v>-0.73845923999999996</v>
      </c>
      <c r="O25">
        <v>2.3030526999999999E-2</v>
      </c>
      <c r="P25" s="1">
        <v>3.290906E-8</v>
      </c>
      <c r="Q25" s="1">
        <v>1.2832248999999999E-9</v>
      </c>
      <c r="R25">
        <v>8.3173407000000003E-4</v>
      </c>
      <c r="S25">
        <v>3.0840526999999999E-4</v>
      </c>
      <c r="T25" t="s">
        <v>127</v>
      </c>
      <c r="U25">
        <f t="shared" si="2"/>
        <v>92</v>
      </c>
      <c r="V25">
        <f t="shared" si="0"/>
        <v>108</v>
      </c>
      <c r="W25" s="1">
        <f t="shared" si="1"/>
        <v>2851.3427262</v>
      </c>
      <c r="X25">
        <v>0.53</v>
      </c>
    </row>
    <row r="26" spans="1:24" x14ac:dyDescent="0.3">
      <c r="A26" t="s">
        <v>68</v>
      </c>
      <c r="B26" t="s">
        <v>69</v>
      </c>
      <c r="C26">
        <v>6.6502999999999997</v>
      </c>
      <c r="D26" s="1">
        <v>428345000</v>
      </c>
      <c r="E26" s="1">
        <v>6441.84</v>
      </c>
      <c r="F26">
        <v>7.4461953999999997E-2</v>
      </c>
      <c r="G26">
        <v>4.7406098000000001E-3</v>
      </c>
      <c r="H26" s="1">
        <v>6.7746245999999998E-6</v>
      </c>
      <c r="I26" s="1">
        <v>5.9359504000000003E-7</v>
      </c>
      <c r="J26" s="1">
        <v>4.3298954999999998E-8</v>
      </c>
      <c r="K26" s="1">
        <v>6.6564308000000003E-6</v>
      </c>
      <c r="L26">
        <v>1.4564081E-2</v>
      </c>
      <c r="M26">
        <v>5.3755323000000002E-4</v>
      </c>
      <c r="N26">
        <v>-0.71577791999999996</v>
      </c>
      <c r="O26">
        <v>1.8128089999999999E-2</v>
      </c>
      <c r="P26" s="1">
        <v>2.9567890999999999E-8</v>
      </c>
      <c r="Q26" s="1">
        <v>8.6827355000000004E-10</v>
      </c>
      <c r="R26">
        <v>-2.8421738000000002E-4</v>
      </c>
      <c r="S26">
        <v>1.1415679000000001E-3</v>
      </c>
      <c r="T26" t="s">
        <v>127</v>
      </c>
      <c r="U26">
        <f t="shared" si="2"/>
        <v>96</v>
      </c>
      <c r="V26">
        <f t="shared" si="0"/>
        <v>112</v>
      </c>
      <c r="W26" s="1">
        <f t="shared" si="1"/>
        <v>2848.6227534999998</v>
      </c>
      <c r="X26">
        <v>0.53</v>
      </c>
    </row>
    <row r="27" spans="1:24" x14ac:dyDescent="0.3">
      <c r="A27" t="s">
        <v>70</v>
      </c>
      <c r="B27" t="s">
        <v>71</v>
      </c>
      <c r="C27">
        <v>6.6502999999999997</v>
      </c>
      <c r="D27" s="1">
        <v>431537000</v>
      </c>
      <c r="E27" s="1">
        <v>6801.44</v>
      </c>
      <c r="F27">
        <v>5.7968674999999997E-2</v>
      </c>
      <c r="G27">
        <v>1.1174366E-2</v>
      </c>
      <c r="H27" s="1">
        <v>8.2169405E-6</v>
      </c>
      <c r="I27" s="1">
        <v>1.1112928999999999E-6</v>
      </c>
      <c r="J27" s="1">
        <v>9.9143982000000006E-6</v>
      </c>
      <c r="K27" s="1">
        <v>1.7533986E-5</v>
      </c>
      <c r="L27">
        <v>1.7845548999999999E-2</v>
      </c>
      <c r="M27">
        <v>1.0936184999999999E-3</v>
      </c>
      <c r="N27">
        <v>-0.29491569000000001</v>
      </c>
      <c r="O27">
        <v>2.4694456E-2</v>
      </c>
      <c r="P27" s="1">
        <v>2.5694212E-8</v>
      </c>
      <c r="Q27" s="1">
        <v>7.9371364999999997E-10</v>
      </c>
      <c r="R27">
        <v>7.9940733000000001E-4</v>
      </c>
      <c r="S27">
        <v>9.2018787000000004E-4</v>
      </c>
      <c r="T27" t="s">
        <v>127</v>
      </c>
      <c r="U27">
        <f t="shared" si="2"/>
        <v>100</v>
      </c>
      <c r="V27">
        <f t="shared" si="0"/>
        <v>116</v>
      </c>
      <c r="W27" s="1">
        <f t="shared" si="1"/>
        <v>2869.8505110999999</v>
      </c>
      <c r="X27">
        <v>0.53</v>
      </c>
    </row>
    <row r="28" spans="1:24" x14ac:dyDescent="0.3">
      <c r="A28" t="s">
        <v>72</v>
      </c>
      <c r="B28" t="s">
        <v>73</v>
      </c>
      <c r="C28">
        <v>6.6502999999999997</v>
      </c>
      <c r="D28" s="1">
        <v>430058000</v>
      </c>
      <c r="E28" s="1">
        <v>12450.8</v>
      </c>
      <c r="F28">
        <v>1.6802732000000001E-2</v>
      </c>
      <c r="G28">
        <v>1.1946082E-2</v>
      </c>
      <c r="H28" s="1">
        <v>1.1808737000000001E-5</v>
      </c>
      <c r="I28" s="1">
        <v>3.9672305E-6</v>
      </c>
      <c r="J28" s="1">
        <v>3.6937877999999997E-5</v>
      </c>
      <c r="K28" s="1">
        <v>3.8875999999999998E-5</v>
      </c>
      <c r="L28">
        <v>1.9683321999999998E-3</v>
      </c>
      <c r="M28">
        <v>7.7180214999999998E-4</v>
      </c>
      <c r="N28">
        <v>-0.41275606999999997</v>
      </c>
      <c r="O28">
        <v>0.15783021</v>
      </c>
      <c r="P28" s="1">
        <v>2.6480846000000001E-8</v>
      </c>
      <c r="Q28" s="1">
        <v>5.3718066999999997E-9</v>
      </c>
      <c r="R28">
        <v>6.1085301000000003E-4</v>
      </c>
      <c r="S28">
        <v>3.4422951000000001E-4</v>
      </c>
      <c r="T28" t="s">
        <v>127</v>
      </c>
      <c r="U28">
        <f t="shared" si="2"/>
        <v>104</v>
      </c>
      <c r="V28">
        <f t="shared" si="0"/>
        <v>120</v>
      </c>
      <c r="W28" s="1">
        <f t="shared" si="1"/>
        <v>2860.0147173999994</v>
      </c>
      <c r="X28">
        <v>0.53</v>
      </c>
    </row>
    <row r="29" spans="1:24" x14ac:dyDescent="0.3">
      <c r="A29" t="s">
        <v>74</v>
      </c>
      <c r="B29" t="s">
        <v>75</v>
      </c>
      <c r="C29">
        <v>6.6502999999999997</v>
      </c>
      <c r="D29" s="1">
        <v>435352000</v>
      </c>
      <c r="E29" s="1">
        <v>5878.58</v>
      </c>
      <c r="F29">
        <v>1.9989969999999999E-2</v>
      </c>
      <c r="G29">
        <v>3.9519936000000002E-3</v>
      </c>
      <c r="H29" s="1">
        <v>9.4241101000000008E-6</v>
      </c>
      <c r="I29" s="1">
        <v>1.5142453E-6</v>
      </c>
      <c r="J29" s="1">
        <v>9.3450505999999992E-6</v>
      </c>
      <c r="K29" s="1">
        <v>1.5938082999999999E-5</v>
      </c>
      <c r="L29">
        <v>2.1172913E-3</v>
      </c>
      <c r="M29">
        <v>2.4222413E-4</v>
      </c>
      <c r="N29">
        <v>-0.61636815</v>
      </c>
      <c r="O29">
        <v>5.7971281E-2</v>
      </c>
      <c r="P29" s="1">
        <v>3.8259895000000003E-8</v>
      </c>
      <c r="Q29" s="1">
        <v>4.0028683999999998E-9</v>
      </c>
      <c r="R29">
        <v>1.1346637E-3</v>
      </c>
      <c r="S29">
        <v>3.928197E-4</v>
      </c>
      <c r="T29" t="s">
        <v>127</v>
      </c>
      <c r="U29">
        <f t="shared" si="2"/>
        <v>108</v>
      </c>
      <c r="V29">
        <f t="shared" si="0"/>
        <v>124</v>
      </c>
      <c r="W29" s="1">
        <f t="shared" si="1"/>
        <v>2895.2214055999998</v>
      </c>
      <c r="X29">
        <v>0.53</v>
      </c>
    </row>
    <row r="30" spans="1:24" x14ac:dyDescent="0.3">
      <c r="A30" t="s">
        <v>76</v>
      </c>
      <c r="B30" t="s">
        <v>77</v>
      </c>
      <c r="C30">
        <v>6.6502999999999997</v>
      </c>
      <c r="D30" s="1">
        <v>437522000</v>
      </c>
      <c r="E30" s="1">
        <v>7232.56</v>
      </c>
      <c r="F30">
        <v>6.8461828000000002E-2</v>
      </c>
      <c r="G30">
        <v>4.6695512000000002E-3</v>
      </c>
      <c r="H30" s="1">
        <v>7.4853846000000004E-6</v>
      </c>
      <c r="I30" s="1">
        <v>5.8973923999999998E-7</v>
      </c>
      <c r="J30" s="1">
        <v>6.6712105999999996E-8</v>
      </c>
      <c r="K30" s="1">
        <v>6.7441242000000001E-6</v>
      </c>
      <c r="L30">
        <v>9.5271007000000008E-3</v>
      </c>
      <c r="M30">
        <v>4.7128320999999999E-4</v>
      </c>
      <c r="N30">
        <v>-1.0200566</v>
      </c>
      <c r="O30">
        <v>2.4474029000000001E-2</v>
      </c>
      <c r="P30" s="1">
        <v>3.0267855E-8</v>
      </c>
      <c r="Q30" s="1">
        <v>1.2187643E-9</v>
      </c>
      <c r="R30">
        <v>1.1351434000000001E-3</v>
      </c>
      <c r="S30">
        <v>8.6917129E-4</v>
      </c>
      <c r="T30" t="s">
        <v>127</v>
      </c>
      <c r="U30">
        <f t="shared" si="2"/>
        <v>112</v>
      </c>
      <c r="V30">
        <f t="shared" si="0"/>
        <v>128</v>
      </c>
      <c r="W30" s="1">
        <f t="shared" si="1"/>
        <v>2909.6525566</v>
      </c>
      <c r="X30">
        <v>0.53</v>
      </c>
    </row>
    <row r="31" spans="1:24" x14ac:dyDescent="0.3">
      <c r="A31" t="s">
        <v>78</v>
      </c>
      <c r="B31" t="s">
        <v>79</v>
      </c>
      <c r="C31">
        <v>6.6502999999999997</v>
      </c>
      <c r="D31" s="1">
        <v>441164000</v>
      </c>
      <c r="E31" s="1">
        <v>8831.08</v>
      </c>
      <c r="F31">
        <v>7.7959371E-2</v>
      </c>
      <c r="G31">
        <v>4.6454245999999998E-3</v>
      </c>
      <c r="H31" s="1">
        <v>6.7783660999999996E-6</v>
      </c>
      <c r="I31" s="1">
        <v>5.7155706999999998E-7</v>
      </c>
      <c r="J31" s="1">
        <v>1.2317380999999999E-7</v>
      </c>
      <c r="K31" s="1">
        <v>6.2116680000000001E-6</v>
      </c>
      <c r="L31">
        <v>8.7978442E-3</v>
      </c>
      <c r="M31">
        <v>5.2650389999999998E-4</v>
      </c>
      <c r="N31">
        <v>-0.74949129999999997</v>
      </c>
      <c r="O31">
        <v>2.9772776000000001E-2</v>
      </c>
      <c r="P31" s="1">
        <v>3.0049861999999997E-8</v>
      </c>
      <c r="Q31" s="1">
        <v>1.4737710999999999E-9</v>
      </c>
      <c r="R31">
        <v>1.0856561E-4</v>
      </c>
      <c r="S31">
        <v>1.1604918999999999E-3</v>
      </c>
      <c r="T31" t="s">
        <v>127</v>
      </c>
      <c r="U31">
        <f t="shared" si="2"/>
        <v>116</v>
      </c>
      <c r="V31">
        <f t="shared" si="0"/>
        <v>132</v>
      </c>
      <c r="W31" s="1">
        <f t="shared" si="1"/>
        <v>2933.8729491999998</v>
      </c>
      <c r="X31">
        <v>0.53</v>
      </c>
    </row>
    <row r="32" spans="1:24" x14ac:dyDescent="0.3">
      <c r="A32" t="s">
        <v>80</v>
      </c>
      <c r="B32" t="s">
        <v>81</v>
      </c>
      <c r="C32">
        <v>6.6502999999999997</v>
      </c>
      <c r="D32" s="1">
        <v>438945000</v>
      </c>
      <c r="E32" s="1">
        <v>13569.9</v>
      </c>
      <c r="F32">
        <v>2.9909506999999998E-2</v>
      </c>
      <c r="G32">
        <v>2.3592597999999999E-4</v>
      </c>
      <c r="H32" s="1">
        <v>8.9046973999999995E-6</v>
      </c>
      <c r="I32" s="1">
        <v>3.6579235999999998E-7</v>
      </c>
      <c r="J32" s="1">
        <v>6.1150308999999998E-12</v>
      </c>
      <c r="K32" t="s">
        <v>21</v>
      </c>
      <c r="L32">
        <v>2.1009228000000001E-3</v>
      </c>
      <c r="M32">
        <v>4.3816288999999999E-4</v>
      </c>
      <c r="N32">
        <v>-1.6695533</v>
      </c>
      <c r="O32">
        <v>9.6455170000000007E-2</v>
      </c>
      <c r="P32" s="1">
        <v>3.0055509E-8</v>
      </c>
      <c r="Q32" s="1">
        <v>4.5003462000000001E-9</v>
      </c>
      <c r="R32">
        <v>9.7956281000000003E-4</v>
      </c>
      <c r="S32">
        <v>2.3250003E-4</v>
      </c>
      <c r="T32" t="s">
        <v>127</v>
      </c>
      <c r="U32">
        <f t="shared" si="2"/>
        <v>120</v>
      </c>
      <c r="V32">
        <f t="shared" si="0"/>
        <v>136</v>
      </c>
      <c r="W32" s="1">
        <f t="shared" si="1"/>
        <v>2919.1159335000002</v>
      </c>
      <c r="X32">
        <v>0.53</v>
      </c>
    </row>
    <row r="33" spans="1:24" x14ac:dyDescent="0.3">
      <c r="A33" t="s">
        <v>82</v>
      </c>
      <c r="B33" t="s">
        <v>83</v>
      </c>
      <c r="C33">
        <v>6.6502999999999997</v>
      </c>
      <c r="D33" s="1">
        <v>469247000</v>
      </c>
      <c r="E33" s="1">
        <v>14175.3</v>
      </c>
      <c r="F33">
        <v>5.0472438000000001E-2</v>
      </c>
      <c r="G33">
        <v>2.1713926999999999E-4</v>
      </c>
      <c r="H33" s="1">
        <v>7.1080713000000003E-6</v>
      </c>
      <c r="I33" s="1">
        <v>2.5860155999999999E-7</v>
      </c>
      <c r="J33" s="1">
        <v>2.2857220999999999E-14</v>
      </c>
      <c r="K33" t="s">
        <v>21</v>
      </c>
      <c r="L33">
        <v>9.2034492999999995E-3</v>
      </c>
      <c r="M33">
        <v>1.2128384000000001E-3</v>
      </c>
      <c r="N33">
        <v>2.2462227000000001</v>
      </c>
      <c r="O33">
        <v>5.7759920999999999E-2</v>
      </c>
      <c r="P33" s="1">
        <v>2.0148389000000001E-8</v>
      </c>
      <c r="Q33" s="1">
        <v>1.2641332E-9</v>
      </c>
      <c r="R33">
        <v>1.0476346E-3</v>
      </c>
      <c r="S33">
        <v>4.0121637000000001E-4</v>
      </c>
      <c r="T33" t="s">
        <v>127</v>
      </c>
      <c r="U33">
        <f t="shared" si="2"/>
        <v>124</v>
      </c>
      <c r="V33">
        <f t="shared" si="0"/>
        <v>140</v>
      </c>
      <c r="W33" s="1">
        <f t="shared" si="1"/>
        <v>3120.6333240999998</v>
      </c>
      <c r="X33">
        <v>0.53</v>
      </c>
    </row>
    <row r="34" spans="1:24" x14ac:dyDescent="0.3">
      <c r="A34" t="s">
        <v>84</v>
      </c>
      <c r="B34" t="s">
        <v>85</v>
      </c>
      <c r="C34">
        <v>6.6502999999999997</v>
      </c>
      <c r="D34" s="1">
        <v>470409000</v>
      </c>
      <c r="E34" s="1">
        <v>6963.3</v>
      </c>
      <c r="F34">
        <v>9.0002557999999996E-2</v>
      </c>
      <c r="G34">
        <v>4.5462662999999999E-3</v>
      </c>
      <c r="H34" s="1">
        <v>6.5691596999999996E-6</v>
      </c>
      <c r="I34" s="1">
        <v>5.0035419999999999E-7</v>
      </c>
      <c r="J34" s="1">
        <v>4.4528297E-7</v>
      </c>
      <c r="K34" s="1">
        <v>5.3542576000000001E-6</v>
      </c>
      <c r="L34">
        <v>1.3827025E-2</v>
      </c>
      <c r="M34">
        <v>5.3843353999999996E-4</v>
      </c>
      <c r="N34">
        <v>2.4654821</v>
      </c>
      <c r="O34">
        <v>1.9605079000000001E-2</v>
      </c>
      <c r="P34" s="1">
        <v>2.9585545000000002E-8</v>
      </c>
      <c r="Q34" s="1">
        <v>9.4065609999999993E-10</v>
      </c>
      <c r="R34">
        <v>-1.2991235000000001E-3</v>
      </c>
      <c r="S34">
        <v>1.2402504E-3</v>
      </c>
      <c r="T34" t="s">
        <v>127</v>
      </c>
      <c r="U34">
        <f t="shared" si="2"/>
        <v>128</v>
      </c>
      <c r="V34">
        <f t="shared" si="0"/>
        <v>144</v>
      </c>
      <c r="W34" s="1">
        <f t="shared" si="1"/>
        <v>3128.3609726999998</v>
      </c>
      <c r="X34">
        <v>0.53</v>
      </c>
    </row>
    <row r="35" spans="1:24" x14ac:dyDescent="0.3">
      <c r="A35" t="s">
        <v>86</v>
      </c>
      <c r="B35" t="s">
        <v>87</v>
      </c>
      <c r="C35">
        <v>6.6502999999999997</v>
      </c>
      <c r="D35" s="1">
        <v>469340000</v>
      </c>
      <c r="E35" s="1">
        <v>6656.08</v>
      </c>
      <c r="F35">
        <v>8.3685659999999995E-2</v>
      </c>
      <c r="G35">
        <v>4.6529476000000004E-3</v>
      </c>
      <c r="H35" s="1">
        <v>6.9864096999999998E-6</v>
      </c>
      <c r="I35" s="1">
        <v>5.1796071000000005E-7</v>
      </c>
      <c r="J35" s="1">
        <v>1.7967699999999999E-8</v>
      </c>
      <c r="K35" s="1">
        <v>5.6991829999999997E-6</v>
      </c>
      <c r="L35">
        <v>1.3275611999999999E-2</v>
      </c>
      <c r="M35">
        <v>5.2226151000000001E-4</v>
      </c>
      <c r="N35">
        <v>2.6251308</v>
      </c>
      <c r="O35">
        <v>1.9804230999999999E-2</v>
      </c>
      <c r="P35" s="1">
        <v>2.9397216000000001E-8</v>
      </c>
      <c r="Q35" s="1">
        <v>9.411673399999999E-10</v>
      </c>
      <c r="R35">
        <v>-3.4477759000000002E-4</v>
      </c>
      <c r="S35">
        <v>1.0680607E-3</v>
      </c>
      <c r="T35" t="s">
        <v>127</v>
      </c>
      <c r="U35">
        <f t="shared" si="2"/>
        <v>132</v>
      </c>
      <c r="V35">
        <f t="shared" si="0"/>
        <v>148</v>
      </c>
      <c r="W35" s="1">
        <f t="shared" si="1"/>
        <v>3121.2518020000002</v>
      </c>
      <c r="X35">
        <v>0.53</v>
      </c>
    </row>
    <row r="36" spans="1:24" x14ac:dyDescent="0.3">
      <c r="A36" t="s">
        <v>88</v>
      </c>
      <c r="B36" t="s">
        <v>89</v>
      </c>
      <c r="C36">
        <v>6.6502999999999997</v>
      </c>
      <c r="D36" s="1">
        <v>465032000</v>
      </c>
      <c r="E36" s="1">
        <v>9334.44</v>
      </c>
      <c r="F36">
        <v>8.3738172999999999E-2</v>
      </c>
      <c r="G36">
        <v>4.0007751999999999E-3</v>
      </c>
      <c r="H36" s="1">
        <v>6.4695542999999997E-6</v>
      </c>
      <c r="I36" s="1">
        <v>4.8180991999999997E-7</v>
      </c>
      <c r="J36" s="1">
        <v>1.0338264999999999E-6</v>
      </c>
      <c r="K36" s="1">
        <v>5.0877658000000003E-6</v>
      </c>
      <c r="L36">
        <v>1.2711254E-2</v>
      </c>
      <c r="M36">
        <v>6.5706791000000005E-4</v>
      </c>
      <c r="N36">
        <v>-2.9899879</v>
      </c>
      <c r="O36">
        <v>2.5580137999999999E-2</v>
      </c>
      <c r="P36" s="1">
        <v>2.3676960999999998E-8</v>
      </c>
      <c r="Q36" s="1">
        <v>8.8052872000000005E-10</v>
      </c>
      <c r="R36">
        <v>-8.0953524000000002E-4</v>
      </c>
      <c r="S36">
        <v>1.1394459000000001E-3</v>
      </c>
      <c r="T36" t="s">
        <v>127</v>
      </c>
      <c r="U36">
        <f t="shared" si="2"/>
        <v>136</v>
      </c>
      <c r="V36">
        <f t="shared" si="0"/>
        <v>152</v>
      </c>
      <c r="W36" s="1">
        <f t="shared" si="1"/>
        <v>3092.6023095999999</v>
      </c>
      <c r="X36">
        <v>0.53</v>
      </c>
    </row>
    <row r="37" spans="1:24" x14ac:dyDescent="0.3">
      <c r="A37" t="s">
        <v>90</v>
      </c>
      <c r="B37" t="s">
        <v>91</v>
      </c>
      <c r="C37">
        <v>6.6502999999999997</v>
      </c>
      <c r="D37" s="1">
        <v>460462000</v>
      </c>
      <c r="E37" s="1">
        <v>14353.5</v>
      </c>
      <c r="F37">
        <v>8.6871787000000006E-2</v>
      </c>
      <c r="G37">
        <v>4.2680684E-3</v>
      </c>
      <c r="H37" s="1">
        <v>6.4954753999999996E-6</v>
      </c>
      <c r="I37" s="1">
        <v>4.9144485999999996E-7</v>
      </c>
      <c r="J37" s="1">
        <v>3.4908589000000003E-8</v>
      </c>
      <c r="K37" s="1">
        <v>5.2667317000000001E-6</v>
      </c>
      <c r="L37">
        <v>1.2878885E-2</v>
      </c>
      <c r="M37">
        <v>4.6114518999999999E-4</v>
      </c>
      <c r="N37">
        <v>-2.3644479</v>
      </c>
      <c r="O37">
        <v>3.5876808000000003E-2</v>
      </c>
      <c r="P37" s="1">
        <v>1.9523049000000001E-8</v>
      </c>
      <c r="Q37" t="s">
        <v>21</v>
      </c>
      <c r="R37">
        <v>-1.1402300000000001E-3</v>
      </c>
      <c r="S37">
        <v>1.2022415999999999E-3</v>
      </c>
      <c r="T37" t="s">
        <v>127</v>
      </c>
      <c r="U37">
        <f t="shared" si="2"/>
        <v>140</v>
      </c>
      <c r="V37">
        <f t="shared" si="0"/>
        <v>156</v>
      </c>
      <c r="W37" s="1">
        <f t="shared" si="1"/>
        <v>3062.2104386000001</v>
      </c>
      <c r="X37">
        <v>0.53</v>
      </c>
    </row>
    <row r="38" spans="1:24" x14ac:dyDescent="0.3">
      <c r="A38" t="s">
        <v>92</v>
      </c>
      <c r="B38" t="s">
        <v>93</v>
      </c>
      <c r="C38">
        <v>6.6502999999999997</v>
      </c>
      <c r="D38" s="1">
        <v>444910000</v>
      </c>
      <c r="E38" s="1">
        <v>41017.9</v>
      </c>
      <c r="F38">
        <v>8.8139776000000003E-2</v>
      </c>
      <c r="G38">
        <v>2.3816264999999999E-4</v>
      </c>
      <c r="H38" s="1">
        <v>6.9546511999999997E-6</v>
      </c>
      <c r="I38" s="1">
        <v>1.6286341E-7</v>
      </c>
      <c r="J38" s="1">
        <v>1.0399187E-10</v>
      </c>
      <c r="K38" t="s">
        <v>21</v>
      </c>
      <c r="L38">
        <v>5.8560942999999997E-3</v>
      </c>
      <c r="M38">
        <v>8.9506538000000001E-4</v>
      </c>
      <c r="N38">
        <v>-0.37195304000000001</v>
      </c>
      <c r="O38">
        <v>7.4727573000000005E-2</v>
      </c>
      <c r="P38" s="1">
        <v>2.0467732999999999E-8</v>
      </c>
      <c r="Q38" s="1">
        <v>2.0421320000000001E-9</v>
      </c>
      <c r="R38">
        <v>-5.0770440000000002E-4</v>
      </c>
      <c r="S38">
        <v>4.8836962999999998E-4</v>
      </c>
      <c r="T38" t="s">
        <v>127</v>
      </c>
      <c r="U38">
        <f t="shared" si="2"/>
        <v>144</v>
      </c>
      <c r="V38">
        <f t="shared" si="0"/>
        <v>160</v>
      </c>
      <c r="W38" s="1">
        <f t="shared" si="1"/>
        <v>2958.7849729999998</v>
      </c>
      <c r="X38">
        <v>0.53</v>
      </c>
    </row>
    <row r="39" spans="1:24" x14ac:dyDescent="0.3">
      <c r="A39" t="s">
        <v>94</v>
      </c>
      <c r="B39" t="s">
        <v>95</v>
      </c>
      <c r="C39">
        <v>6.6502999999999997</v>
      </c>
      <c r="D39" s="1">
        <v>447314000</v>
      </c>
      <c r="E39" s="1">
        <v>10050.799999999999</v>
      </c>
      <c r="F39">
        <v>8.2942027000000002E-2</v>
      </c>
      <c r="G39">
        <v>2.3092933999999999E-4</v>
      </c>
      <c r="H39" s="1">
        <v>7.1953395000000001E-6</v>
      </c>
      <c r="I39" s="1">
        <v>1.7144081000000001E-7</v>
      </c>
      <c r="J39" s="1">
        <v>6.5170172999999996E-11</v>
      </c>
      <c r="K39" t="s">
        <v>21</v>
      </c>
      <c r="L39">
        <v>7.0796009999999996E-3</v>
      </c>
      <c r="M39">
        <v>4.8138087E-4</v>
      </c>
      <c r="N39">
        <v>-1.1935415</v>
      </c>
      <c r="O39">
        <v>3.4057539999999997E-2</v>
      </c>
      <c r="P39" s="1">
        <v>3.1397964000000003E-8</v>
      </c>
      <c r="Q39" s="1">
        <v>1.7918211000000001E-9</v>
      </c>
      <c r="R39">
        <v>-1.2021052E-4</v>
      </c>
      <c r="S39">
        <v>4.5741708000000001E-4</v>
      </c>
      <c r="T39" t="s">
        <v>127</v>
      </c>
      <c r="U39">
        <f t="shared" si="2"/>
        <v>148</v>
      </c>
      <c r="V39">
        <f t="shared" si="0"/>
        <v>164</v>
      </c>
      <c r="W39" s="1">
        <f t="shared" si="1"/>
        <v>2974.7722942</v>
      </c>
      <c r="X39">
        <v>0.53</v>
      </c>
    </row>
    <row r="40" spans="1:24" x14ac:dyDescent="0.3">
      <c r="A40" t="s">
        <v>96</v>
      </c>
      <c r="B40" t="s">
        <v>97</v>
      </c>
      <c r="C40">
        <v>6.6502999999999997</v>
      </c>
      <c r="D40" s="1">
        <v>448741000</v>
      </c>
      <c r="E40" s="1">
        <v>7314.36</v>
      </c>
      <c r="F40">
        <v>9.1113633999999999E-2</v>
      </c>
      <c r="G40">
        <v>2.7521136E-4</v>
      </c>
      <c r="H40" s="1">
        <v>7.2239694999999997E-6</v>
      </c>
      <c r="I40" s="1">
        <v>1.8638248E-7</v>
      </c>
      <c r="J40" s="1">
        <v>1.1505394E-13</v>
      </c>
      <c r="K40" t="s">
        <v>21</v>
      </c>
      <c r="L40">
        <v>1.3412423999999999E-2</v>
      </c>
      <c r="M40">
        <v>7.3349224999999995E-4</v>
      </c>
      <c r="N40">
        <v>-2.1025396000000001</v>
      </c>
      <c r="O40">
        <v>2.5393542000000002E-2</v>
      </c>
      <c r="P40" s="1">
        <v>2.8947648999999999E-8</v>
      </c>
      <c r="Q40" s="1">
        <v>1.1221061E-9</v>
      </c>
      <c r="R40">
        <v>-2.0202025E-4</v>
      </c>
      <c r="S40">
        <v>5.2311247999999998E-4</v>
      </c>
      <c r="T40" t="s">
        <v>127</v>
      </c>
      <c r="U40">
        <f t="shared" si="2"/>
        <v>152</v>
      </c>
      <c r="V40">
        <f t="shared" si="0"/>
        <v>168</v>
      </c>
      <c r="W40" s="1">
        <f t="shared" si="1"/>
        <v>2984.2622722999995</v>
      </c>
      <c r="X40">
        <v>0.53</v>
      </c>
    </row>
    <row r="41" spans="1:24" x14ac:dyDescent="0.3">
      <c r="A41" t="s">
        <v>98</v>
      </c>
      <c r="B41" t="s">
        <v>99</v>
      </c>
      <c r="C41">
        <v>6.6502999999999997</v>
      </c>
      <c r="D41" s="1">
        <v>450532000</v>
      </c>
      <c r="E41" s="1">
        <v>7245.19</v>
      </c>
      <c r="F41">
        <v>5.5810023E-2</v>
      </c>
      <c r="G41">
        <v>2.5347119999999997E-4</v>
      </c>
      <c r="H41" s="1">
        <v>7.6643392000000004E-6</v>
      </c>
      <c r="I41" s="1">
        <v>2.7830174999999999E-7</v>
      </c>
      <c r="J41" s="1">
        <v>2.5810252000000003E-10</v>
      </c>
      <c r="K41" t="s">
        <v>21</v>
      </c>
      <c r="L41">
        <v>3.2575832000000002E-3</v>
      </c>
      <c r="M41">
        <v>3.0673461000000002E-4</v>
      </c>
      <c r="N41">
        <v>-1.9157308</v>
      </c>
      <c r="O41">
        <v>4.9132160000000001E-2</v>
      </c>
      <c r="P41" s="1">
        <v>5.0740459999999997E-8</v>
      </c>
      <c r="Q41" s="1">
        <v>5.0007311999999999E-9</v>
      </c>
      <c r="R41">
        <v>2.4520198E-4</v>
      </c>
      <c r="S41">
        <v>4.4805844999999998E-4</v>
      </c>
      <c r="T41" t="s">
        <v>127</v>
      </c>
      <c r="U41">
        <f t="shared" si="2"/>
        <v>156</v>
      </c>
      <c r="V41">
        <f t="shared" si="0"/>
        <v>172</v>
      </c>
      <c r="W41" s="1">
        <f t="shared" si="1"/>
        <v>2996.1729596</v>
      </c>
      <c r="X41">
        <v>0.53</v>
      </c>
    </row>
    <row r="42" spans="1:24" x14ac:dyDescent="0.3">
      <c r="A42" t="s">
        <v>100</v>
      </c>
      <c r="B42" t="s">
        <v>101</v>
      </c>
      <c r="C42">
        <v>6.6502999999999997</v>
      </c>
      <c r="D42" s="1">
        <v>451715000</v>
      </c>
      <c r="E42" s="1">
        <v>6864.12</v>
      </c>
      <c r="F42">
        <v>9.8706469000000005E-2</v>
      </c>
      <c r="G42">
        <v>5.3606822000000004E-3</v>
      </c>
      <c r="H42" s="1">
        <v>6.9245001000000003E-6</v>
      </c>
      <c r="I42" s="1">
        <v>5.0865500999999995E-7</v>
      </c>
      <c r="J42" s="1">
        <v>2.5516846000000001E-6</v>
      </c>
      <c r="K42" s="1">
        <v>5.4642585000000002E-6</v>
      </c>
      <c r="L42">
        <v>1.4605470000000001E-2</v>
      </c>
      <c r="M42">
        <v>5.8748166000000001E-4</v>
      </c>
      <c r="N42">
        <v>-2.5319167</v>
      </c>
      <c r="O42">
        <v>2.0079237E-2</v>
      </c>
      <c r="P42" s="1">
        <v>2.9949909000000001E-8</v>
      </c>
      <c r="Q42" s="1">
        <v>9.7822334999999999E-10</v>
      </c>
      <c r="R42">
        <v>-1.5670009999999999E-3</v>
      </c>
      <c r="S42">
        <v>1.2375222999999999E-3</v>
      </c>
      <c r="T42" t="s">
        <v>127</v>
      </c>
      <c r="U42">
        <f t="shared" si="2"/>
        <v>160</v>
      </c>
      <c r="V42">
        <f t="shared" si="0"/>
        <v>176</v>
      </c>
      <c r="W42" s="1">
        <f t="shared" si="1"/>
        <v>3004.0402644999999</v>
      </c>
      <c r="X42">
        <v>0.53</v>
      </c>
    </row>
    <row r="43" spans="1:24" x14ac:dyDescent="0.3">
      <c r="A43" t="s">
        <v>102</v>
      </c>
      <c r="B43" t="s">
        <v>103</v>
      </c>
      <c r="C43">
        <v>6.6502999999999997</v>
      </c>
      <c r="D43" s="1">
        <v>454130000</v>
      </c>
      <c r="E43" s="1">
        <v>6694.21</v>
      </c>
      <c r="F43">
        <v>9.1669539999999994E-2</v>
      </c>
      <c r="G43">
        <v>5.2233167999999998E-3</v>
      </c>
      <c r="H43" s="1">
        <v>7.0818028999999996E-6</v>
      </c>
      <c r="I43" s="1">
        <v>5.2757486000000001E-7</v>
      </c>
      <c r="J43" s="1">
        <v>1.4108458E-6</v>
      </c>
      <c r="K43" s="1">
        <v>5.7166535000000001E-6</v>
      </c>
      <c r="L43">
        <v>1.4239781999999999E-2</v>
      </c>
      <c r="M43">
        <v>5.5209496E-4</v>
      </c>
      <c r="N43">
        <v>-2.1950110999999999</v>
      </c>
      <c r="O43">
        <v>1.9334475E-2</v>
      </c>
      <c r="P43" s="1">
        <v>3.0658824E-8</v>
      </c>
      <c r="Q43" s="1">
        <v>9.8454381000000001E-10</v>
      </c>
      <c r="R43">
        <v>-1.3004144999999999E-3</v>
      </c>
      <c r="S43">
        <v>1.154799E-3</v>
      </c>
      <c r="T43" t="s">
        <v>127</v>
      </c>
      <c r="U43">
        <f t="shared" si="2"/>
        <v>164</v>
      </c>
      <c r="V43">
        <f t="shared" si="0"/>
        <v>180</v>
      </c>
      <c r="W43" s="1">
        <f t="shared" si="1"/>
        <v>3020.100739</v>
      </c>
      <c r="X43">
        <v>0.53</v>
      </c>
    </row>
    <row r="44" spans="1:24" x14ac:dyDescent="0.3">
      <c r="A44" t="s">
        <v>104</v>
      </c>
      <c r="B44" t="s">
        <v>105</v>
      </c>
      <c r="C44">
        <v>6.6502999999999997</v>
      </c>
      <c r="D44" s="1">
        <v>457098000</v>
      </c>
      <c r="E44" s="1">
        <v>6593.78</v>
      </c>
      <c r="F44">
        <v>0.1073219</v>
      </c>
      <c r="G44">
        <v>5.4274021E-3</v>
      </c>
      <c r="H44" s="1">
        <v>6.7827238000000002E-6</v>
      </c>
      <c r="I44" s="1">
        <v>4.9991152999999997E-7</v>
      </c>
      <c r="J44" s="1">
        <v>7.0830665E-6</v>
      </c>
      <c r="K44" s="1">
        <v>4.918279E-6</v>
      </c>
      <c r="L44">
        <v>1.6328155E-2</v>
      </c>
      <c r="M44">
        <v>6.0969306999999996E-4</v>
      </c>
      <c r="N44">
        <v>-2.4748073000000002</v>
      </c>
      <c r="O44">
        <v>1.8622501999999999E-2</v>
      </c>
      <c r="P44" s="1">
        <v>3.0206896E-8</v>
      </c>
      <c r="Q44" s="1">
        <v>9.2754795999999998E-10</v>
      </c>
      <c r="R44">
        <v>-2.4900486000000001E-3</v>
      </c>
      <c r="S44">
        <v>1.353218E-3</v>
      </c>
      <c r="T44" t="s">
        <v>127</v>
      </c>
      <c r="U44">
        <f t="shared" si="2"/>
        <v>168</v>
      </c>
      <c r="V44">
        <f t="shared" si="0"/>
        <v>184</v>
      </c>
      <c r="W44" s="1">
        <f t="shared" si="1"/>
        <v>3039.8388293999997</v>
      </c>
      <c r="X44">
        <v>0.53</v>
      </c>
    </row>
    <row r="45" spans="1:24" x14ac:dyDescent="0.3">
      <c r="A45" t="s">
        <v>106</v>
      </c>
      <c r="B45" t="s">
        <v>107</v>
      </c>
      <c r="C45">
        <v>6.6502999999999997</v>
      </c>
      <c r="D45" s="1">
        <v>460134000</v>
      </c>
      <c r="E45" s="1">
        <v>7166.75</v>
      </c>
      <c r="F45">
        <v>0.10562365999999999</v>
      </c>
      <c r="G45">
        <v>6.2831537000000003E-3</v>
      </c>
      <c r="H45" s="1">
        <v>7.7923541999999992E-6</v>
      </c>
      <c r="I45" s="1">
        <v>5.0631555E-7</v>
      </c>
      <c r="J45" s="1">
        <v>8.5809832999999996E-7</v>
      </c>
      <c r="K45" s="1">
        <v>5.7119897E-6</v>
      </c>
      <c r="L45">
        <v>1.8448061000000002E-2</v>
      </c>
      <c r="M45">
        <v>6.6073122E-4</v>
      </c>
      <c r="N45">
        <v>-2.8344204999999998</v>
      </c>
      <c r="O45">
        <v>1.7782487E-2</v>
      </c>
      <c r="P45" s="1">
        <v>2.8715932999999999E-8</v>
      </c>
      <c r="Q45" s="1">
        <v>8.2357909999999999E-10</v>
      </c>
      <c r="R45">
        <v>-4.9161471000000001E-4</v>
      </c>
      <c r="S45">
        <v>1.0676584999999999E-3</v>
      </c>
      <c r="T45" t="s">
        <v>127</v>
      </c>
      <c r="U45">
        <f t="shared" si="2"/>
        <v>172</v>
      </c>
      <c r="V45">
        <f t="shared" si="0"/>
        <v>188</v>
      </c>
      <c r="W45" s="1">
        <f t="shared" si="1"/>
        <v>3060.0291401999998</v>
      </c>
      <c r="X45">
        <v>0.53</v>
      </c>
    </row>
    <row r="46" spans="1:24" x14ac:dyDescent="0.3">
      <c r="A46" t="s">
        <v>108</v>
      </c>
      <c r="B46" t="s">
        <v>109</v>
      </c>
      <c r="C46">
        <v>6.6502999999999997</v>
      </c>
      <c r="D46" s="1">
        <v>464088000</v>
      </c>
      <c r="E46" s="1">
        <v>6799.89</v>
      </c>
      <c r="F46">
        <v>0.10352871</v>
      </c>
      <c r="G46">
        <v>6.0926475999999999E-3</v>
      </c>
      <c r="H46" s="1">
        <v>7.6297221999999992E-6</v>
      </c>
      <c r="I46" s="1">
        <v>5.1017730999999996E-7</v>
      </c>
      <c r="J46" s="1">
        <v>1.1161431000000001E-6</v>
      </c>
      <c r="K46" s="1">
        <v>5.6934242000000001E-6</v>
      </c>
      <c r="L46">
        <v>2.0624079E-2</v>
      </c>
      <c r="M46">
        <v>6.6486932000000003E-4</v>
      </c>
      <c r="N46">
        <v>2.9539927000000001</v>
      </c>
      <c r="O46">
        <v>1.5999126999999998E-2</v>
      </c>
      <c r="P46" s="1">
        <v>2.8335684999999999E-8</v>
      </c>
      <c r="Q46" s="1">
        <v>7.2644715000000003E-10</v>
      </c>
      <c r="R46">
        <v>-8.0567270999999999E-4</v>
      </c>
      <c r="S46">
        <v>1.0967856000000001E-3</v>
      </c>
      <c r="T46" t="s">
        <v>127</v>
      </c>
      <c r="U46">
        <f t="shared" si="2"/>
        <v>176</v>
      </c>
      <c r="V46">
        <f t="shared" si="0"/>
        <v>192</v>
      </c>
      <c r="W46" s="1">
        <f t="shared" si="1"/>
        <v>3086.3244263999995</v>
      </c>
      <c r="X46">
        <v>0.53</v>
      </c>
    </row>
    <row r="47" spans="1:24" x14ac:dyDescent="0.3">
      <c r="A47" t="s">
        <v>110</v>
      </c>
      <c r="B47" t="s">
        <v>111</v>
      </c>
      <c r="C47">
        <v>6.6502999999999997</v>
      </c>
      <c r="D47" s="1">
        <v>468366000</v>
      </c>
      <c r="E47" s="1">
        <v>6695.13</v>
      </c>
      <c r="F47">
        <v>8.1112938999999995E-2</v>
      </c>
      <c r="G47">
        <v>5.3682870999999998E-3</v>
      </c>
      <c r="H47" s="1">
        <v>8.0102509999999995E-6</v>
      </c>
      <c r="I47" s="1">
        <v>5.4926622000000005E-7</v>
      </c>
      <c r="J47" s="1">
        <v>1.3730439000000001E-7</v>
      </c>
      <c r="K47" s="1">
        <v>6.3221830000000004E-6</v>
      </c>
      <c r="L47">
        <v>1.697425E-2</v>
      </c>
      <c r="M47">
        <v>5.5791450999999998E-4</v>
      </c>
      <c r="N47">
        <v>2.5373089000000002</v>
      </c>
      <c r="O47">
        <v>1.6380849999999999E-2</v>
      </c>
      <c r="P47" s="1">
        <v>2.8367237000000001E-8</v>
      </c>
      <c r="Q47" s="1">
        <v>7.4286464999999999E-10</v>
      </c>
      <c r="R47">
        <v>7.6621980000000001E-4</v>
      </c>
      <c r="S47">
        <v>8.4601950999999996E-4</v>
      </c>
      <c r="T47" t="s">
        <v>127</v>
      </c>
      <c r="U47">
        <f t="shared" si="2"/>
        <v>180</v>
      </c>
      <c r="V47">
        <f t="shared" si="0"/>
        <v>196</v>
      </c>
      <c r="W47" s="1">
        <f t="shared" si="1"/>
        <v>3114.7744097999998</v>
      </c>
      <c r="X47">
        <v>0.53</v>
      </c>
    </row>
    <row r="48" spans="1:24" x14ac:dyDescent="0.3">
      <c r="A48" t="s">
        <v>112</v>
      </c>
      <c r="B48" t="s">
        <v>113</v>
      </c>
      <c r="C48">
        <v>6.6502999999999997</v>
      </c>
      <c r="D48" s="1">
        <v>470654000</v>
      </c>
      <c r="E48" s="1">
        <v>7109.98</v>
      </c>
      <c r="F48">
        <v>8.8308741999999996E-2</v>
      </c>
      <c r="G48">
        <v>2.8727157000000002E-4</v>
      </c>
      <c r="H48" s="1">
        <v>8.7127437999999992E-6</v>
      </c>
      <c r="I48" s="1">
        <v>1.7702578000000001E-7</v>
      </c>
      <c r="J48" s="1">
        <v>1.0401709E-11</v>
      </c>
      <c r="K48" t="s">
        <v>21</v>
      </c>
      <c r="L48">
        <v>1.6854959999999999E-2</v>
      </c>
      <c r="M48">
        <v>5.8592104000000005E-4</v>
      </c>
      <c r="N48">
        <v>2.3349085000000001</v>
      </c>
      <c r="O48">
        <v>1.7412951999999999E-2</v>
      </c>
      <c r="P48" s="1">
        <v>2.8412223000000002E-8</v>
      </c>
      <c r="Q48" s="1">
        <v>7.8924484000000001E-10</v>
      </c>
      <c r="R48">
        <v>1.2499567E-3</v>
      </c>
      <c r="S48">
        <v>3.6262171999999998E-4</v>
      </c>
      <c r="T48" t="s">
        <v>127</v>
      </c>
      <c r="U48">
        <f t="shared" si="2"/>
        <v>184</v>
      </c>
      <c r="V48">
        <f t="shared" si="0"/>
        <v>200</v>
      </c>
      <c r="W48" s="1">
        <f t="shared" si="1"/>
        <v>3129.9902961999996</v>
      </c>
      <c r="X48">
        <v>0.53</v>
      </c>
    </row>
    <row r="49" spans="1:24" x14ac:dyDescent="0.3">
      <c r="A49" t="s">
        <v>114</v>
      </c>
      <c r="B49" t="s">
        <v>115</v>
      </c>
      <c r="C49">
        <v>6.6502999999999997</v>
      </c>
      <c r="D49" s="1">
        <v>473205000</v>
      </c>
      <c r="E49" s="1">
        <v>6486.93</v>
      </c>
      <c r="F49">
        <v>1.2499431E-2</v>
      </c>
      <c r="G49">
        <v>5.8666769999999998E-3</v>
      </c>
      <c r="H49" s="1">
        <v>1.1590937000000001E-5</v>
      </c>
      <c r="I49" s="1">
        <v>3.0322219000000002E-6</v>
      </c>
      <c r="J49" s="1">
        <v>1.2716471E-5</v>
      </c>
      <c r="K49" s="1">
        <v>3.4433575E-5</v>
      </c>
      <c r="L49">
        <v>2.9852325000000002E-3</v>
      </c>
      <c r="M49">
        <v>4.6211439999999999E-4</v>
      </c>
      <c r="N49">
        <v>-1.7277832</v>
      </c>
      <c r="O49">
        <v>7.2090812000000004E-2</v>
      </c>
      <c r="P49" s="1">
        <v>2.5777387000000001E-8</v>
      </c>
      <c r="Q49" s="1">
        <v>2.7337395E-9</v>
      </c>
      <c r="R49">
        <v>6.5936244999999997E-4</v>
      </c>
      <c r="S49">
        <v>2.9552472000000002E-4</v>
      </c>
      <c r="T49" t="s">
        <v>127</v>
      </c>
      <c r="U49">
        <f t="shared" si="2"/>
        <v>188</v>
      </c>
      <c r="V49">
        <f t="shared" si="0"/>
        <v>204</v>
      </c>
      <c r="W49" s="1">
        <f t="shared" si="1"/>
        <v>3146.9552115000001</v>
      </c>
      <c r="X49">
        <v>0.53</v>
      </c>
    </row>
    <row r="50" spans="1:24" x14ac:dyDescent="0.3">
      <c r="A50" t="s">
        <v>116</v>
      </c>
      <c r="B50" t="s">
        <v>117</v>
      </c>
      <c r="C50">
        <v>6.6502999999999997</v>
      </c>
      <c r="D50" s="1">
        <v>476487000</v>
      </c>
      <c r="E50" s="1">
        <v>6527.42</v>
      </c>
      <c r="F50">
        <v>2.7597034999999999E-2</v>
      </c>
      <c r="G50">
        <v>2.7896239000000002E-4</v>
      </c>
      <c r="H50" s="1">
        <v>8.2772718999999996E-6</v>
      </c>
      <c r="I50" s="1">
        <v>4.4739603999999998E-7</v>
      </c>
      <c r="J50" s="1">
        <v>1.1176896E-9</v>
      </c>
      <c r="K50" t="s">
        <v>21</v>
      </c>
      <c r="L50">
        <v>1.0819417E-2</v>
      </c>
      <c r="M50">
        <v>9.0162254000000005E-4</v>
      </c>
      <c r="N50">
        <v>-2.4411049999999999</v>
      </c>
      <c r="O50">
        <v>3.4423833000000001E-2</v>
      </c>
      <c r="P50" s="1">
        <v>2.3879002999999999E-8</v>
      </c>
      <c r="Q50" s="1">
        <v>1.0112172999999999E-9</v>
      </c>
      <c r="R50">
        <v>4.1366915000000002E-4</v>
      </c>
      <c r="S50">
        <v>2.8394355000000001E-4</v>
      </c>
      <c r="T50" t="s">
        <v>127</v>
      </c>
      <c r="U50">
        <f t="shared" si="2"/>
        <v>192</v>
      </c>
      <c r="V50">
        <f t="shared" si="0"/>
        <v>208</v>
      </c>
      <c r="W50" s="1">
        <f t="shared" si="1"/>
        <v>3168.7814960999999</v>
      </c>
      <c r="X50">
        <v>0.53</v>
      </c>
    </row>
    <row r="51" spans="1:24" x14ac:dyDescent="0.3">
      <c r="A51" t="s">
        <v>118</v>
      </c>
      <c r="B51" t="s">
        <v>119</v>
      </c>
      <c r="C51">
        <v>6.6502999999999997</v>
      </c>
      <c r="D51" s="1">
        <v>472905000</v>
      </c>
      <c r="E51" s="1">
        <v>6944.18</v>
      </c>
      <c r="F51">
        <v>6.8620222999999994E-2</v>
      </c>
      <c r="G51">
        <v>5.2204992999999996E-3</v>
      </c>
      <c r="H51" s="1">
        <v>8.6303916999999995E-6</v>
      </c>
      <c r="I51" s="1">
        <v>6.1629367999999998E-7</v>
      </c>
      <c r="J51" s="1">
        <v>3.7459509999999999E-6</v>
      </c>
      <c r="K51" s="1">
        <v>6.7522412999999998E-6</v>
      </c>
      <c r="L51">
        <v>1.1225000000000001E-2</v>
      </c>
      <c r="M51">
        <v>5.1238499000000001E-4</v>
      </c>
      <c r="N51">
        <v>2.8152457000000002</v>
      </c>
      <c r="O51">
        <v>2.2759333999999999E-2</v>
      </c>
      <c r="P51" s="1">
        <v>2.8432764000000001E-8</v>
      </c>
      <c r="Q51" s="1">
        <v>1.0449689E-9</v>
      </c>
      <c r="R51">
        <v>7.8375199000000001E-4</v>
      </c>
      <c r="S51">
        <v>6.8494002000000001E-4</v>
      </c>
      <c r="T51" t="s">
        <v>127</v>
      </c>
      <c r="U51">
        <f t="shared" si="2"/>
        <v>196</v>
      </c>
      <c r="V51">
        <f t="shared" si="0"/>
        <v>212</v>
      </c>
      <c r="W51" s="1">
        <f t="shared" si="1"/>
        <v>3144.9601214999998</v>
      </c>
      <c r="X51">
        <v>0.53</v>
      </c>
    </row>
    <row r="52" spans="1:24" x14ac:dyDescent="0.3">
      <c r="A52" t="s">
        <v>120</v>
      </c>
      <c r="B52" t="s">
        <v>121</v>
      </c>
      <c r="C52">
        <v>6.6502999999999997</v>
      </c>
      <c r="D52" s="1">
        <v>464607000</v>
      </c>
      <c r="E52" s="1">
        <v>12679.6</v>
      </c>
      <c r="F52">
        <v>7.2684003999999997E-2</v>
      </c>
      <c r="G52">
        <v>2.4706031999999998E-4</v>
      </c>
      <c r="H52" s="1">
        <v>7.6891955000000002E-6</v>
      </c>
      <c r="I52" s="1">
        <v>2.0909427000000001E-7</v>
      </c>
      <c r="J52" s="1">
        <v>1.6873122000000001E-11</v>
      </c>
      <c r="K52" t="s">
        <v>21</v>
      </c>
      <c r="L52">
        <v>7.1162647000000004E-3</v>
      </c>
      <c r="M52">
        <v>5.6813136999999997E-4</v>
      </c>
      <c r="N52">
        <v>-1.6916879</v>
      </c>
      <c r="O52">
        <v>4.0072535999999999E-2</v>
      </c>
      <c r="P52" s="1">
        <v>2.8479872E-8</v>
      </c>
      <c r="Q52" s="1">
        <v>1.8537476E-9</v>
      </c>
      <c r="R52">
        <v>-1.0258292E-4</v>
      </c>
      <c r="S52">
        <v>4.4034735999999998E-4</v>
      </c>
      <c r="T52" t="s">
        <v>127</v>
      </c>
      <c r="U52">
        <f t="shared" si="2"/>
        <v>200</v>
      </c>
      <c r="V52">
        <f t="shared" si="0"/>
        <v>216</v>
      </c>
      <c r="W52" s="1">
        <f t="shared" si="1"/>
        <v>3089.7759320999999</v>
      </c>
      <c r="X52">
        <v>0.53</v>
      </c>
    </row>
    <row r="53" spans="1:24" x14ac:dyDescent="0.3">
      <c r="A53" t="s">
        <v>122</v>
      </c>
      <c r="B53" t="s">
        <v>123</v>
      </c>
      <c r="C53">
        <v>6.6502999999999997</v>
      </c>
      <c r="D53" s="1">
        <v>504645000</v>
      </c>
      <c r="E53" s="1">
        <v>16237</v>
      </c>
      <c r="F53">
        <v>6.4934908999999999E-2</v>
      </c>
      <c r="G53">
        <v>2.6200826999999999E-4</v>
      </c>
      <c r="H53" s="1">
        <v>8.8468057999999996E-6</v>
      </c>
      <c r="I53" s="1">
        <v>2.1929824000000001E-7</v>
      </c>
      <c r="J53" s="1">
        <v>2.9479558000000001E-10</v>
      </c>
      <c r="K53" t="s">
        <v>21</v>
      </c>
      <c r="L53">
        <v>6.6336609000000003E-3</v>
      </c>
      <c r="M53">
        <v>5.8481748999999995E-4</v>
      </c>
      <c r="N53">
        <v>0.21454023</v>
      </c>
      <c r="O53">
        <v>4.4298527999999997E-2</v>
      </c>
      <c r="P53" s="1">
        <v>2.6064868E-8</v>
      </c>
      <c r="Q53" s="1">
        <v>1.7916072999999999E-9</v>
      </c>
      <c r="R53">
        <v>1.2447557E-3</v>
      </c>
      <c r="S53">
        <v>3.2396199E-4</v>
      </c>
      <c r="T53" t="s">
        <v>127</v>
      </c>
      <c r="U53">
        <f t="shared" si="2"/>
        <v>204</v>
      </c>
      <c r="V53">
        <f t="shared" si="0"/>
        <v>220</v>
      </c>
      <c r="W53" s="1">
        <f t="shared" si="1"/>
        <v>3356.0406435</v>
      </c>
      <c r="X53">
        <v>0.53</v>
      </c>
    </row>
    <row r="54" spans="1:24" x14ac:dyDescent="0.3">
      <c r="A54" t="s">
        <v>124</v>
      </c>
      <c r="B54" t="s">
        <v>125</v>
      </c>
      <c r="C54">
        <v>6.6502999999999997</v>
      </c>
      <c r="D54" s="1">
        <v>500629000</v>
      </c>
      <c r="E54" s="1">
        <v>9918.49</v>
      </c>
      <c r="F54">
        <v>6.5486926000000001E-2</v>
      </c>
      <c r="G54">
        <v>5.2498025999999998E-3</v>
      </c>
      <c r="H54" s="1">
        <v>7.9582823000000003E-6</v>
      </c>
      <c r="I54" s="1">
        <v>6.4370815E-7</v>
      </c>
      <c r="J54" s="1">
        <v>5.1630076000000004E-7</v>
      </c>
      <c r="K54" s="1">
        <v>7.6933135999999999E-6</v>
      </c>
      <c r="L54">
        <v>8.4742237999999998E-3</v>
      </c>
      <c r="M54">
        <v>5.7950617999999996E-4</v>
      </c>
      <c r="N54">
        <v>-2.3054762000000002</v>
      </c>
      <c r="O54">
        <v>3.3401627000000003E-2</v>
      </c>
      <c r="P54" s="1">
        <v>2.6741425000000001E-8</v>
      </c>
      <c r="Q54" s="1">
        <v>1.3638727E-9</v>
      </c>
      <c r="R54">
        <v>1.0700168999999999E-3</v>
      </c>
      <c r="S54">
        <v>7.9603783999999999E-4</v>
      </c>
      <c r="T54" t="s">
        <v>127</v>
      </c>
      <c r="U54">
        <f t="shared" si="2"/>
        <v>208</v>
      </c>
      <c r="V54">
        <f t="shared" si="0"/>
        <v>224</v>
      </c>
      <c r="W54" s="1">
        <f t="shared" si="1"/>
        <v>3329.3330386999996</v>
      </c>
      <c r="X54">
        <v>0.53</v>
      </c>
    </row>
    <row r="55" spans="1:24" x14ac:dyDescent="0.3">
      <c r="A55" t="s">
        <v>131</v>
      </c>
      <c r="B55" t="s">
        <v>132</v>
      </c>
      <c r="C55">
        <v>6.6516999999999999</v>
      </c>
      <c r="D55" s="1">
        <v>446962000</v>
      </c>
      <c r="E55" s="1">
        <v>9258.7900000000009</v>
      </c>
      <c r="F55">
        <v>9.8426630000000001E-2</v>
      </c>
      <c r="G55">
        <v>4.8751829999999998E-4</v>
      </c>
      <c r="H55" s="1">
        <v>7.4808886999999999E-6</v>
      </c>
      <c r="I55" s="1">
        <v>5.7007193000000001E-8</v>
      </c>
      <c r="J55" s="1">
        <v>4.4480566000000002E-9</v>
      </c>
      <c r="K55" t="s">
        <v>21</v>
      </c>
      <c r="L55">
        <v>7.0955195999999998E-2</v>
      </c>
      <c r="M55">
        <v>4.8276574999999997E-3</v>
      </c>
      <c r="N55">
        <v>-1.8893697</v>
      </c>
      <c r="O55">
        <v>2.5121916000000001E-2</v>
      </c>
      <c r="P55" s="1">
        <v>2.1515229000000001E-8</v>
      </c>
      <c r="Q55" s="1">
        <v>4.4703087E-10</v>
      </c>
      <c r="R55">
        <v>-7.8507512000000005E-4</v>
      </c>
      <c r="S55" s="1">
        <v>6.6477818000000005E-5</v>
      </c>
      <c r="T55" t="s">
        <v>223</v>
      </c>
      <c r="U55" s="2">
        <v>0</v>
      </c>
      <c r="W55" s="1">
        <f t="shared" si="1"/>
        <v>2973.0571353999999</v>
      </c>
      <c r="X55">
        <v>0.53</v>
      </c>
    </row>
    <row r="56" spans="1:24" x14ac:dyDescent="0.3">
      <c r="A56" t="s">
        <v>133</v>
      </c>
      <c r="B56" t="s">
        <v>134</v>
      </c>
      <c r="C56">
        <v>6.6516999999999999</v>
      </c>
      <c r="D56" s="1">
        <v>450757000</v>
      </c>
      <c r="E56" s="1">
        <v>8394.02</v>
      </c>
      <c r="F56">
        <v>6.5687003999999993E-2</v>
      </c>
      <c r="G56">
        <v>2.7810952E-4</v>
      </c>
      <c r="H56" s="1">
        <v>7.3464436000000003E-6</v>
      </c>
      <c r="I56" s="1">
        <v>4.9362020999999999E-8</v>
      </c>
      <c r="J56" s="1">
        <v>3.2395839999999999E-10</v>
      </c>
      <c r="K56" t="s">
        <v>21</v>
      </c>
      <c r="L56">
        <v>4.8580524999999999E-2</v>
      </c>
      <c r="M56">
        <v>2.9399379E-3</v>
      </c>
      <c r="N56">
        <v>-1.3474519</v>
      </c>
      <c r="O56">
        <v>2.1710574999999999E-2</v>
      </c>
      <c r="P56" s="1">
        <v>2.1051378999999999E-8</v>
      </c>
      <c r="Q56" s="1">
        <v>3.8425046000000002E-10</v>
      </c>
      <c r="R56">
        <v>-7.3690854E-4</v>
      </c>
      <c r="S56" s="1">
        <v>4.0306692999999999E-5</v>
      </c>
      <c r="T56" t="s">
        <v>223</v>
      </c>
      <c r="U56">
        <f t="shared" si="2"/>
        <v>4</v>
      </c>
      <c r="W56" s="1">
        <f t="shared" si="1"/>
        <v>2998.3003369000003</v>
      </c>
      <c r="X56">
        <v>0.53</v>
      </c>
    </row>
    <row r="57" spans="1:24" x14ac:dyDescent="0.3">
      <c r="A57" t="s">
        <v>135</v>
      </c>
      <c r="B57" t="s">
        <v>136</v>
      </c>
      <c r="C57">
        <v>6.6516999999999999</v>
      </c>
      <c r="D57" s="1">
        <v>454776000</v>
      </c>
      <c r="E57" s="1">
        <v>8326.81</v>
      </c>
      <c r="F57">
        <v>6.8402116999999998E-2</v>
      </c>
      <c r="G57">
        <v>2.9415179999999998E-4</v>
      </c>
      <c r="H57" s="1">
        <v>7.3192386000000004E-6</v>
      </c>
      <c r="I57" s="1">
        <v>5.0165050000000002E-8</v>
      </c>
      <c r="J57" s="1">
        <v>6.1270819999999999E-10</v>
      </c>
      <c r="K57" t="s">
        <v>21</v>
      </c>
      <c r="L57">
        <v>5.8516205000000002E-2</v>
      </c>
      <c r="M57">
        <v>3.3845322000000001E-3</v>
      </c>
      <c r="N57">
        <v>-2.2856996999999999</v>
      </c>
      <c r="O57">
        <v>2.0768028000000001E-2</v>
      </c>
      <c r="P57" s="1">
        <v>2.0434071999999999E-8</v>
      </c>
      <c r="Q57" s="1">
        <v>3.4201702999999998E-10</v>
      </c>
      <c r="R57">
        <v>-8.9191811999999996E-4</v>
      </c>
      <c r="S57" s="1">
        <v>4.3002420999999998E-5</v>
      </c>
      <c r="T57" t="s">
        <v>223</v>
      </c>
      <c r="U57">
        <f t="shared" si="2"/>
        <v>8</v>
      </c>
      <c r="W57" s="1">
        <f t="shared" si="1"/>
        <v>3025.0335191999998</v>
      </c>
      <c r="X57">
        <v>0.53</v>
      </c>
    </row>
    <row r="58" spans="1:24" x14ac:dyDescent="0.3">
      <c r="A58" t="s">
        <v>137</v>
      </c>
      <c r="B58" t="s">
        <v>138</v>
      </c>
      <c r="C58">
        <v>6.6516999999999999</v>
      </c>
      <c r="D58" s="1">
        <v>456992000</v>
      </c>
      <c r="E58" s="1">
        <v>7891.66</v>
      </c>
      <c r="F58">
        <v>6.0006773999999999E-2</v>
      </c>
      <c r="G58">
        <v>2.6677721999999999E-4</v>
      </c>
      <c r="H58" s="1">
        <v>7.3703003000000002E-6</v>
      </c>
      <c r="I58" s="1">
        <v>5.1803269E-8</v>
      </c>
      <c r="J58" s="1">
        <v>2.7186431999999998E-9</v>
      </c>
      <c r="K58" t="s">
        <v>21</v>
      </c>
      <c r="L58">
        <v>4.8056068E-2</v>
      </c>
      <c r="M58">
        <v>2.8618990999999998E-3</v>
      </c>
      <c r="N58">
        <v>-2.8124908999999998</v>
      </c>
      <c r="O58">
        <v>2.1420505999999999E-2</v>
      </c>
      <c r="P58" s="1">
        <v>2.0898474999999999E-8</v>
      </c>
      <c r="Q58" s="1">
        <v>3.7187837999999998E-10</v>
      </c>
      <c r="R58">
        <v>-6.0012689999999996E-4</v>
      </c>
      <c r="S58" s="1">
        <v>3.8366462999999998E-5</v>
      </c>
      <c r="T58" t="s">
        <v>223</v>
      </c>
      <c r="U58">
        <f t="shared" si="2"/>
        <v>12</v>
      </c>
      <c r="W58" s="1">
        <f t="shared" si="1"/>
        <v>3039.7736864000003</v>
      </c>
      <c r="X58">
        <v>0.53</v>
      </c>
    </row>
    <row r="59" spans="1:24" x14ac:dyDescent="0.3">
      <c r="A59" t="s">
        <v>139</v>
      </c>
      <c r="B59" t="s">
        <v>140</v>
      </c>
      <c r="C59">
        <v>6.6516999999999999</v>
      </c>
      <c r="D59" s="1">
        <v>462402000</v>
      </c>
      <c r="E59" s="1">
        <v>7602.82</v>
      </c>
      <c r="F59">
        <v>7.0143006999999993E-2</v>
      </c>
      <c r="G59">
        <v>3.0709618999999997E-4</v>
      </c>
      <c r="H59" s="1">
        <v>7.2547120999999996E-6</v>
      </c>
      <c r="I59" s="1">
        <v>5.1148536000000001E-8</v>
      </c>
      <c r="J59" s="1">
        <v>5.6526445E-11</v>
      </c>
      <c r="K59" t="s">
        <v>21</v>
      </c>
      <c r="L59">
        <v>4.5705331000000002E-2</v>
      </c>
      <c r="M59">
        <v>2.6586807999999999E-3</v>
      </c>
      <c r="N59">
        <v>2.2125545999999998</v>
      </c>
      <c r="O59">
        <v>2.1165013999999999E-2</v>
      </c>
      <c r="P59" s="1">
        <v>2.2767332000000001E-8</v>
      </c>
      <c r="Q59" s="1">
        <v>4.4442187000000001E-10</v>
      </c>
      <c r="R59">
        <v>-3.3509102000000001E-4</v>
      </c>
      <c r="S59" s="1">
        <v>4.5841347E-5</v>
      </c>
      <c r="T59" t="s">
        <v>223</v>
      </c>
      <c r="U59">
        <f t="shared" si="2"/>
        <v>16</v>
      </c>
      <c r="W59" s="1">
        <f t="shared" si="1"/>
        <v>3075.7593833999999</v>
      </c>
      <c r="X59">
        <v>0.53</v>
      </c>
    </row>
    <row r="60" spans="1:24" x14ac:dyDescent="0.3">
      <c r="A60" t="s">
        <v>141</v>
      </c>
      <c r="B60" t="s">
        <v>142</v>
      </c>
      <c r="C60">
        <v>6.6516999999999999</v>
      </c>
      <c r="D60" s="1">
        <v>466727000</v>
      </c>
      <c r="E60" s="1">
        <v>7533.25</v>
      </c>
      <c r="F60">
        <v>5.7720083999999998E-2</v>
      </c>
      <c r="G60">
        <v>4.6617940000000004E-3</v>
      </c>
      <c r="H60" s="1">
        <v>7.1902075999999998E-6</v>
      </c>
      <c r="I60" s="1">
        <v>1.4935028999999999E-7</v>
      </c>
      <c r="J60" s="1">
        <v>4.0732801999999998E-6</v>
      </c>
      <c r="K60" s="1">
        <v>9.6516972999999994E-6</v>
      </c>
      <c r="L60">
        <v>7.1027202999999997E-2</v>
      </c>
      <c r="M60">
        <v>1.9823428000000001E-3</v>
      </c>
      <c r="N60">
        <v>0.82303128000000003</v>
      </c>
      <c r="O60">
        <v>2.7725019E-2</v>
      </c>
      <c r="P60" s="1">
        <v>1.9526346E-8</v>
      </c>
      <c r="Q60" t="s">
        <v>21</v>
      </c>
      <c r="R60">
        <v>-6.1001792999999999E-4</v>
      </c>
      <c r="S60" s="1">
        <v>5.2241908000000001E-5</v>
      </c>
      <c r="T60" t="s">
        <v>223</v>
      </c>
      <c r="U60">
        <f t="shared" si="2"/>
        <v>20</v>
      </c>
      <c r="W60" s="1">
        <f t="shared" si="1"/>
        <v>3104.5279859000002</v>
      </c>
      <c r="X60">
        <v>0.53</v>
      </c>
    </row>
    <row r="61" spans="1:24" x14ac:dyDescent="0.3">
      <c r="A61" t="s">
        <v>143</v>
      </c>
      <c r="B61" t="s">
        <v>144</v>
      </c>
      <c r="C61">
        <v>6.6516999999999999</v>
      </c>
      <c r="D61" s="1">
        <v>469118000</v>
      </c>
      <c r="E61" s="1">
        <v>7724.12</v>
      </c>
      <c r="F61">
        <v>7.2921433999999993E-2</v>
      </c>
      <c r="G61">
        <v>4.7514610000000002E-3</v>
      </c>
      <c r="H61" s="1">
        <v>7.1675637999999998E-6</v>
      </c>
      <c r="I61" s="1">
        <v>1.2761882000000001E-7</v>
      </c>
      <c r="J61" s="1">
        <v>2.3965716E-6</v>
      </c>
      <c r="K61" s="1">
        <v>7.7707560999999998E-6</v>
      </c>
      <c r="L61">
        <v>0.11314181</v>
      </c>
      <c r="M61">
        <v>2.4080324000000002E-3</v>
      </c>
      <c r="N61">
        <v>1.1687281</v>
      </c>
      <c r="O61">
        <v>2.0775959E-2</v>
      </c>
      <c r="P61" s="1">
        <v>1.8091524000000001E-8</v>
      </c>
      <c r="Q61" t="s">
        <v>21</v>
      </c>
      <c r="R61">
        <v>-7.5863559000000004E-4</v>
      </c>
      <c r="S61" s="1">
        <v>6.0530659999999997E-5</v>
      </c>
      <c r="T61" t="s">
        <v>223</v>
      </c>
      <c r="U61">
        <f t="shared" si="2"/>
        <v>24</v>
      </c>
      <c r="W61" s="1">
        <f t="shared" si="1"/>
        <v>3120.4322005999998</v>
      </c>
      <c r="X61">
        <v>0.53</v>
      </c>
    </row>
    <row r="62" spans="1:24" x14ac:dyDescent="0.3">
      <c r="A62" t="s">
        <v>145</v>
      </c>
      <c r="B62" t="s">
        <v>146</v>
      </c>
      <c r="C62">
        <v>6.6516999999999999</v>
      </c>
      <c r="D62" s="1">
        <v>467967000</v>
      </c>
      <c r="E62" s="1">
        <v>9819.3700000000008</v>
      </c>
      <c r="F62">
        <v>6.4716675000000001E-2</v>
      </c>
      <c r="G62">
        <v>2.5633866999999998E-4</v>
      </c>
      <c r="H62" s="1">
        <v>7.2573153E-6</v>
      </c>
      <c r="I62" s="1">
        <v>4.5088447999999997E-8</v>
      </c>
      <c r="J62" s="1">
        <v>1.1801575999999999E-8</v>
      </c>
      <c r="K62" t="s">
        <v>21</v>
      </c>
      <c r="L62">
        <v>9.0993181000000006E-2</v>
      </c>
      <c r="M62">
        <v>2.1034756999999999E-3</v>
      </c>
      <c r="N62">
        <v>-2.3952304</v>
      </c>
      <c r="O62">
        <v>2.2472953E-2</v>
      </c>
      <c r="P62" s="1">
        <v>1.7068355999999999E-8</v>
      </c>
      <c r="Q62" t="s">
        <v>21</v>
      </c>
      <c r="R62">
        <v>-9.4879844000000002E-4</v>
      </c>
      <c r="S62" s="1">
        <v>3.6556218000000003E-5</v>
      </c>
      <c r="T62" t="s">
        <v>223</v>
      </c>
      <c r="U62">
        <f t="shared" si="2"/>
        <v>28</v>
      </c>
      <c r="W62" s="1">
        <f t="shared" si="1"/>
        <v>3112.7760939</v>
      </c>
      <c r="X62">
        <v>0.53</v>
      </c>
    </row>
    <row r="63" spans="1:24" x14ac:dyDescent="0.3">
      <c r="A63" t="s">
        <v>147</v>
      </c>
      <c r="B63" t="s">
        <v>148</v>
      </c>
      <c r="C63">
        <v>6.6516999999999999</v>
      </c>
      <c r="D63" s="1">
        <v>459908000</v>
      </c>
      <c r="E63" s="1">
        <v>7807.29</v>
      </c>
      <c r="F63">
        <v>6.4412269999999994E-2</v>
      </c>
      <c r="G63">
        <v>3.8703460000000002E-3</v>
      </c>
      <c r="H63" s="1">
        <v>7.3135525999999997E-6</v>
      </c>
      <c r="I63" s="1">
        <v>1.2707040000000001E-7</v>
      </c>
      <c r="J63" s="1">
        <v>2.7740039999999998E-8</v>
      </c>
      <c r="K63" s="1">
        <v>7.0929317999999996E-6</v>
      </c>
      <c r="L63">
        <v>2.1745535999999999E-2</v>
      </c>
      <c r="M63">
        <v>1.8196476E-3</v>
      </c>
      <c r="N63">
        <v>4.3946229000000003E-2</v>
      </c>
      <c r="O63">
        <v>2.9730352000000002E-2</v>
      </c>
      <c r="P63" s="1">
        <v>2.5016513999999999E-8</v>
      </c>
      <c r="Q63" s="1">
        <v>7.4833742000000001E-10</v>
      </c>
      <c r="R63">
        <v>-4.9293122000000004E-4</v>
      </c>
      <c r="S63" s="1">
        <v>5.4927416999999998E-5</v>
      </c>
      <c r="T63" t="s">
        <v>223</v>
      </c>
      <c r="U63">
        <f t="shared" si="2"/>
        <v>32</v>
      </c>
      <c r="W63" s="1">
        <f t="shared" si="1"/>
        <v>3059.1700436000001</v>
      </c>
      <c r="X63">
        <v>0.53</v>
      </c>
    </row>
    <row r="64" spans="1:24" x14ac:dyDescent="0.3">
      <c r="A64" t="s">
        <v>149</v>
      </c>
      <c r="B64" t="s">
        <v>150</v>
      </c>
      <c r="C64">
        <v>6.6516999999999999</v>
      </c>
      <c r="D64" s="1">
        <v>448299000</v>
      </c>
      <c r="E64" s="1">
        <v>13278.5</v>
      </c>
      <c r="F64">
        <v>7.6029811000000003E-2</v>
      </c>
      <c r="G64">
        <v>4.0456967000000003E-3</v>
      </c>
      <c r="H64" s="1">
        <v>7.4515094999999999E-6</v>
      </c>
      <c r="I64" s="1">
        <v>1.1391621000000001E-7</v>
      </c>
      <c r="J64" s="1">
        <v>6.4809251000000003E-7</v>
      </c>
      <c r="K64" s="1">
        <v>6.1959911999999999E-6</v>
      </c>
      <c r="L64">
        <v>6.5583795000000002E-3</v>
      </c>
      <c r="M64">
        <v>9.6475749999999996E-4</v>
      </c>
      <c r="N64">
        <v>-1.9867429999999999</v>
      </c>
      <c r="O64">
        <v>5.6140281E-2</v>
      </c>
      <c r="P64" s="1">
        <v>3.2863124999999998E-8</v>
      </c>
      <c r="Q64" s="1">
        <v>2.3589637999999999E-9</v>
      </c>
      <c r="R64">
        <v>-5.4747173000000001E-4</v>
      </c>
      <c r="S64" s="1">
        <v>5.5857182999999998E-5</v>
      </c>
      <c r="T64" t="s">
        <v>223</v>
      </c>
      <c r="U64">
        <f t="shared" si="2"/>
        <v>36</v>
      </c>
      <c r="W64" s="1">
        <f t="shared" si="1"/>
        <v>2981.9504583000003</v>
      </c>
      <c r="X64">
        <v>0.53</v>
      </c>
    </row>
    <row r="65" spans="1:24" x14ac:dyDescent="0.3">
      <c r="A65" t="s">
        <v>151</v>
      </c>
      <c r="B65" t="s">
        <v>152</v>
      </c>
      <c r="C65">
        <v>6.6516999999999999</v>
      </c>
      <c r="D65" s="1">
        <v>498340000</v>
      </c>
      <c r="E65" s="1">
        <v>7219.18</v>
      </c>
      <c r="F65">
        <v>6.7885134E-2</v>
      </c>
      <c r="G65">
        <v>3.3475594000000001E-3</v>
      </c>
      <c r="H65" s="1">
        <v>7.2661913000000002E-6</v>
      </c>
      <c r="I65" s="1">
        <v>1.0765962999999999E-7</v>
      </c>
      <c r="J65" s="1">
        <v>8.7981468000000002E-8</v>
      </c>
      <c r="K65" s="1">
        <v>5.7802544000000001E-6</v>
      </c>
      <c r="L65">
        <v>1.5276112E-2</v>
      </c>
      <c r="M65">
        <v>1.2703962000000001E-3</v>
      </c>
      <c r="N65">
        <v>1.9704995999999999E-2</v>
      </c>
      <c r="O65">
        <v>3.0449305999999999E-2</v>
      </c>
      <c r="P65" s="1">
        <v>2.710446E-8</v>
      </c>
      <c r="Q65" s="1">
        <v>9.2403245000000002E-10</v>
      </c>
      <c r="R65" s="1">
        <v>-1.3643108E-5</v>
      </c>
      <c r="S65" s="1">
        <v>5.1069444000000003E-5</v>
      </c>
      <c r="T65" t="s">
        <v>223</v>
      </c>
      <c r="U65">
        <f t="shared" si="2"/>
        <v>40</v>
      </c>
      <c r="W65" s="1">
        <f t="shared" si="1"/>
        <v>3314.8081780000002</v>
      </c>
      <c r="X65">
        <v>0.53</v>
      </c>
    </row>
    <row r="66" spans="1:24" x14ac:dyDescent="0.3">
      <c r="A66" t="s">
        <v>153</v>
      </c>
      <c r="B66" t="s">
        <v>154</v>
      </c>
      <c r="C66">
        <v>6.6516999999999999</v>
      </c>
      <c r="D66" s="1">
        <v>496464000</v>
      </c>
      <c r="E66" s="1">
        <v>6805.94</v>
      </c>
      <c r="F66">
        <v>7.5844933000000003E-2</v>
      </c>
      <c r="G66">
        <v>5.6806262999999999E-3</v>
      </c>
      <c r="H66" s="1">
        <v>7.1878716999999997E-6</v>
      </c>
      <c r="I66" s="1">
        <v>1.5497684E-7</v>
      </c>
      <c r="J66" s="1">
        <v>3.8203884000000003E-7</v>
      </c>
      <c r="K66" s="1">
        <v>8.9189796999999993E-6</v>
      </c>
      <c r="L66">
        <v>7.6996441999999998E-2</v>
      </c>
      <c r="M66">
        <v>3.043301E-3</v>
      </c>
      <c r="N66">
        <v>0.44917536000000002</v>
      </c>
      <c r="O66">
        <v>3.935263E-2</v>
      </c>
      <c r="P66" s="1">
        <v>1.7154826000000001E-8</v>
      </c>
      <c r="Q66" t="s">
        <v>21</v>
      </c>
      <c r="R66">
        <v>-1.2418035E-3</v>
      </c>
      <c r="S66" s="1">
        <v>8.0525909000000006E-5</v>
      </c>
      <c r="T66" t="s">
        <v>223</v>
      </c>
      <c r="U66">
        <f t="shared" si="2"/>
        <v>44</v>
      </c>
      <c r="W66" s="1">
        <f t="shared" si="1"/>
        <v>3302.3295888000002</v>
      </c>
      <c r="X66">
        <v>0.53</v>
      </c>
    </row>
    <row r="67" spans="1:24" x14ac:dyDescent="0.3">
      <c r="A67" t="s">
        <v>155</v>
      </c>
      <c r="B67" t="s">
        <v>156</v>
      </c>
      <c r="C67">
        <v>6.6516999999999999</v>
      </c>
      <c r="D67" s="1">
        <v>493660000</v>
      </c>
      <c r="E67" s="1">
        <v>7475.38</v>
      </c>
      <c r="F67">
        <v>0.11835713</v>
      </c>
      <c r="G67">
        <v>5.9791510000000003E-3</v>
      </c>
      <c r="H67" s="1">
        <v>6.9794645000000002E-6</v>
      </c>
      <c r="I67" s="1">
        <v>1.0553243000000001E-7</v>
      </c>
      <c r="J67" s="1">
        <v>4.8499086E-7</v>
      </c>
      <c r="K67" s="1">
        <v>6.0522856999999999E-6</v>
      </c>
      <c r="L67">
        <v>0.1116418</v>
      </c>
      <c r="M67">
        <v>3.5011558E-3</v>
      </c>
      <c r="N67">
        <v>1.4330579999999999</v>
      </c>
      <c r="O67">
        <v>3.1061393E-2</v>
      </c>
      <c r="P67" s="1">
        <v>1.6915286999999998E-8</v>
      </c>
      <c r="Q67" t="s">
        <v>21</v>
      </c>
      <c r="R67">
        <v>-1.3026545E-3</v>
      </c>
      <c r="S67" s="1">
        <v>9.2363498999999995E-5</v>
      </c>
      <c r="T67" t="s">
        <v>223</v>
      </c>
      <c r="U67">
        <f t="shared" si="2"/>
        <v>48</v>
      </c>
      <c r="W67" s="1">
        <f t="shared" ref="W67:W100" si="3">C67*D67/1000000</f>
        <v>3283.678222</v>
      </c>
      <c r="X67">
        <v>0.53</v>
      </c>
    </row>
    <row r="68" spans="1:24" x14ac:dyDescent="0.3">
      <c r="A68" t="s">
        <v>157</v>
      </c>
      <c r="B68" t="s">
        <v>158</v>
      </c>
      <c r="C68">
        <v>6.6516999999999999</v>
      </c>
      <c r="D68" s="1">
        <v>495747000</v>
      </c>
      <c r="E68" s="1">
        <v>7490.03</v>
      </c>
      <c r="F68">
        <v>0.20031935000000001</v>
      </c>
      <c r="G68">
        <v>9.8499021000000003E-3</v>
      </c>
      <c r="H68" s="1">
        <v>7.4951368000000001E-6</v>
      </c>
      <c r="I68" s="1">
        <v>9.6335332999999999E-8</v>
      </c>
      <c r="J68" s="1">
        <v>2.4281664E-5</v>
      </c>
      <c r="K68" s="1">
        <v>4.8657929000000001E-6</v>
      </c>
      <c r="L68">
        <v>0.23269138</v>
      </c>
      <c r="M68">
        <v>9.1054278999999991E-3</v>
      </c>
      <c r="N68">
        <v>1.0164093999999999</v>
      </c>
      <c r="O68">
        <v>3.8901962999999998E-2</v>
      </c>
      <c r="P68" s="1">
        <v>1.6073467000000001E-8</v>
      </c>
      <c r="Q68" t="s">
        <v>21</v>
      </c>
      <c r="R68">
        <v>-1.2367067E-3</v>
      </c>
      <c r="S68" s="1">
        <v>9.1834879E-5</v>
      </c>
      <c r="T68" t="s">
        <v>223</v>
      </c>
      <c r="U68">
        <f t="shared" ref="U68:U100" si="4">U67+4</f>
        <v>52</v>
      </c>
      <c r="W68" s="1">
        <f t="shared" si="3"/>
        <v>3297.5603199000002</v>
      </c>
      <c r="X68">
        <v>0.53</v>
      </c>
    </row>
    <row r="69" spans="1:24" x14ac:dyDescent="0.3">
      <c r="A69" t="s">
        <v>159</v>
      </c>
      <c r="B69" t="s">
        <v>160</v>
      </c>
      <c r="C69">
        <v>6.6516999999999999</v>
      </c>
      <c r="D69" s="1">
        <v>495354000</v>
      </c>
      <c r="E69" s="1">
        <v>8158.38</v>
      </c>
      <c r="F69">
        <v>0.1493215</v>
      </c>
      <c r="G69">
        <v>5.6502549999999999E-3</v>
      </c>
      <c r="H69" s="1">
        <v>7.0112893999999998E-6</v>
      </c>
      <c r="I69" s="1">
        <v>8.5446605999999998E-8</v>
      </c>
      <c r="J69" s="1">
        <v>5.2870114000000002E-6</v>
      </c>
      <c r="K69" s="1">
        <v>4.2768377000000002E-6</v>
      </c>
      <c r="L69">
        <v>9.4782704999999995E-2</v>
      </c>
      <c r="M69">
        <v>2.4817324000000001E-3</v>
      </c>
      <c r="N69">
        <v>0.85181649000000004</v>
      </c>
      <c r="O69">
        <v>2.5847836999999999E-2</v>
      </c>
      <c r="P69" s="1">
        <v>1.7896783999999999E-8</v>
      </c>
      <c r="Q69" t="s">
        <v>21</v>
      </c>
      <c r="R69">
        <v>-3.8423858999999999E-4</v>
      </c>
      <c r="S69" s="1">
        <v>9.5484771000000005E-5</v>
      </c>
      <c r="T69" t="s">
        <v>223</v>
      </c>
      <c r="U69">
        <f t="shared" si="4"/>
        <v>56</v>
      </c>
      <c r="W69" s="1">
        <f t="shared" si="3"/>
        <v>3294.9462018000004</v>
      </c>
      <c r="X69">
        <v>0.53</v>
      </c>
    </row>
    <row r="70" spans="1:24" x14ac:dyDescent="0.3">
      <c r="A70" t="s">
        <v>161</v>
      </c>
      <c r="B70" t="s">
        <v>162</v>
      </c>
      <c r="C70">
        <v>6.6516999999999999</v>
      </c>
      <c r="D70" s="1">
        <v>496823000</v>
      </c>
      <c r="E70" s="1">
        <v>6708.29</v>
      </c>
      <c r="F70">
        <v>0.11829926</v>
      </c>
      <c r="G70">
        <v>5.2806481999999998E-3</v>
      </c>
      <c r="H70" s="1">
        <v>7.1574449000000001E-6</v>
      </c>
      <c r="I70" s="1">
        <v>9.8062214000000004E-8</v>
      </c>
      <c r="J70" s="1">
        <v>5.1377745E-7</v>
      </c>
      <c r="K70" s="1">
        <v>5.2321670000000002E-6</v>
      </c>
      <c r="L70">
        <v>7.1812579000000001E-2</v>
      </c>
      <c r="M70">
        <v>1.7027982E-3</v>
      </c>
      <c r="N70">
        <v>0.38828698</v>
      </c>
      <c r="O70">
        <v>2.3469358999999999E-2</v>
      </c>
      <c r="P70" s="1">
        <v>1.9666299999999999E-8</v>
      </c>
      <c r="Q70" t="s">
        <v>21</v>
      </c>
      <c r="R70">
        <v>-4.5164716999999998E-4</v>
      </c>
      <c r="S70" s="1">
        <v>8.4116556000000007E-5</v>
      </c>
      <c r="T70" t="s">
        <v>223</v>
      </c>
      <c r="U70">
        <f t="shared" si="4"/>
        <v>60</v>
      </c>
      <c r="W70" s="1">
        <f t="shared" si="3"/>
        <v>3304.7175490999998</v>
      </c>
      <c r="X70">
        <v>0.53</v>
      </c>
    </row>
    <row r="71" spans="1:24" x14ac:dyDescent="0.3">
      <c r="A71" t="s">
        <v>163</v>
      </c>
      <c r="B71" t="s">
        <v>164</v>
      </c>
      <c r="C71">
        <v>6.6516999999999999</v>
      </c>
      <c r="D71" s="1">
        <v>498186000</v>
      </c>
      <c r="E71" s="1">
        <v>4655.8</v>
      </c>
      <c r="F71">
        <v>0.14577897000000001</v>
      </c>
      <c r="G71">
        <v>9.6750583000000008E-3</v>
      </c>
      <c r="H71" s="1">
        <v>7.3240111999999996E-6</v>
      </c>
      <c r="I71" s="1">
        <v>1.1958649E-7</v>
      </c>
      <c r="J71" s="1">
        <v>1.5833265000000001E-5</v>
      </c>
      <c r="K71" s="1">
        <v>7.2684746000000001E-6</v>
      </c>
      <c r="L71">
        <v>0.16159602000000001</v>
      </c>
      <c r="M71">
        <v>4.6683749999999998E-3</v>
      </c>
      <c r="N71">
        <v>0.11228266000000001</v>
      </c>
      <c r="O71">
        <v>2.8730069E-2</v>
      </c>
      <c r="P71" s="1">
        <v>1.9437149999999999E-8</v>
      </c>
      <c r="Q71" t="s">
        <v>21</v>
      </c>
      <c r="R71">
        <v>-4.6070874999999998E-4</v>
      </c>
      <c r="S71" s="1">
        <v>8.8486656999999997E-5</v>
      </c>
      <c r="T71" t="s">
        <v>223</v>
      </c>
      <c r="U71">
        <f t="shared" si="4"/>
        <v>64</v>
      </c>
      <c r="W71" s="1">
        <f t="shared" si="3"/>
        <v>3313.7838161999998</v>
      </c>
      <c r="X71">
        <v>0.53</v>
      </c>
    </row>
    <row r="72" spans="1:24" x14ac:dyDescent="0.3">
      <c r="A72" t="s">
        <v>165</v>
      </c>
      <c r="B72" t="s">
        <v>166</v>
      </c>
      <c r="C72">
        <v>6.6516999999999999</v>
      </c>
      <c r="D72" s="1">
        <v>499506000</v>
      </c>
      <c r="E72" s="1">
        <v>7135.18</v>
      </c>
      <c r="F72">
        <v>0.12865676000000001</v>
      </c>
      <c r="G72">
        <v>5.1176227000000003E-3</v>
      </c>
      <c r="H72" s="1">
        <v>7.0026548000000002E-6</v>
      </c>
      <c r="I72" s="1">
        <v>9.2663712000000003E-8</v>
      </c>
      <c r="J72" s="1">
        <v>8.0123197999999993E-6</v>
      </c>
      <c r="K72" s="1">
        <v>4.3679273999999996E-6</v>
      </c>
      <c r="L72">
        <v>0.10354002</v>
      </c>
      <c r="M72">
        <v>3.1365503999999998E-3</v>
      </c>
      <c r="N72">
        <v>2.6380997000000002</v>
      </c>
      <c r="O72">
        <v>3.0091069000000002E-2</v>
      </c>
      <c r="P72" s="1">
        <v>1.5989435999999998E-8</v>
      </c>
      <c r="Q72" t="s">
        <v>21</v>
      </c>
      <c r="R72">
        <v>-1.0346577E-3</v>
      </c>
      <c r="S72" s="1">
        <v>8.9937848000000003E-5</v>
      </c>
      <c r="T72" t="s">
        <v>223</v>
      </c>
      <c r="U72">
        <f t="shared" si="4"/>
        <v>68</v>
      </c>
      <c r="W72" s="1">
        <f t="shared" si="3"/>
        <v>3322.5640601999999</v>
      </c>
      <c r="X72">
        <v>0.53</v>
      </c>
    </row>
    <row r="73" spans="1:24" x14ac:dyDescent="0.3">
      <c r="A73" t="s">
        <v>167</v>
      </c>
      <c r="B73" t="s">
        <v>168</v>
      </c>
      <c r="C73">
        <v>6.6516999999999999</v>
      </c>
      <c r="D73" s="1">
        <v>434739000</v>
      </c>
      <c r="E73" s="1">
        <v>12765.4</v>
      </c>
      <c r="F73">
        <v>0.10373548</v>
      </c>
      <c r="G73">
        <v>6.3539216000000004E-3</v>
      </c>
      <c r="H73" s="1">
        <v>7.4297106999999996E-6</v>
      </c>
      <c r="I73" s="1">
        <v>1.3495861E-7</v>
      </c>
      <c r="J73" s="1">
        <v>6.7016702E-6</v>
      </c>
      <c r="K73" s="1">
        <v>6.7673718E-6</v>
      </c>
      <c r="L73">
        <v>1.7611882999999998E-2</v>
      </c>
      <c r="M73">
        <v>2.8855194000000002E-3</v>
      </c>
      <c r="N73">
        <v>1.0201878</v>
      </c>
      <c r="O73">
        <v>5.8627146999999998E-2</v>
      </c>
      <c r="P73" s="1">
        <v>2.5021524000000001E-8</v>
      </c>
      <c r="Q73" s="1">
        <v>1.4999120000000001E-9</v>
      </c>
      <c r="R73">
        <v>1.2532814000000001E-3</v>
      </c>
      <c r="S73" s="1">
        <v>8.8453542000000004E-5</v>
      </c>
      <c r="T73" t="s">
        <v>223</v>
      </c>
      <c r="U73">
        <f t="shared" si="4"/>
        <v>72</v>
      </c>
      <c r="W73" s="1">
        <f t="shared" si="3"/>
        <v>2891.7534063000003</v>
      </c>
      <c r="X73">
        <v>0.53</v>
      </c>
    </row>
    <row r="74" spans="1:24" x14ac:dyDescent="0.3">
      <c r="A74" t="s">
        <v>169</v>
      </c>
      <c r="B74" t="s">
        <v>170</v>
      </c>
      <c r="C74">
        <v>6.6516999999999999</v>
      </c>
      <c r="D74" s="1">
        <v>447654000</v>
      </c>
      <c r="E74" s="1">
        <v>9892.7099999999991</v>
      </c>
      <c r="F74">
        <v>3.6552241999999999E-2</v>
      </c>
      <c r="G74">
        <v>7.0781181999999996E-3</v>
      </c>
      <c r="H74" s="1">
        <v>6.9164067999999996E-6</v>
      </c>
      <c r="I74" s="1">
        <v>3.5225072000000001E-7</v>
      </c>
      <c r="J74" s="1">
        <v>5.6160126000000001E-6</v>
      </c>
      <c r="K74" s="1">
        <v>2.3280749E-5</v>
      </c>
      <c r="L74">
        <v>6.0525255000000002E-3</v>
      </c>
      <c r="M74">
        <v>1.8429968E-3</v>
      </c>
      <c r="N74">
        <v>1.1006834999999999</v>
      </c>
      <c r="O74">
        <v>0.10178996</v>
      </c>
      <c r="P74" s="1">
        <v>3.4533018000000001E-8</v>
      </c>
      <c r="Q74" s="1">
        <v>4.0682080999999998E-9</v>
      </c>
      <c r="R74">
        <v>-5.4405008000000003E-4</v>
      </c>
      <c r="S74" s="1">
        <v>8.3469911000000002E-5</v>
      </c>
      <c r="T74" t="s">
        <v>223</v>
      </c>
      <c r="U74">
        <f t="shared" si="4"/>
        <v>76</v>
      </c>
      <c r="W74" s="1">
        <f t="shared" si="3"/>
        <v>2977.6601118000003</v>
      </c>
      <c r="X74">
        <v>0.53</v>
      </c>
    </row>
    <row r="75" spans="1:24" x14ac:dyDescent="0.3">
      <c r="A75" t="s">
        <v>171</v>
      </c>
      <c r="B75" t="s">
        <v>172</v>
      </c>
      <c r="C75">
        <v>6.6516999999999999</v>
      </c>
      <c r="D75" s="1">
        <v>445687000</v>
      </c>
      <c r="E75" s="1">
        <v>8255.86</v>
      </c>
      <c r="F75">
        <v>5.8692776000000002E-2</v>
      </c>
      <c r="G75">
        <v>7.8468427000000004E-3</v>
      </c>
      <c r="H75" s="1">
        <v>7.1902598000000003E-6</v>
      </c>
      <c r="I75" s="1">
        <v>2.6491823E-7</v>
      </c>
      <c r="J75" s="1">
        <v>2.8394613999999999E-5</v>
      </c>
      <c r="K75" s="1">
        <v>1.2934217E-5</v>
      </c>
      <c r="L75">
        <v>3.6480584000000003E-2</v>
      </c>
      <c r="M75">
        <v>6.3931070999999999E-3</v>
      </c>
      <c r="N75">
        <v>0.43646116000000001</v>
      </c>
      <c r="O75">
        <v>5.5858702000000003E-2</v>
      </c>
      <c r="P75" s="1">
        <v>2.2883355000000001E-8</v>
      </c>
      <c r="Q75" s="1">
        <v>8.7664351000000001E-10</v>
      </c>
      <c r="R75">
        <v>-6.4368778000000002E-4</v>
      </c>
      <c r="S75" s="1">
        <v>8.0230938999999998E-5</v>
      </c>
      <c r="T75" t="s">
        <v>223</v>
      </c>
      <c r="U75">
        <f t="shared" si="4"/>
        <v>80</v>
      </c>
      <c r="W75" s="1">
        <f t="shared" si="3"/>
        <v>2964.5762179000003</v>
      </c>
      <c r="X75">
        <v>0.53</v>
      </c>
    </row>
    <row r="76" spans="1:24" x14ac:dyDescent="0.3">
      <c r="A76" t="s">
        <v>173</v>
      </c>
      <c r="B76" t="s">
        <v>174</v>
      </c>
      <c r="C76">
        <v>6.6516999999999999</v>
      </c>
      <c r="D76" s="1">
        <v>438813000</v>
      </c>
      <c r="E76" s="1">
        <v>9125.34</v>
      </c>
      <c r="F76">
        <v>4.9692119E-2</v>
      </c>
      <c r="G76">
        <v>7.3479306000000001E-3</v>
      </c>
      <c r="H76" s="1">
        <v>7.2173459000000004E-6</v>
      </c>
      <c r="I76" s="1">
        <v>2.8143333000000001E-7</v>
      </c>
      <c r="J76" s="1">
        <v>1.3859022000000001E-5</v>
      </c>
      <c r="K76" s="1">
        <v>1.6276242E-5</v>
      </c>
      <c r="L76">
        <v>4.4872812999999998E-2</v>
      </c>
      <c r="M76">
        <v>7.2519259000000001E-3</v>
      </c>
      <c r="N76">
        <v>-0.34407740999999997</v>
      </c>
      <c r="O76">
        <v>5.453094E-2</v>
      </c>
      <c r="P76" s="1">
        <v>2.1055204000000001E-8</v>
      </c>
      <c r="Q76" s="1">
        <v>6.9936145E-10</v>
      </c>
      <c r="R76">
        <v>-5.4767015000000004E-4</v>
      </c>
      <c r="S76" s="1">
        <v>7.8769342000000007E-5</v>
      </c>
      <c r="T76" t="s">
        <v>223</v>
      </c>
      <c r="U76">
        <f t="shared" si="4"/>
        <v>84</v>
      </c>
      <c r="W76" s="1">
        <f t="shared" si="3"/>
        <v>2918.8524321</v>
      </c>
      <c r="X76">
        <v>0.46</v>
      </c>
    </row>
    <row r="77" spans="1:24" x14ac:dyDescent="0.3">
      <c r="A77" t="s">
        <v>175</v>
      </c>
      <c r="B77" t="s">
        <v>176</v>
      </c>
      <c r="C77">
        <v>6.6516999999999999</v>
      </c>
      <c r="D77" s="1">
        <v>435320000</v>
      </c>
      <c r="E77" s="1">
        <v>11709.9</v>
      </c>
      <c r="F77">
        <v>2.6418555E-2</v>
      </c>
      <c r="G77">
        <v>7.7842151000000002E-3</v>
      </c>
      <c r="H77" s="1">
        <v>7.0485176999999998E-6</v>
      </c>
      <c r="I77" s="1">
        <v>5.1279981000000004E-7</v>
      </c>
      <c r="J77" s="1">
        <v>3.2542650999999999E-6</v>
      </c>
      <c r="K77" s="1">
        <v>3.6191948E-5</v>
      </c>
      <c r="L77">
        <v>5.7953796E-3</v>
      </c>
      <c r="M77">
        <v>2.2253443999999999E-3</v>
      </c>
      <c r="N77">
        <v>1.3414543000000001</v>
      </c>
      <c r="O77">
        <v>0.12308901999999999</v>
      </c>
      <c r="P77" s="1">
        <v>3.3384532000000001E-8</v>
      </c>
      <c r="Q77" s="1">
        <v>4.6010830000000001E-9</v>
      </c>
      <c r="R77">
        <v>-4.7682939999999999E-4</v>
      </c>
      <c r="S77" s="1">
        <v>8.2059318999999994E-5</v>
      </c>
      <c r="T77" t="s">
        <v>223</v>
      </c>
      <c r="U77">
        <f t="shared" si="4"/>
        <v>88</v>
      </c>
      <c r="W77" s="1">
        <f t="shared" si="3"/>
        <v>2895.6180439999998</v>
      </c>
      <c r="X77">
        <v>0.46</v>
      </c>
    </row>
    <row r="78" spans="1:24" x14ac:dyDescent="0.3">
      <c r="A78" t="s">
        <v>177</v>
      </c>
      <c r="B78" t="s">
        <v>178</v>
      </c>
      <c r="C78">
        <v>6.6516999999999999</v>
      </c>
      <c r="D78" s="1">
        <v>429256000</v>
      </c>
      <c r="E78" s="1">
        <v>8898.84</v>
      </c>
      <c r="F78">
        <v>0.13921042</v>
      </c>
      <c r="G78">
        <v>4.7387066000000001E-4</v>
      </c>
      <c r="H78" s="1">
        <v>7.1220526999999999E-6</v>
      </c>
      <c r="I78" s="1">
        <v>3.9504299E-8</v>
      </c>
      <c r="J78" s="1">
        <v>1.4362613E-9</v>
      </c>
      <c r="K78" t="s">
        <v>21</v>
      </c>
      <c r="L78">
        <v>5.7440999999999999E-2</v>
      </c>
      <c r="M78">
        <v>4.5951105999999997E-3</v>
      </c>
      <c r="N78">
        <v>2.1287954</v>
      </c>
      <c r="O78">
        <v>2.8531714999999999E-2</v>
      </c>
      <c r="P78" s="1">
        <v>2.2284522000000001E-8</v>
      </c>
      <c r="Q78" s="1">
        <v>5.6540807E-10</v>
      </c>
      <c r="R78">
        <v>-2.2251927999999998E-3</v>
      </c>
      <c r="S78" s="1">
        <v>7.2594812999999994E-5</v>
      </c>
      <c r="T78" t="s">
        <v>223</v>
      </c>
      <c r="U78">
        <f t="shared" si="4"/>
        <v>92</v>
      </c>
      <c r="W78" s="1">
        <f t="shared" si="3"/>
        <v>2855.2821351999996</v>
      </c>
      <c r="X78">
        <v>0.46</v>
      </c>
    </row>
    <row r="79" spans="1:24" x14ac:dyDescent="0.3">
      <c r="A79" t="s">
        <v>179</v>
      </c>
      <c r="B79" t="s">
        <v>180</v>
      </c>
      <c r="C79">
        <v>6.6516999999999999</v>
      </c>
      <c r="D79" s="1">
        <v>424351000</v>
      </c>
      <c r="E79" s="1">
        <v>9080.34</v>
      </c>
      <c r="F79">
        <v>9.8128803000000001E-2</v>
      </c>
      <c r="G79">
        <v>3.9606887000000001E-4</v>
      </c>
      <c r="H79" s="1">
        <v>7.4980485000000002E-6</v>
      </c>
      <c r="I79" s="1">
        <v>4.6444149999999997E-8</v>
      </c>
      <c r="J79" s="1">
        <v>1.2322663999999999E-8</v>
      </c>
      <c r="K79" t="s">
        <v>21</v>
      </c>
      <c r="L79">
        <v>2.7017301000000001E-2</v>
      </c>
      <c r="M79">
        <v>2.8794145E-3</v>
      </c>
      <c r="N79">
        <v>-2.8362191000000001</v>
      </c>
      <c r="O79">
        <v>3.8271280999999997E-2</v>
      </c>
      <c r="P79" s="1">
        <v>2.4365516999999999E-8</v>
      </c>
      <c r="Q79" s="1">
        <v>9.2217585999999998E-10</v>
      </c>
      <c r="R79">
        <v>2.2471228000000001E-4</v>
      </c>
      <c r="S79" s="1">
        <v>5.3726549999999998E-5</v>
      </c>
      <c r="T79" t="s">
        <v>223</v>
      </c>
      <c r="U79">
        <f t="shared" si="4"/>
        <v>96</v>
      </c>
      <c r="W79" s="1">
        <f t="shared" si="3"/>
        <v>2822.6555466999998</v>
      </c>
      <c r="X79">
        <v>0.46</v>
      </c>
    </row>
    <row r="80" spans="1:24" x14ac:dyDescent="0.3">
      <c r="A80" t="s">
        <v>181</v>
      </c>
      <c r="B80" t="s">
        <v>182</v>
      </c>
      <c r="C80">
        <v>6.6516999999999999</v>
      </c>
      <c r="D80" s="1">
        <v>419668000</v>
      </c>
      <c r="E80" s="1">
        <v>8787.83</v>
      </c>
      <c r="F80">
        <v>9.1604970999999993E-2</v>
      </c>
      <c r="G80">
        <v>6.4415271999999999E-3</v>
      </c>
      <c r="H80" s="1">
        <v>7.1646131999999996E-6</v>
      </c>
      <c r="I80" s="1">
        <v>1.4721027000000001E-7</v>
      </c>
      <c r="J80" s="1">
        <v>8.0822185999999992E-6</v>
      </c>
      <c r="K80" s="1">
        <v>7.8983226000000001E-6</v>
      </c>
      <c r="L80">
        <v>4.0991491999999997E-2</v>
      </c>
      <c r="M80">
        <v>4.2372911000000003E-3</v>
      </c>
      <c r="N80">
        <v>-1.9874077000000001</v>
      </c>
      <c r="O80">
        <v>3.5615044999999998E-2</v>
      </c>
      <c r="P80" s="1">
        <v>2.2773695999999998E-8</v>
      </c>
      <c r="Q80" s="1">
        <v>6.7820151E-10</v>
      </c>
      <c r="R80">
        <v>-4.0043973E-4</v>
      </c>
      <c r="S80" s="1">
        <v>8.8455117999999995E-5</v>
      </c>
      <c r="T80" t="s">
        <v>223</v>
      </c>
      <c r="U80">
        <f t="shared" si="4"/>
        <v>100</v>
      </c>
      <c r="W80" s="1">
        <f t="shared" si="3"/>
        <v>2791.5056356</v>
      </c>
      <c r="X80">
        <v>0.46</v>
      </c>
    </row>
    <row r="81" spans="1:24" x14ac:dyDescent="0.3">
      <c r="A81" t="s">
        <v>183</v>
      </c>
      <c r="B81" t="s">
        <v>184</v>
      </c>
      <c r="C81">
        <v>6.6516999999999999</v>
      </c>
      <c r="D81" s="1">
        <v>418022000</v>
      </c>
      <c r="E81" s="1">
        <v>8330.02</v>
      </c>
      <c r="F81">
        <v>8.1195043999999994E-2</v>
      </c>
      <c r="G81">
        <v>5.9826348999999996E-3</v>
      </c>
      <c r="H81" s="1">
        <v>7.1798004E-6</v>
      </c>
      <c r="I81" s="1">
        <v>1.5980166E-7</v>
      </c>
      <c r="J81" s="1">
        <v>1.5661185000000001E-5</v>
      </c>
      <c r="K81" s="1">
        <v>7.7145735999999997E-6</v>
      </c>
      <c r="L81">
        <v>3.2600924000000003E-2</v>
      </c>
      <c r="M81">
        <v>3.6251107999999998E-3</v>
      </c>
      <c r="N81">
        <v>-1.6362201999999999</v>
      </c>
      <c r="O81">
        <v>3.8596764999999998E-2</v>
      </c>
      <c r="P81" s="1">
        <v>2.3402200000000001E-8</v>
      </c>
      <c r="Q81" s="1">
        <v>7.7975717999999995E-10</v>
      </c>
      <c r="R81">
        <v>2.7796998999999998E-4</v>
      </c>
      <c r="S81" s="1">
        <v>8.1646193999999995E-5</v>
      </c>
      <c r="T81" t="s">
        <v>223</v>
      </c>
      <c r="U81">
        <f t="shared" si="4"/>
        <v>104</v>
      </c>
      <c r="W81" s="1">
        <f t="shared" si="3"/>
        <v>2780.5569374000002</v>
      </c>
      <c r="X81">
        <v>0.46</v>
      </c>
    </row>
    <row r="82" spans="1:24" x14ac:dyDescent="0.3">
      <c r="A82" t="s">
        <v>185</v>
      </c>
      <c r="B82" t="s">
        <v>186</v>
      </c>
      <c r="C82">
        <v>6.6516999999999999</v>
      </c>
      <c r="D82" s="1">
        <v>418653000</v>
      </c>
      <c r="E82" s="1">
        <v>8559.0300000000007</v>
      </c>
      <c r="F82">
        <v>0.13323217000000001</v>
      </c>
      <c r="G82">
        <v>1.0652978E-2</v>
      </c>
      <c r="H82" s="1">
        <v>7.5506499000000004E-6</v>
      </c>
      <c r="I82" s="1">
        <v>1.7548809E-7</v>
      </c>
      <c r="J82" s="1">
        <v>1.0060072000000001E-5</v>
      </c>
      <c r="K82" s="1">
        <v>8.5701409E-6</v>
      </c>
      <c r="L82" s="1">
        <v>6.1561746999999999E-5</v>
      </c>
      <c r="M82">
        <v>0.86375007999999998</v>
      </c>
      <c r="N82">
        <v>-3.9438217999999998</v>
      </c>
      <c r="O82">
        <v>13721.177</v>
      </c>
      <c r="P82" s="1">
        <v>6.5179954000000002E-9</v>
      </c>
      <c r="Q82" t="s">
        <v>21</v>
      </c>
      <c r="R82">
        <v>-1.1219164E-4</v>
      </c>
      <c r="S82">
        <v>1.3752173E-4</v>
      </c>
      <c r="T82" t="s">
        <v>223</v>
      </c>
      <c r="U82">
        <f t="shared" si="4"/>
        <v>108</v>
      </c>
      <c r="W82" s="1">
        <f t="shared" si="3"/>
        <v>2784.7541600999998</v>
      </c>
      <c r="X82">
        <v>0.46</v>
      </c>
    </row>
    <row r="83" spans="1:24" x14ac:dyDescent="0.3">
      <c r="A83" t="s">
        <v>187</v>
      </c>
      <c r="B83" t="s">
        <v>188</v>
      </c>
      <c r="C83">
        <v>6.6516999999999999</v>
      </c>
      <c r="D83" s="1">
        <v>422067000</v>
      </c>
      <c r="E83" s="1">
        <v>10288.9</v>
      </c>
      <c r="F83">
        <v>0.10292618000000001</v>
      </c>
      <c r="G83">
        <v>7.013961E-3</v>
      </c>
      <c r="H83" s="1">
        <v>6.9110506000000002E-6</v>
      </c>
      <c r="I83" s="1">
        <v>1.3960215E-7</v>
      </c>
      <c r="J83" s="1">
        <v>8.4773242000000003E-7</v>
      </c>
      <c r="K83" s="1">
        <v>8.2155837999999994E-6</v>
      </c>
      <c r="L83">
        <v>6.7043997999999994E-2</v>
      </c>
      <c r="M83">
        <v>6.3933182000000003E-3</v>
      </c>
      <c r="N83">
        <v>-2.6444678000000001</v>
      </c>
      <c r="O83">
        <v>3.2855708999999997E-2</v>
      </c>
      <c r="P83" s="1">
        <v>2.0678009000000001E-8</v>
      </c>
      <c r="Q83" s="1">
        <v>4.9241389000000002E-10</v>
      </c>
      <c r="R83">
        <v>-1.9715484999999998E-3</v>
      </c>
      <c r="S83">
        <v>1.0708757E-4</v>
      </c>
      <c r="T83" t="s">
        <v>223</v>
      </c>
      <c r="U83">
        <f t="shared" si="4"/>
        <v>112</v>
      </c>
      <c r="W83" s="1">
        <f t="shared" si="3"/>
        <v>2807.4630639000002</v>
      </c>
      <c r="X83">
        <v>0.46</v>
      </c>
    </row>
    <row r="84" spans="1:24" x14ac:dyDescent="0.3">
      <c r="A84" t="s">
        <v>189</v>
      </c>
      <c r="B84" t="s">
        <v>190</v>
      </c>
      <c r="C84">
        <v>6.6516999999999999</v>
      </c>
      <c r="D84" s="1">
        <v>423270000</v>
      </c>
      <c r="E84" s="1">
        <v>10384.6</v>
      </c>
      <c r="F84">
        <v>0.11010026000000001</v>
      </c>
      <c r="G84">
        <v>4.3436519999999999E-4</v>
      </c>
      <c r="H84" s="1">
        <v>7.1527698000000001E-6</v>
      </c>
      <c r="I84" s="1">
        <v>4.5289998000000003E-8</v>
      </c>
      <c r="J84" s="1">
        <v>5.3696345999999998E-10</v>
      </c>
      <c r="K84" t="s">
        <v>21</v>
      </c>
      <c r="L84">
        <v>5.8519134E-2</v>
      </c>
      <c r="M84">
        <v>4.8653675000000004E-3</v>
      </c>
      <c r="N84">
        <v>2.0338723999999999</v>
      </c>
      <c r="O84">
        <v>2.9694338000000001E-2</v>
      </c>
      <c r="P84" s="1">
        <v>2.1303869000000001E-8</v>
      </c>
      <c r="Q84" s="1">
        <v>5.1589749000000003E-10</v>
      </c>
      <c r="R84">
        <v>-1.0204255000000001E-3</v>
      </c>
      <c r="S84" s="1">
        <v>6.4697872000000006E-5</v>
      </c>
      <c r="T84" t="s">
        <v>223</v>
      </c>
      <c r="U84">
        <f t="shared" si="4"/>
        <v>116</v>
      </c>
      <c r="W84" s="1">
        <f t="shared" si="3"/>
        <v>2815.4650590000001</v>
      </c>
      <c r="X84">
        <v>0.46</v>
      </c>
    </row>
    <row r="85" spans="1:24" x14ac:dyDescent="0.3">
      <c r="A85" t="s">
        <v>191</v>
      </c>
      <c r="B85" t="s">
        <v>192</v>
      </c>
      <c r="C85">
        <v>6.6516999999999999</v>
      </c>
      <c r="D85" s="1">
        <v>425759000</v>
      </c>
      <c r="E85" s="1">
        <v>9532.36</v>
      </c>
      <c r="F85">
        <v>0.1472135</v>
      </c>
      <c r="G85">
        <v>1.2678294999999999E-2</v>
      </c>
      <c r="H85" s="1">
        <v>7.5865173999999997E-6</v>
      </c>
      <c r="I85" s="1">
        <v>1.730447E-7</v>
      </c>
      <c r="J85" s="1">
        <v>2.7322232000000002E-5</v>
      </c>
      <c r="K85" s="1">
        <v>8.1983349999999998E-6</v>
      </c>
      <c r="L85">
        <v>2.5981822000000002E-3</v>
      </c>
      <c r="M85">
        <v>1.1131852999999999E-3</v>
      </c>
      <c r="N85">
        <v>1.768035</v>
      </c>
      <c r="O85">
        <v>0.16073353000000001</v>
      </c>
      <c r="P85" s="1">
        <v>5.3376843000000002E-8</v>
      </c>
      <c r="Q85" s="1">
        <v>1.3347591E-8</v>
      </c>
      <c r="R85">
        <v>-1.7824926000000001E-3</v>
      </c>
      <c r="S85">
        <v>1.1658665E-4</v>
      </c>
      <c r="T85" t="s">
        <v>223</v>
      </c>
      <c r="U85">
        <f t="shared" si="4"/>
        <v>120</v>
      </c>
      <c r="W85" s="1">
        <f t="shared" si="3"/>
        <v>2832.0211403000003</v>
      </c>
      <c r="X85">
        <v>0.46</v>
      </c>
    </row>
    <row r="86" spans="1:24" x14ac:dyDescent="0.3">
      <c r="A86" t="s">
        <v>193</v>
      </c>
      <c r="B86" t="s">
        <v>194</v>
      </c>
      <c r="C86">
        <v>6.6516999999999999</v>
      </c>
      <c r="D86" s="1">
        <v>429820000</v>
      </c>
      <c r="E86" s="1">
        <v>8573.0400000000009</v>
      </c>
      <c r="F86">
        <v>0.12021482999999999</v>
      </c>
      <c r="G86">
        <v>1.1950489E-2</v>
      </c>
      <c r="H86" s="1">
        <v>7.3188324999999999E-6</v>
      </c>
      <c r="I86" s="1">
        <v>1.8439546000000001E-7</v>
      </c>
      <c r="J86" s="1">
        <v>2.1687342E-5</v>
      </c>
      <c r="K86" s="1">
        <v>1.0308989000000001E-5</v>
      </c>
      <c r="L86">
        <v>8.6976741999999996E-2</v>
      </c>
      <c r="M86">
        <v>1.3200455999999999E-2</v>
      </c>
      <c r="N86">
        <v>1.4766766</v>
      </c>
      <c r="O86">
        <v>4.8311046000000003E-2</v>
      </c>
      <c r="P86" s="1">
        <v>2.1055356E-8</v>
      </c>
      <c r="Q86" s="1">
        <v>5.7568878999999999E-10</v>
      </c>
      <c r="R86">
        <v>-1.3140773E-3</v>
      </c>
      <c r="S86">
        <v>1.0949944999999999E-4</v>
      </c>
      <c r="T86" t="s">
        <v>223</v>
      </c>
      <c r="U86">
        <f t="shared" si="4"/>
        <v>124</v>
      </c>
      <c r="W86" s="1">
        <f t="shared" si="3"/>
        <v>2859.0336940000002</v>
      </c>
      <c r="X86">
        <v>0.46</v>
      </c>
    </row>
    <row r="87" spans="1:24" x14ac:dyDescent="0.3">
      <c r="A87" t="s">
        <v>195</v>
      </c>
      <c r="B87" t="s">
        <v>196</v>
      </c>
      <c r="C87">
        <v>6.6516999999999999</v>
      </c>
      <c r="D87" s="1">
        <v>433223000</v>
      </c>
      <c r="E87" s="1">
        <v>8772.4699999999993</v>
      </c>
      <c r="F87">
        <v>0.11943253</v>
      </c>
      <c r="G87">
        <v>4.8899027999999998E-4</v>
      </c>
      <c r="H87" s="1">
        <v>7.1699871000000002E-6</v>
      </c>
      <c r="I87" s="1">
        <v>4.7454556999999998E-8</v>
      </c>
      <c r="J87" s="1">
        <v>5.5814745000000004E-9</v>
      </c>
      <c r="K87" t="s">
        <v>21</v>
      </c>
      <c r="L87">
        <v>3.2851074000000001E-2</v>
      </c>
      <c r="M87">
        <v>3.6421623000000001E-3</v>
      </c>
      <c r="N87">
        <v>1.2970139999999999</v>
      </c>
      <c r="O87">
        <v>3.9546392E-2</v>
      </c>
      <c r="P87" s="1">
        <v>2.4648568999999999E-8</v>
      </c>
      <c r="Q87" s="1">
        <v>9.8204870999999998E-10</v>
      </c>
      <c r="R87">
        <v>-1.2564887000000001E-3</v>
      </c>
      <c r="S87" s="1">
        <v>7.3722778000000005E-5</v>
      </c>
      <c r="T87" t="s">
        <v>223</v>
      </c>
      <c r="U87">
        <f t="shared" si="4"/>
        <v>128</v>
      </c>
      <c r="W87" s="1">
        <f t="shared" si="3"/>
        <v>2881.6694290999999</v>
      </c>
      <c r="X87">
        <v>0.46</v>
      </c>
    </row>
    <row r="88" spans="1:24" x14ac:dyDescent="0.3">
      <c r="A88" t="s">
        <v>197</v>
      </c>
      <c r="B88" t="s">
        <v>198</v>
      </c>
      <c r="C88">
        <v>6.6516999999999999</v>
      </c>
      <c r="D88" s="1">
        <v>436007000</v>
      </c>
      <c r="E88" s="1">
        <v>10823.8</v>
      </c>
      <c r="F88">
        <v>0.11020529</v>
      </c>
      <c r="G88">
        <v>6.2051427999999997E-3</v>
      </c>
      <c r="H88" s="1">
        <v>6.7745593999999996E-6</v>
      </c>
      <c r="I88" s="1">
        <v>1.2849971E-7</v>
      </c>
      <c r="J88" s="1">
        <v>4.6008901000000004E-6</v>
      </c>
      <c r="K88" s="1">
        <v>6.4536937000000002E-6</v>
      </c>
      <c r="L88">
        <v>2.5682891999999999E-2</v>
      </c>
      <c r="M88">
        <v>3.7298175E-3</v>
      </c>
      <c r="N88">
        <v>2.6515065999999998</v>
      </c>
      <c r="O88">
        <v>5.2622612999999999E-2</v>
      </c>
      <c r="P88" s="1">
        <v>2.3183771000000001E-8</v>
      </c>
      <c r="Q88" s="1">
        <v>1.1539707999999999E-9</v>
      </c>
      <c r="R88">
        <v>-1.2053140000000001E-3</v>
      </c>
      <c r="S88">
        <v>1.1675568E-4</v>
      </c>
      <c r="T88" t="s">
        <v>223</v>
      </c>
      <c r="U88">
        <f t="shared" si="4"/>
        <v>132</v>
      </c>
      <c r="W88" s="1">
        <f t="shared" si="3"/>
        <v>2900.1877619000002</v>
      </c>
      <c r="X88">
        <v>0.53</v>
      </c>
    </row>
    <row r="89" spans="1:24" x14ac:dyDescent="0.3">
      <c r="A89" t="s">
        <v>199</v>
      </c>
      <c r="B89" t="s">
        <v>200</v>
      </c>
      <c r="C89">
        <v>6.6516999999999999</v>
      </c>
      <c r="D89" s="1">
        <v>463432000</v>
      </c>
      <c r="E89" s="1">
        <v>27166.5</v>
      </c>
      <c r="F89">
        <v>0.15416168999999999</v>
      </c>
      <c r="G89">
        <v>6.5237263999999998E-3</v>
      </c>
      <c r="H89" s="1">
        <v>6.8546007E-6</v>
      </c>
      <c r="I89" s="1">
        <v>9.3522305000000003E-8</v>
      </c>
      <c r="J89" s="1">
        <v>5.5029265000000003E-6</v>
      </c>
      <c r="K89" s="1">
        <v>4.8406595000000001E-6</v>
      </c>
      <c r="L89">
        <v>2.1950029999999999E-2</v>
      </c>
      <c r="M89">
        <v>2.6603343E-3</v>
      </c>
      <c r="N89">
        <v>-0.50246256</v>
      </c>
      <c r="O89">
        <v>0.12146762999999999</v>
      </c>
      <c r="P89" s="1">
        <v>1.8701828999999999E-8</v>
      </c>
      <c r="Q89" t="s">
        <v>21</v>
      </c>
      <c r="R89">
        <v>-1.0796321999999999E-3</v>
      </c>
      <c r="S89">
        <v>1.1170033E-4</v>
      </c>
      <c r="T89" t="s">
        <v>223</v>
      </c>
      <c r="U89">
        <f t="shared" si="4"/>
        <v>136</v>
      </c>
      <c r="W89" s="1">
        <f t="shared" si="3"/>
        <v>3082.6106344</v>
      </c>
      <c r="X89">
        <v>0.53</v>
      </c>
    </row>
    <row r="90" spans="1:24" x14ac:dyDescent="0.3">
      <c r="A90" t="s">
        <v>201</v>
      </c>
      <c r="B90" t="s">
        <v>202</v>
      </c>
      <c r="C90">
        <v>6.6516999999999999</v>
      </c>
      <c r="D90" s="1">
        <v>467952000</v>
      </c>
      <c r="E90" s="1">
        <v>8978.7800000000007</v>
      </c>
      <c r="F90">
        <v>0.14950701999999999</v>
      </c>
      <c r="G90">
        <v>7.3416829999999999E-3</v>
      </c>
      <c r="H90" s="1">
        <v>6.9501452000000002E-6</v>
      </c>
      <c r="I90" s="1">
        <v>1.0824454E-7</v>
      </c>
      <c r="J90" s="1">
        <v>2.6183856000000001E-6</v>
      </c>
      <c r="K90" s="1">
        <v>5.7163195999999998E-6</v>
      </c>
      <c r="L90">
        <v>5.1866405999999997E-2</v>
      </c>
      <c r="M90">
        <v>5.5639950000000004E-3</v>
      </c>
      <c r="N90">
        <v>-0.42567592999999998</v>
      </c>
      <c r="O90">
        <v>3.8901809000000002E-2</v>
      </c>
      <c r="P90" s="1">
        <v>2.1137679000000001E-8</v>
      </c>
      <c r="Q90" s="1">
        <v>6.7232910000000002E-10</v>
      </c>
      <c r="R90">
        <v>-2.2367858000000001E-3</v>
      </c>
      <c r="S90">
        <v>1.2395053E-4</v>
      </c>
      <c r="T90" t="s">
        <v>223</v>
      </c>
      <c r="U90">
        <f t="shared" si="4"/>
        <v>140</v>
      </c>
      <c r="W90" s="1">
        <f t="shared" si="3"/>
        <v>3112.6763184000001</v>
      </c>
      <c r="X90">
        <v>0.53</v>
      </c>
    </row>
    <row r="91" spans="1:24" x14ac:dyDescent="0.3">
      <c r="A91" t="s">
        <v>203</v>
      </c>
      <c r="B91" t="s">
        <v>204</v>
      </c>
      <c r="C91">
        <v>6.6516999999999999</v>
      </c>
      <c r="D91" s="1">
        <v>466113000</v>
      </c>
      <c r="E91" s="1">
        <v>8922.9</v>
      </c>
      <c r="F91">
        <v>0.13956740000000001</v>
      </c>
      <c r="G91">
        <v>7.8921519999999995E-3</v>
      </c>
      <c r="H91" s="1">
        <v>7.1151059999999996E-6</v>
      </c>
      <c r="I91" s="1">
        <v>1.2149148999999999E-7</v>
      </c>
      <c r="J91" s="1">
        <v>1.7582254E-6</v>
      </c>
      <c r="K91" s="1">
        <v>6.6209486999999996E-6</v>
      </c>
      <c r="L91">
        <v>6.1947789000000003E-2</v>
      </c>
      <c r="M91">
        <v>6.5638069E-3</v>
      </c>
      <c r="N91">
        <v>-1.3820520000000001</v>
      </c>
      <c r="O91">
        <v>3.8447105000000002E-2</v>
      </c>
      <c r="P91" s="1">
        <v>2.0362043000000001E-8</v>
      </c>
      <c r="Q91" s="1">
        <v>5.9092308999999997E-10</v>
      </c>
      <c r="R91">
        <v>-2.3868391E-3</v>
      </c>
      <c r="S91">
        <v>1.212871E-4</v>
      </c>
      <c r="T91" t="s">
        <v>223</v>
      </c>
      <c r="U91">
        <f t="shared" si="4"/>
        <v>144</v>
      </c>
      <c r="W91" s="1">
        <f t="shared" si="3"/>
        <v>3100.4438421</v>
      </c>
      <c r="X91">
        <v>0.53</v>
      </c>
    </row>
    <row r="92" spans="1:24" x14ac:dyDescent="0.3">
      <c r="A92" t="s">
        <v>205</v>
      </c>
      <c r="B92" t="s">
        <v>206</v>
      </c>
      <c r="C92">
        <v>6.6516999999999999</v>
      </c>
      <c r="D92" s="1">
        <v>466224000</v>
      </c>
      <c r="E92" s="1">
        <v>9954.19</v>
      </c>
      <c r="F92">
        <v>9.6139529000000001E-2</v>
      </c>
      <c r="G92">
        <v>7.4531939999999998E-3</v>
      </c>
      <c r="H92" s="1">
        <v>7.3378841E-6</v>
      </c>
      <c r="I92" s="1">
        <v>1.6468061000000001E-7</v>
      </c>
      <c r="J92" s="1">
        <v>1.2488223E-6</v>
      </c>
      <c r="K92" s="1">
        <v>9.0500443999999999E-6</v>
      </c>
      <c r="L92">
        <v>3.6672384000000002E-2</v>
      </c>
      <c r="M92">
        <v>5.7808866E-3</v>
      </c>
      <c r="N92">
        <v>-1.4414452</v>
      </c>
      <c r="O92">
        <v>5.7077237000000003E-2</v>
      </c>
      <c r="P92" s="1">
        <v>2.0589821E-8</v>
      </c>
      <c r="Q92" s="1">
        <v>9.0317674000000003E-10</v>
      </c>
      <c r="R92">
        <v>-2.261805E-3</v>
      </c>
      <c r="S92">
        <v>1.0473519000000001E-4</v>
      </c>
      <c r="T92" t="s">
        <v>223</v>
      </c>
      <c r="U92">
        <f t="shared" si="4"/>
        <v>148</v>
      </c>
      <c r="W92" s="1">
        <f t="shared" si="3"/>
        <v>3101.1821808</v>
      </c>
      <c r="X92">
        <v>0.53</v>
      </c>
    </row>
    <row r="93" spans="1:24" x14ac:dyDescent="0.3">
      <c r="A93" t="s">
        <v>207</v>
      </c>
      <c r="B93" t="s">
        <v>208</v>
      </c>
      <c r="C93">
        <v>6.6516999999999999</v>
      </c>
      <c r="D93" s="1">
        <v>458061000</v>
      </c>
      <c r="E93" s="1">
        <v>13167</v>
      </c>
      <c r="F93">
        <v>0.13369913999999999</v>
      </c>
      <c r="G93">
        <v>4.7389504E-4</v>
      </c>
      <c r="H93" s="1">
        <v>7.2358470999999996E-6</v>
      </c>
      <c r="I93" s="1">
        <v>4.0607487999999998E-8</v>
      </c>
      <c r="J93" s="1">
        <v>1.3591467E-11</v>
      </c>
      <c r="K93" t="s">
        <v>21</v>
      </c>
      <c r="L93">
        <v>2.8064902999999999E-2</v>
      </c>
      <c r="M93">
        <v>6.1690979999999996E-3</v>
      </c>
      <c r="N93">
        <v>0.65789854999999997</v>
      </c>
      <c r="O93">
        <v>7.8307277999999994E-2</v>
      </c>
      <c r="P93" s="1">
        <v>2.0119172000000002E-8</v>
      </c>
      <c r="Q93" s="1">
        <v>1.1843427000000001E-9</v>
      </c>
      <c r="R93">
        <v>-2.7512864000000001E-3</v>
      </c>
      <c r="S93" s="1">
        <v>6.8679095999999993E-5</v>
      </c>
      <c r="T93" t="s">
        <v>223</v>
      </c>
      <c r="U93">
        <f t="shared" si="4"/>
        <v>152</v>
      </c>
      <c r="W93" s="1">
        <f t="shared" si="3"/>
        <v>3046.8843536999998</v>
      </c>
      <c r="X93">
        <v>0.53</v>
      </c>
    </row>
    <row r="94" spans="1:24" x14ac:dyDescent="0.3">
      <c r="A94" t="s">
        <v>209</v>
      </c>
      <c r="B94" t="s">
        <v>210</v>
      </c>
      <c r="C94">
        <v>6.6516999999999999</v>
      </c>
      <c r="D94" s="1">
        <v>448137000</v>
      </c>
      <c r="E94" s="1">
        <v>26220.7</v>
      </c>
      <c r="F94">
        <v>0.13595246999999999</v>
      </c>
      <c r="G94">
        <v>7.8237163000000002E-3</v>
      </c>
      <c r="H94" s="1">
        <v>7.3320996999999998E-6</v>
      </c>
      <c r="I94" s="1">
        <v>1.2112639999999999E-7</v>
      </c>
      <c r="J94" s="1">
        <v>8.4189671999999998E-6</v>
      </c>
      <c r="K94" s="1">
        <v>6.3850707000000001E-6</v>
      </c>
      <c r="L94">
        <v>3.7940269999999998E-2</v>
      </c>
      <c r="M94">
        <v>4.6105469E-3</v>
      </c>
      <c r="N94">
        <v>-1.3167807</v>
      </c>
      <c r="O94">
        <v>0.12040051</v>
      </c>
      <c r="P94" s="1">
        <v>1.6711399999999998E-8</v>
      </c>
      <c r="Q94" t="s">
        <v>21</v>
      </c>
      <c r="R94">
        <v>-1.7060263999999999E-3</v>
      </c>
      <c r="S94">
        <v>1.0196301E-4</v>
      </c>
      <c r="T94" t="s">
        <v>223</v>
      </c>
      <c r="U94">
        <f t="shared" si="4"/>
        <v>156</v>
      </c>
      <c r="W94" s="1">
        <f t="shared" si="3"/>
        <v>2980.8728829000001</v>
      </c>
      <c r="X94">
        <v>0.53</v>
      </c>
    </row>
    <row r="95" spans="1:24" x14ac:dyDescent="0.3">
      <c r="A95" t="s">
        <v>211</v>
      </c>
      <c r="B95" t="s">
        <v>212</v>
      </c>
      <c r="C95">
        <v>6.6516999999999999</v>
      </c>
      <c r="D95" s="1">
        <v>530000000</v>
      </c>
      <c r="E95" t="s">
        <v>21</v>
      </c>
      <c r="F95">
        <v>0.10380657</v>
      </c>
      <c r="G95">
        <v>8.0161911999999998E-3</v>
      </c>
      <c r="H95" s="1">
        <v>7.6139474000000001E-6</v>
      </c>
      <c r="I95" s="1">
        <v>1.6486088E-7</v>
      </c>
      <c r="J95" s="1">
        <v>1.3447439E-6</v>
      </c>
      <c r="K95" s="1">
        <v>8.8921725000000008E-6</v>
      </c>
      <c r="L95">
        <v>5.3413845999999996E-3</v>
      </c>
      <c r="M95">
        <v>4.0197451000000004E-3</v>
      </c>
      <c r="N95">
        <v>-0.51979807</v>
      </c>
      <c r="O95">
        <v>0.76086215000000001</v>
      </c>
      <c r="P95" s="1">
        <v>1.6692840000000001E-8</v>
      </c>
      <c r="Q95" t="s">
        <v>21</v>
      </c>
      <c r="R95">
        <v>-1.9292005E-3</v>
      </c>
      <c r="S95">
        <v>1.0395415E-4</v>
      </c>
      <c r="T95" t="s">
        <v>223</v>
      </c>
      <c r="U95">
        <f t="shared" si="4"/>
        <v>160</v>
      </c>
      <c r="W95" s="1"/>
      <c r="X95">
        <v>0.53</v>
      </c>
    </row>
    <row r="96" spans="1:24" x14ac:dyDescent="0.3">
      <c r="A96" t="s">
        <v>213</v>
      </c>
      <c r="B96" t="s">
        <v>214</v>
      </c>
      <c r="C96">
        <v>6.6516999999999999</v>
      </c>
      <c r="D96" s="1">
        <v>440469000</v>
      </c>
      <c r="E96" s="1">
        <v>12524.4</v>
      </c>
      <c r="F96">
        <v>0.13577162000000001</v>
      </c>
      <c r="G96">
        <v>7.2382128000000002E-3</v>
      </c>
      <c r="H96" s="1">
        <v>7.2414448999999996E-6</v>
      </c>
      <c r="I96" s="1">
        <v>1.1484271E-7</v>
      </c>
      <c r="J96" s="1">
        <v>2.4056979000000002E-7</v>
      </c>
      <c r="K96" s="1">
        <v>6.2716852000000001E-6</v>
      </c>
      <c r="L96">
        <v>8.9658143999999995E-2</v>
      </c>
      <c r="M96">
        <v>3.8089517999999999E-3</v>
      </c>
      <c r="N96">
        <v>-0.10878061999999999</v>
      </c>
      <c r="O96">
        <v>4.2620957000000001E-2</v>
      </c>
      <c r="P96" s="1">
        <v>1.6794530999999999E-8</v>
      </c>
      <c r="Q96" t="s">
        <v>21</v>
      </c>
      <c r="R96">
        <v>-2.1409871E-3</v>
      </c>
      <c r="S96">
        <v>1.0853823E-4</v>
      </c>
      <c r="T96" t="s">
        <v>223</v>
      </c>
      <c r="U96">
        <f t="shared" si="4"/>
        <v>164</v>
      </c>
      <c r="W96" s="1">
        <f t="shared" si="3"/>
        <v>2929.8676473</v>
      </c>
      <c r="X96">
        <v>0.53</v>
      </c>
    </row>
    <row r="97" spans="1:24" x14ac:dyDescent="0.3">
      <c r="A97" t="s">
        <v>215</v>
      </c>
      <c r="B97" t="s">
        <v>216</v>
      </c>
      <c r="C97">
        <v>6.6516999999999999</v>
      </c>
      <c r="D97" s="1">
        <v>530000000</v>
      </c>
      <c r="E97" t="s">
        <v>21</v>
      </c>
      <c r="F97">
        <v>0.10912028999999999</v>
      </c>
      <c r="G97">
        <v>9.4015112000000005E-3</v>
      </c>
      <c r="H97" s="1">
        <v>7.5436545999999999E-6</v>
      </c>
      <c r="I97" s="1">
        <v>1.8329876999999999E-7</v>
      </c>
      <c r="J97" s="1">
        <v>4.5839988000000002E-8</v>
      </c>
      <c r="K97" s="1">
        <v>1.0054771E-5</v>
      </c>
      <c r="L97">
        <v>8.3003444999999992E-3</v>
      </c>
      <c r="M97">
        <v>5.7908734000000003E-3</v>
      </c>
      <c r="N97">
        <v>-1.8834549</v>
      </c>
      <c r="O97">
        <v>0.69858671999999999</v>
      </c>
      <c r="P97" s="1">
        <v>1.5802405000000002E-8</v>
      </c>
      <c r="Q97" t="s">
        <v>21</v>
      </c>
      <c r="R97">
        <v>-1.1902671000000001E-3</v>
      </c>
      <c r="S97">
        <v>1.2524703E-4</v>
      </c>
      <c r="T97" t="s">
        <v>223</v>
      </c>
      <c r="U97">
        <f t="shared" si="4"/>
        <v>168</v>
      </c>
      <c r="W97" s="1"/>
      <c r="X97">
        <v>0.53</v>
      </c>
    </row>
    <row r="98" spans="1:24" x14ac:dyDescent="0.3">
      <c r="A98" t="s">
        <v>217</v>
      </c>
      <c r="B98" t="s">
        <v>218</v>
      </c>
      <c r="C98">
        <v>6.6516999999999999</v>
      </c>
      <c r="D98" s="1">
        <v>442052000</v>
      </c>
      <c r="E98" s="1">
        <v>10541.1</v>
      </c>
      <c r="F98">
        <v>9.2771560000000003E-2</v>
      </c>
      <c r="G98">
        <v>1.0235849999999999E-2</v>
      </c>
      <c r="H98" s="1">
        <v>7.5232082000000003E-6</v>
      </c>
      <c r="I98" s="1">
        <v>2.1607719999999999E-7</v>
      </c>
      <c r="J98" s="1">
        <v>1.8903643000000001E-5</v>
      </c>
      <c r="K98" s="1">
        <v>1.1409142E-5</v>
      </c>
      <c r="L98">
        <v>7.3121123999999996E-2</v>
      </c>
      <c r="M98">
        <v>4.5181841000000002E-3</v>
      </c>
      <c r="N98">
        <v>0.67793859000000001</v>
      </c>
      <c r="O98">
        <v>6.0937760000000001E-2</v>
      </c>
      <c r="P98" s="1">
        <v>1.9014727000000001E-8</v>
      </c>
      <c r="Q98" t="s">
        <v>21</v>
      </c>
      <c r="R98">
        <v>-4.0489321E-4</v>
      </c>
      <c r="S98" s="1">
        <v>9.9814072999999996E-5</v>
      </c>
      <c r="T98" t="s">
        <v>223</v>
      </c>
      <c r="U98">
        <f t="shared" si="4"/>
        <v>172</v>
      </c>
      <c r="W98" s="1">
        <f t="shared" si="3"/>
        <v>2940.3972884</v>
      </c>
      <c r="X98">
        <v>0.53</v>
      </c>
    </row>
    <row r="99" spans="1:24" x14ac:dyDescent="0.3">
      <c r="A99" t="s">
        <v>219</v>
      </c>
      <c r="B99" t="s">
        <v>220</v>
      </c>
      <c r="C99">
        <v>6.6516999999999999</v>
      </c>
      <c r="D99" s="1">
        <v>445890000</v>
      </c>
      <c r="E99" s="1">
        <v>9670.93</v>
      </c>
      <c r="F99">
        <v>0.13832115</v>
      </c>
      <c r="G99">
        <v>7.9856664000000008E-3</v>
      </c>
      <c r="H99" s="1">
        <v>7.4430329000000001E-6</v>
      </c>
      <c r="I99" s="1">
        <v>1.2513313999999999E-7</v>
      </c>
      <c r="J99" s="1">
        <v>2.6150087000000001E-8</v>
      </c>
      <c r="K99" s="1">
        <v>6.7328271999999997E-6</v>
      </c>
      <c r="L99">
        <v>5.0213668000000003E-2</v>
      </c>
      <c r="M99">
        <v>4.8077922E-3</v>
      </c>
      <c r="N99">
        <v>-0.22477999000000001</v>
      </c>
      <c r="O99">
        <v>3.4642517999999997E-2</v>
      </c>
      <c r="P99" s="1">
        <v>2.2188422999999999E-8</v>
      </c>
      <c r="Q99" s="1">
        <v>6.8866716999999997E-10</v>
      </c>
      <c r="R99">
        <v>-1.4871260000000001E-3</v>
      </c>
      <c r="S99">
        <v>1.1364258999999999E-4</v>
      </c>
      <c r="T99" t="s">
        <v>223</v>
      </c>
      <c r="U99">
        <f t="shared" si="4"/>
        <v>176</v>
      </c>
      <c r="W99" s="1">
        <f t="shared" si="3"/>
        <v>2965.9265129999999</v>
      </c>
      <c r="X99">
        <v>0.53</v>
      </c>
    </row>
    <row r="100" spans="1:24" x14ac:dyDescent="0.3">
      <c r="A100" t="s">
        <v>221</v>
      </c>
      <c r="B100" t="s">
        <v>222</v>
      </c>
      <c r="C100">
        <v>6.6516999999999999</v>
      </c>
      <c r="D100" s="1">
        <v>449100000</v>
      </c>
      <c r="E100" s="1">
        <v>7855.24</v>
      </c>
      <c r="F100">
        <v>0.13054300999999999</v>
      </c>
      <c r="G100">
        <v>8.3495384000000002E-3</v>
      </c>
      <c r="H100" s="1">
        <v>7.6465702000000001E-6</v>
      </c>
      <c r="I100" s="1">
        <v>1.3988936E-7</v>
      </c>
      <c r="J100" s="1">
        <v>3.5555517E-6</v>
      </c>
      <c r="K100" s="1">
        <v>7.1864183000000002E-6</v>
      </c>
      <c r="L100">
        <v>4.916686E-2</v>
      </c>
      <c r="M100">
        <v>4.2330557000000001E-3</v>
      </c>
      <c r="N100">
        <v>-0.97994546000000005</v>
      </c>
      <c r="O100">
        <v>3.0991273999999999E-2</v>
      </c>
      <c r="P100" s="1">
        <v>2.3436563E-8</v>
      </c>
      <c r="Q100" s="1">
        <v>6.9961137000000003E-10</v>
      </c>
      <c r="R100">
        <v>-1.7882944000000001E-3</v>
      </c>
      <c r="S100">
        <v>1.0990207E-4</v>
      </c>
      <c r="T100" t="s">
        <v>223</v>
      </c>
      <c r="U100">
        <f t="shared" si="4"/>
        <v>180</v>
      </c>
      <c r="W100" s="1">
        <f t="shared" si="3"/>
        <v>2987.2784700000002</v>
      </c>
      <c r="X100">
        <v>0.53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Rae</dc:creator>
  <cp:lastModifiedBy>Maxwell Rae</cp:lastModifiedBy>
  <dcterms:created xsi:type="dcterms:W3CDTF">2026-02-28T00:37:43Z</dcterms:created>
  <dcterms:modified xsi:type="dcterms:W3CDTF">2026-06-10T16:42:38Z</dcterms:modified>
</cp:coreProperties>
</file>