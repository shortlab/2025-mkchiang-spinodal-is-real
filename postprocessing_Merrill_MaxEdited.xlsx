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5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5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5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drawings/drawing4.xml" ContentType="application/vnd.openxmlformats-officedocument.drawing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5.xml" ContentType="application/vnd.openxmlformats-officedocument.drawing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ra\Documents\Papers\Spinodal Paper\FeCr Spinodal Acta\"/>
    </mc:Choice>
  </mc:AlternateContent>
  <xr:revisionPtr revIDLastSave="0" documentId="13_ncr:1_{5F7448C9-1690-49D1-8EF2-C27E69E04107}" xr6:coauthVersionLast="47" xr6:coauthVersionMax="47" xr10:uidLastSave="{00000000-0000-0000-0000-000000000000}"/>
  <bookViews>
    <workbookView xWindow="2184" yWindow="2424" windowWidth="17172" windowHeight="8880" firstSheet="2" activeTab="3" xr2:uid="{00000000-000D-0000-FFFF-FFFF00000000}"/>
  </bookViews>
  <sheets>
    <sheet name="Tungsten Calibration" sheetId="1" r:id="rId1"/>
    <sheet name="Fe36Cr Max + MD + Variance" sheetId="7" r:id="rId2"/>
    <sheet name="Fe36Cr Max + MD" sheetId="6" r:id="rId3"/>
    <sheet name="Fe36Cr Max Reformat" sheetId="4" r:id="rId4"/>
    <sheet name="Fe25Cr Max Edits" sheetId="5" r:id="rId5"/>
    <sheet name="Fe25Cr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" i="7" l="1"/>
  <c r="AD6" i="7"/>
  <c r="AD5" i="7"/>
  <c r="AD4" i="7"/>
  <c r="AE6" i="7"/>
  <c r="AE7" i="7"/>
  <c r="AE5" i="7"/>
  <c r="AE4" i="7"/>
  <c r="AC7" i="4"/>
  <c r="AC6" i="4"/>
  <c r="AC5" i="4"/>
  <c r="AC4" i="4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D454" i="7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H452" i="7"/>
  <c r="D452" i="7"/>
  <c r="H451" i="7"/>
  <c r="D451" i="7"/>
  <c r="H450" i="7"/>
  <c r="D450" i="7"/>
  <c r="H449" i="7"/>
  <c r="D449" i="7"/>
  <c r="H448" i="7"/>
  <c r="D448" i="7"/>
  <c r="H447" i="7"/>
  <c r="D447" i="7"/>
  <c r="H446" i="7"/>
  <c r="D446" i="7"/>
  <c r="H445" i="7"/>
  <c r="D445" i="7"/>
  <c r="H444" i="7"/>
  <c r="D444" i="7"/>
  <c r="H443" i="7"/>
  <c r="D443" i="7"/>
  <c r="H442" i="7"/>
  <c r="D442" i="7"/>
  <c r="H441" i="7"/>
  <c r="D441" i="7"/>
  <c r="H440" i="7"/>
  <c r="D440" i="7"/>
  <c r="H439" i="7"/>
  <c r="D439" i="7"/>
  <c r="H438" i="7"/>
  <c r="D438" i="7"/>
  <c r="H437" i="7"/>
  <c r="D437" i="7"/>
  <c r="H436" i="7"/>
  <c r="D436" i="7"/>
  <c r="H435" i="7"/>
  <c r="D435" i="7"/>
  <c r="H434" i="7"/>
  <c r="D434" i="7"/>
  <c r="H433" i="7"/>
  <c r="D433" i="7"/>
  <c r="H432" i="7"/>
  <c r="D432" i="7"/>
  <c r="H431" i="7"/>
  <c r="D431" i="7"/>
  <c r="H430" i="7"/>
  <c r="D430" i="7"/>
  <c r="H429" i="7"/>
  <c r="D429" i="7"/>
  <c r="H428" i="7"/>
  <c r="D428" i="7"/>
  <c r="H427" i="7"/>
  <c r="D427" i="7"/>
  <c r="H426" i="7"/>
  <c r="D426" i="7"/>
  <c r="H425" i="7"/>
  <c r="D425" i="7"/>
  <c r="H424" i="7"/>
  <c r="D424" i="7"/>
  <c r="H423" i="7"/>
  <c r="D423" i="7"/>
  <c r="H422" i="7"/>
  <c r="D422" i="7"/>
  <c r="H421" i="7"/>
  <c r="D421" i="7"/>
  <c r="H420" i="7"/>
  <c r="D420" i="7"/>
  <c r="H419" i="7"/>
  <c r="D419" i="7"/>
  <c r="H418" i="7"/>
  <c r="D418" i="7"/>
  <c r="H417" i="7"/>
  <c r="D417" i="7"/>
  <c r="H416" i="7"/>
  <c r="D416" i="7"/>
  <c r="H415" i="7"/>
  <c r="D415" i="7"/>
  <c r="H414" i="7"/>
  <c r="D414" i="7"/>
  <c r="H413" i="7"/>
  <c r="D413" i="7"/>
  <c r="H412" i="7"/>
  <c r="D412" i="7"/>
  <c r="H411" i="7"/>
  <c r="D411" i="7"/>
  <c r="H410" i="7"/>
  <c r="D410" i="7"/>
  <c r="H409" i="7"/>
  <c r="D409" i="7"/>
  <c r="H408" i="7"/>
  <c r="D408" i="7"/>
  <c r="H407" i="7"/>
  <c r="D407" i="7"/>
  <c r="H406" i="7"/>
  <c r="D406" i="7"/>
  <c r="H405" i="7"/>
  <c r="D405" i="7"/>
  <c r="H404" i="7"/>
  <c r="D404" i="7"/>
  <c r="H403" i="7"/>
  <c r="D403" i="7"/>
  <c r="H402" i="7"/>
  <c r="D402" i="7"/>
  <c r="H401" i="7"/>
  <c r="D401" i="7"/>
  <c r="H400" i="7"/>
  <c r="D400" i="7"/>
  <c r="H399" i="7"/>
  <c r="D399" i="7"/>
  <c r="H398" i="7"/>
  <c r="D398" i="7"/>
  <c r="H397" i="7"/>
  <c r="D397" i="7"/>
  <c r="H396" i="7"/>
  <c r="D396" i="7"/>
  <c r="H395" i="7"/>
  <c r="D395" i="7"/>
  <c r="H394" i="7"/>
  <c r="D394" i="7"/>
  <c r="H393" i="7"/>
  <c r="D393" i="7"/>
  <c r="H392" i="7"/>
  <c r="D392" i="7"/>
  <c r="H391" i="7"/>
  <c r="D391" i="7"/>
  <c r="H390" i="7"/>
  <c r="D390" i="7"/>
  <c r="H389" i="7"/>
  <c r="D389" i="7"/>
  <c r="H388" i="7"/>
  <c r="D388" i="7"/>
  <c r="H387" i="7"/>
  <c r="D387" i="7"/>
  <c r="H386" i="7"/>
  <c r="D386" i="7"/>
  <c r="H385" i="7"/>
  <c r="D385" i="7"/>
  <c r="H384" i="7"/>
  <c r="D384" i="7"/>
  <c r="H383" i="7"/>
  <c r="D383" i="7"/>
  <c r="H382" i="7"/>
  <c r="D382" i="7"/>
  <c r="H381" i="7"/>
  <c r="D381" i="7"/>
  <c r="H380" i="7"/>
  <c r="D380" i="7"/>
  <c r="H379" i="7"/>
  <c r="D379" i="7"/>
  <c r="H378" i="7"/>
  <c r="D378" i="7"/>
  <c r="H377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H355" i="7"/>
  <c r="D355" i="7"/>
  <c r="H354" i="7"/>
  <c r="D354" i="7"/>
  <c r="H353" i="7"/>
  <c r="D353" i="7"/>
  <c r="H352" i="7"/>
  <c r="D352" i="7"/>
  <c r="H351" i="7"/>
  <c r="D351" i="7"/>
  <c r="H350" i="7"/>
  <c r="D350" i="7"/>
  <c r="H349" i="7"/>
  <c r="D349" i="7"/>
  <c r="H348" i="7"/>
  <c r="D348" i="7"/>
  <c r="H347" i="7"/>
  <c r="D347" i="7"/>
  <c r="H346" i="7"/>
  <c r="D346" i="7"/>
  <c r="H345" i="7"/>
  <c r="D345" i="7"/>
  <c r="H344" i="7"/>
  <c r="D344" i="7"/>
  <c r="H343" i="7"/>
  <c r="D343" i="7"/>
  <c r="H342" i="7"/>
  <c r="D342" i="7"/>
  <c r="H341" i="7"/>
  <c r="D341" i="7"/>
  <c r="H340" i="7"/>
  <c r="D340" i="7"/>
  <c r="H339" i="7"/>
  <c r="D339" i="7"/>
  <c r="H338" i="7"/>
  <c r="D338" i="7"/>
  <c r="H337" i="7"/>
  <c r="D337" i="7"/>
  <c r="H336" i="7"/>
  <c r="D336" i="7"/>
  <c r="H335" i="7"/>
  <c r="D335" i="7"/>
  <c r="H334" i="7"/>
  <c r="D334" i="7"/>
  <c r="H333" i="7"/>
  <c r="D333" i="7"/>
  <c r="H332" i="7"/>
  <c r="D332" i="7"/>
  <c r="H331" i="7"/>
  <c r="D331" i="7"/>
  <c r="H330" i="7"/>
  <c r="D330" i="7"/>
  <c r="H329" i="7"/>
  <c r="D329" i="7"/>
  <c r="H328" i="7"/>
  <c r="D328" i="7"/>
  <c r="H327" i="7"/>
  <c r="D327" i="7"/>
  <c r="H326" i="7"/>
  <c r="D326" i="7"/>
  <c r="H325" i="7"/>
  <c r="D325" i="7"/>
  <c r="H324" i="7"/>
  <c r="D324" i="7"/>
  <c r="H323" i="7"/>
  <c r="D323" i="7"/>
  <c r="H322" i="7"/>
  <c r="D322" i="7"/>
  <c r="H321" i="7"/>
  <c r="D321" i="7"/>
  <c r="H320" i="7"/>
  <c r="D320" i="7"/>
  <c r="H319" i="7"/>
  <c r="D319" i="7"/>
  <c r="H318" i="7"/>
  <c r="D318" i="7"/>
  <c r="H317" i="7"/>
  <c r="D317" i="7"/>
  <c r="H316" i="7"/>
  <c r="D316" i="7"/>
  <c r="H315" i="7"/>
  <c r="D315" i="7"/>
  <c r="H314" i="7"/>
  <c r="D314" i="7"/>
  <c r="H313" i="7"/>
  <c r="D313" i="7"/>
  <c r="H312" i="7"/>
  <c r="D312" i="7"/>
  <c r="H311" i="7"/>
  <c r="D311" i="7"/>
  <c r="H310" i="7"/>
  <c r="D310" i="7"/>
  <c r="H309" i="7"/>
  <c r="D309" i="7"/>
  <c r="H308" i="7"/>
  <c r="D308" i="7"/>
  <c r="H307" i="7"/>
  <c r="D307" i="7"/>
  <c r="H306" i="7"/>
  <c r="D306" i="7"/>
  <c r="H305" i="7"/>
  <c r="D305" i="7"/>
  <c r="H304" i="7"/>
  <c r="D304" i="7"/>
  <c r="H303" i="7"/>
  <c r="D303" i="7"/>
  <c r="H302" i="7"/>
  <c r="D302" i="7"/>
  <c r="H301" i="7"/>
  <c r="D301" i="7"/>
  <c r="H300" i="7"/>
  <c r="D300" i="7"/>
  <c r="H299" i="7"/>
  <c r="D299" i="7"/>
  <c r="H298" i="7"/>
  <c r="D298" i="7"/>
  <c r="H297" i="7"/>
  <c r="D297" i="7"/>
  <c r="H296" i="7"/>
  <c r="D296" i="7"/>
  <c r="H295" i="7"/>
  <c r="D295" i="7"/>
  <c r="H294" i="7"/>
  <c r="D294" i="7"/>
  <c r="H293" i="7"/>
  <c r="D293" i="7"/>
  <c r="H292" i="7"/>
  <c r="D292" i="7"/>
  <c r="H291" i="7"/>
  <c r="D291" i="7"/>
  <c r="H290" i="7"/>
  <c r="D290" i="7"/>
  <c r="H289" i="7"/>
  <c r="D289" i="7"/>
  <c r="H288" i="7"/>
  <c r="D288" i="7"/>
  <c r="H287" i="7"/>
  <c r="D287" i="7"/>
  <c r="H286" i="7"/>
  <c r="D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E235" i="7"/>
  <c r="H234" i="7"/>
  <c r="E234" i="7"/>
  <c r="H233" i="7"/>
  <c r="E233" i="7"/>
  <c r="H232" i="7"/>
  <c r="E232" i="7"/>
  <c r="H231" i="7"/>
  <c r="E231" i="7"/>
  <c r="H230" i="7"/>
  <c r="E230" i="7"/>
  <c r="H229" i="7"/>
  <c r="E229" i="7"/>
  <c r="H228" i="7"/>
  <c r="E228" i="7"/>
  <c r="H227" i="7"/>
  <c r="E227" i="7"/>
  <c r="H226" i="7"/>
  <c r="E226" i="7"/>
  <c r="H225" i="7"/>
  <c r="E225" i="7"/>
  <c r="H224" i="7"/>
  <c r="E224" i="7"/>
  <c r="H223" i="7"/>
  <c r="E223" i="7"/>
  <c r="H222" i="7"/>
  <c r="E222" i="7"/>
  <c r="H221" i="7"/>
  <c r="E221" i="7"/>
  <c r="H220" i="7"/>
  <c r="E220" i="7"/>
  <c r="H219" i="7"/>
  <c r="E219" i="7"/>
  <c r="H218" i="7"/>
  <c r="E218" i="7"/>
  <c r="H217" i="7"/>
  <c r="E217" i="7"/>
  <c r="H216" i="7"/>
  <c r="E216" i="7"/>
  <c r="H215" i="7"/>
  <c r="E215" i="7"/>
  <c r="H214" i="7"/>
  <c r="E214" i="7"/>
  <c r="H213" i="7"/>
  <c r="E213" i="7"/>
  <c r="H212" i="7"/>
  <c r="E212" i="7"/>
  <c r="H211" i="7"/>
  <c r="E211" i="7"/>
  <c r="H210" i="7"/>
  <c r="E210" i="7"/>
  <c r="H209" i="7"/>
  <c r="E209" i="7"/>
  <c r="H208" i="7"/>
  <c r="E208" i="7"/>
  <c r="H207" i="7"/>
  <c r="E207" i="7"/>
  <c r="H206" i="7"/>
  <c r="E206" i="7"/>
  <c r="H205" i="7"/>
  <c r="E205" i="7"/>
  <c r="H204" i="7"/>
  <c r="E204" i="7"/>
  <c r="H203" i="7"/>
  <c r="E203" i="7"/>
  <c r="H202" i="7"/>
  <c r="E202" i="7"/>
  <c r="H201" i="7"/>
  <c r="E201" i="7"/>
  <c r="H200" i="7"/>
  <c r="E200" i="7"/>
  <c r="H199" i="7"/>
  <c r="E199" i="7"/>
  <c r="H198" i="7"/>
  <c r="E198" i="7"/>
  <c r="H197" i="7"/>
  <c r="E197" i="7"/>
  <c r="H196" i="7"/>
  <c r="E196" i="7"/>
  <c r="H195" i="7"/>
  <c r="E195" i="7"/>
  <c r="H194" i="7"/>
  <c r="E194" i="7"/>
  <c r="H193" i="7"/>
  <c r="E193" i="7"/>
  <c r="H192" i="7"/>
  <c r="E192" i="7"/>
  <c r="H191" i="7"/>
  <c r="E191" i="7"/>
  <c r="H190" i="7"/>
  <c r="E190" i="7"/>
  <c r="H189" i="7"/>
  <c r="E189" i="7"/>
  <c r="H188" i="7"/>
  <c r="E188" i="7"/>
  <c r="H187" i="7"/>
  <c r="E187" i="7"/>
  <c r="H186" i="7"/>
  <c r="E186" i="7"/>
  <c r="H185" i="7"/>
  <c r="E185" i="7"/>
  <c r="H184" i="7"/>
  <c r="E184" i="7"/>
  <c r="H183" i="7"/>
  <c r="E183" i="7"/>
  <c r="H182" i="7"/>
  <c r="E182" i="7"/>
  <c r="H181" i="7"/>
  <c r="E181" i="7"/>
  <c r="H180" i="7"/>
  <c r="E180" i="7"/>
  <c r="H179" i="7"/>
  <c r="E179" i="7"/>
  <c r="H178" i="7"/>
  <c r="E178" i="7"/>
  <c r="H177" i="7"/>
  <c r="E177" i="7"/>
  <c r="H176" i="7"/>
  <c r="E176" i="7"/>
  <c r="H175" i="7"/>
  <c r="E175" i="7"/>
  <c r="H174" i="7"/>
  <c r="E174" i="7"/>
  <c r="H173" i="7"/>
  <c r="E173" i="7"/>
  <c r="H172" i="7"/>
  <c r="E172" i="7"/>
  <c r="H171" i="7"/>
  <c r="E171" i="7"/>
  <c r="H170" i="7"/>
  <c r="E170" i="7"/>
  <c r="H169" i="7"/>
  <c r="E169" i="7"/>
  <c r="H168" i="7"/>
  <c r="E168" i="7"/>
  <c r="H167" i="7"/>
  <c r="E167" i="7"/>
  <c r="H166" i="7"/>
  <c r="E166" i="7"/>
  <c r="H165" i="7"/>
  <c r="E165" i="7"/>
  <c r="H164" i="7"/>
  <c r="E164" i="7"/>
  <c r="H163" i="7"/>
  <c r="E163" i="7"/>
  <c r="H162" i="7"/>
  <c r="E162" i="7"/>
  <c r="H161" i="7"/>
  <c r="E161" i="7"/>
  <c r="H160" i="7"/>
  <c r="E160" i="7"/>
  <c r="H159" i="7"/>
  <c r="E159" i="7"/>
  <c r="H158" i="7"/>
  <c r="E158" i="7"/>
  <c r="H157" i="7"/>
  <c r="E157" i="7"/>
  <c r="H156" i="7"/>
  <c r="E156" i="7"/>
  <c r="H155" i="7"/>
  <c r="E155" i="7"/>
  <c r="H154" i="7"/>
  <c r="E154" i="7"/>
  <c r="H153" i="7"/>
  <c r="E153" i="7"/>
  <c r="H152" i="7"/>
  <c r="E152" i="7"/>
  <c r="H151" i="7"/>
  <c r="E151" i="7"/>
  <c r="H150" i="7"/>
  <c r="E150" i="7"/>
  <c r="H149" i="7"/>
  <c r="E149" i="7"/>
  <c r="H148" i="7"/>
  <c r="E148" i="7"/>
  <c r="H147" i="7"/>
  <c r="E147" i="7"/>
  <c r="H146" i="7"/>
  <c r="E146" i="7"/>
  <c r="H145" i="7"/>
  <c r="E145" i="7"/>
  <c r="H144" i="7"/>
  <c r="E144" i="7"/>
  <c r="H143" i="7"/>
  <c r="E143" i="7"/>
  <c r="H142" i="7"/>
  <c r="E142" i="7"/>
  <c r="H141" i="7"/>
  <c r="E141" i="7"/>
  <c r="H140" i="7"/>
  <c r="E140" i="7"/>
  <c r="H139" i="7"/>
  <c r="E139" i="7"/>
  <c r="H138" i="7"/>
  <c r="E138" i="7"/>
  <c r="H137" i="7"/>
  <c r="E137" i="7"/>
  <c r="H136" i="7"/>
  <c r="E136" i="7"/>
  <c r="H135" i="7"/>
  <c r="E135" i="7"/>
  <c r="H134" i="7"/>
  <c r="E134" i="7"/>
  <c r="H133" i="7"/>
  <c r="E133" i="7"/>
  <c r="H132" i="7"/>
  <c r="E132" i="7"/>
  <c r="H131" i="7"/>
  <c r="E131" i="7"/>
  <c r="H130" i="7"/>
  <c r="E130" i="7"/>
  <c r="H129" i="7"/>
  <c r="E129" i="7"/>
  <c r="H128" i="7"/>
  <c r="E128" i="7"/>
  <c r="H127" i="7"/>
  <c r="E127" i="7"/>
  <c r="H126" i="7"/>
  <c r="E126" i="7"/>
  <c r="H125" i="7"/>
  <c r="E125" i="7"/>
  <c r="H124" i="7"/>
  <c r="E124" i="7"/>
  <c r="H123" i="7"/>
  <c r="E123" i="7"/>
  <c r="H122" i="7"/>
  <c r="E122" i="7"/>
  <c r="H121" i="7"/>
  <c r="E121" i="7"/>
  <c r="H120" i="7"/>
  <c r="E120" i="7"/>
  <c r="H119" i="7"/>
  <c r="E119" i="7"/>
  <c r="H118" i="7"/>
  <c r="E118" i="7"/>
  <c r="H117" i="7"/>
  <c r="E117" i="7"/>
  <c r="H116" i="7"/>
  <c r="E116" i="7"/>
  <c r="H115" i="7"/>
  <c r="E115" i="7"/>
  <c r="H114" i="7"/>
  <c r="E114" i="7"/>
  <c r="H113" i="7"/>
  <c r="E113" i="7"/>
  <c r="H112" i="7"/>
  <c r="E112" i="7"/>
  <c r="H111" i="7"/>
  <c r="E111" i="7"/>
  <c r="H110" i="7"/>
  <c r="E110" i="7"/>
  <c r="H109" i="7"/>
  <c r="E109" i="7"/>
  <c r="H108" i="7"/>
  <c r="E108" i="7"/>
  <c r="H107" i="7"/>
  <c r="E107" i="7"/>
  <c r="H106" i="7"/>
  <c r="E106" i="7"/>
  <c r="H105" i="7"/>
  <c r="E105" i="7"/>
  <c r="H104" i="7"/>
  <c r="E104" i="7"/>
  <c r="H103" i="7"/>
  <c r="E103" i="7"/>
  <c r="H102" i="7"/>
  <c r="E102" i="7"/>
  <c r="H101" i="7"/>
  <c r="E101" i="7"/>
  <c r="H100" i="7"/>
  <c r="E100" i="7"/>
  <c r="H99" i="7"/>
  <c r="E99" i="7"/>
  <c r="H98" i="7"/>
  <c r="E98" i="7"/>
  <c r="H97" i="7"/>
  <c r="E97" i="7"/>
  <c r="H96" i="7"/>
  <c r="E96" i="7"/>
  <c r="H95" i="7"/>
  <c r="E95" i="7"/>
  <c r="H94" i="7"/>
  <c r="E94" i="7"/>
  <c r="H93" i="7"/>
  <c r="E93" i="7"/>
  <c r="H92" i="7"/>
  <c r="E92" i="7"/>
  <c r="H91" i="7"/>
  <c r="E91" i="7"/>
  <c r="H90" i="7"/>
  <c r="E90" i="7"/>
  <c r="H89" i="7"/>
  <c r="E89" i="7"/>
  <c r="H88" i="7"/>
  <c r="E88" i="7"/>
  <c r="H87" i="7"/>
  <c r="E87" i="7"/>
  <c r="H86" i="7"/>
  <c r="E86" i="7"/>
  <c r="H85" i="7"/>
  <c r="E85" i="7"/>
  <c r="H84" i="7"/>
  <c r="E84" i="7"/>
  <c r="H83" i="7"/>
  <c r="E83" i="7"/>
  <c r="H82" i="7"/>
  <c r="E82" i="7"/>
  <c r="H81" i="7"/>
  <c r="E81" i="7"/>
  <c r="H80" i="7"/>
  <c r="E80" i="7"/>
  <c r="H79" i="7"/>
  <c r="E79" i="7"/>
  <c r="H78" i="7"/>
  <c r="E78" i="7"/>
  <c r="H77" i="7"/>
  <c r="E77" i="7"/>
  <c r="H76" i="7"/>
  <c r="E76" i="7"/>
  <c r="H75" i="7"/>
  <c r="E75" i="7"/>
  <c r="H74" i="7"/>
  <c r="E74" i="7"/>
  <c r="H73" i="7"/>
  <c r="E73" i="7"/>
  <c r="H72" i="7"/>
  <c r="E72" i="7"/>
  <c r="H71" i="7"/>
  <c r="E71" i="7"/>
  <c r="H70" i="7"/>
  <c r="E70" i="7"/>
  <c r="H69" i="7"/>
  <c r="E69" i="7"/>
  <c r="H68" i="7"/>
  <c r="E68" i="7"/>
  <c r="H67" i="7"/>
  <c r="E67" i="7"/>
  <c r="H66" i="7"/>
  <c r="E66" i="7"/>
  <c r="H65" i="7"/>
  <c r="E65" i="7"/>
  <c r="H64" i="7"/>
  <c r="E64" i="7"/>
  <c r="H63" i="7"/>
  <c r="E63" i="7"/>
  <c r="H62" i="7"/>
  <c r="E62" i="7"/>
  <c r="H61" i="7"/>
  <c r="E61" i="7"/>
  <c r="H60" i="7"/>
  <c r="E60" i="7"/>
  <c r="H59" i="7"/>
  <c r="E59" i="7"/>
  <c r="H58" i="7"/>
  <c r="E58" i="7"/>
  <c r="H57" i="7"/>
  <c r="E57" i="7"/>
  <c r="H56" i="7"/>
  <c r="E56" i="7"/>
  <c r="H55" i="7"/>
  <c r="E55" i="7"/>
  <c r="H54" i="7"/>
  <c r="E54" i="7"/>
  <c r="H53" i="7"/>
  <c r="E53" i="7"/>
  <c r="H52" i="7"/>
  <c r="E52" i="7"/>
  <c r="H51" i="7"/>
  <c r="E51" i="7"/>
  <c r="H50" i="7"/>
  <c r="E50" i="7"/>
  <c r="H49" i="7"/>
  <c r="E49" i="7"/>
  <c r="H48" i="7"/>
  <c r="E48" i="7"/>
  <c r="H47" i="7"/>
  <c r="E47" i="7"/>
  <c r="H46" i="7"/>
  <c r="E46" i="7"/>
  <c r="H45" i="7"/>
  <c r="E45" i="7"/>
  <c r="H44" i="7"/>
  <c r="E44" i="7"/>
  <c r="H43" i="7"/>
  <c r="E43" i="7"/>
  <c r="H42" i="7"/>
  <c r="E42" i="7"/>
  <c r="H41" i="7"/>
  <c r="E41" i="7"/>
  <c r="H40" i="7"/>
  <c r="E40" i="7"/>
  <c r="H39" i="7"/>
  <c r="E39" i="7"/>
  <c r="H38" i="7"/>
  <c r="E38" i="7"/>
  <c r="H37" i="7"/>
  <c r="E37" i="7"/>
  <c r="H36" i="7"/>
  <c r="E36" i="7"/>
  <c r="H35" i="7"/>
  <c r="E35" i="7"/>
  <c r="H34" i="7"/>
  <c r="E34" i="7"/>
  <c r="H33" i="7"/>
  <c r="E33" i="7"/>
  <c r="H32" i="7"/>
  <c r="E32" i="7"/>
  <c r="H31" i="7"/>
  <c r="E31" i="7"/>
  <c r="H30" i="7"/>
  <c r="E30" i="7"/>
  <c r="H29" i="7"/>
  <c r="E29" i="7"/>
  <c r="H28" i="7"/>
  <c r="E28" i="7"/>
  <c r="H27" i="7"/>
  <c r="E27" i="7"/>
  <c r="H26" i="7"/>
  <c r="E26" i="7"/>
  <c r="H25" i="7"/>
  <c r="E25" i="7"/>
  <c r="H24" i="7"/>
  <c r="E24" i="7"/>
  <c r="H23" i="7"/>
  <c r="E23" i="7"/>
  <c r="H22" i="7"/>
  <c r="E22" i="7"/>
  <c r="H21" i="7"/>
  <c r="E21" i="7"/>
  <c r="H20" i="7"/>
  <c r="E20" i="7"/>
  <c r="H19" i="7"/>
  <c r="E19" i="7"/>
  <c r="H18" i="7"/>
  <c r="E18" i="7"/>
  <c r="H17" i="7"/>
  <c r="E17" i="7"/>
  <c r="H16" i="7"/>
  <c r="E16" i="7"/>
  <c r="H15" i="7"/>
  <c r="E15" i="7"/>
  <c r="H14" i="7"/>
  <c r="E14" i="7"/>
  <c r="H13" i="7"/>
  <c r="E13" i="7"/>
  <c r="AB12" i="7"/>
  <c r="AB13" i="7" s="1"/>
  <c r="AB14" i="7" s="1"/>
  <c r="H12" i="7"/>
  <c r="E12" i="7"/>
  <c r="H11" i="7"/>
  <c r="E11" i="7"/>
  <c r="H10" i="7"/>
  <c r="E10" i="7"/>
  <c r="AB6" i="7"/>
  <c r="AB7" i="7" s="1"/>
  <c r="AB5" i="7"/>
  <c r="I5" i="7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D455" i="6"/>
  <c r="D456" i="6"/>
  <c r="D457" i="6"/>
  <c r="D458" i="6" s="1"/>
  <c r="D459" i="6" s="1"/>
  <c r="D460" i="6" s="1"/>
  <c r="D461" i="6" s="1"/>
  <c r="D462" i="6" s="1"/>
  <c r="D463" i="6" s="1"/>
  <c r="D464" i="6" s="1"/>
  <c r="D465" i="6" s="1"/>
  <c r="D466" i="6" s="1"/>
  <c r="D454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914" i="6"/>
  <c r="H915" i="6"/>
  <c r="H916" i="6"/>
  <c r="H917" i="6"/>
  <c r="H918" i="6"/>
  <c r="H919" i="6"/>
  <c r="H920" i="6"/>
  <c r="H921" i="6"/>
  <c r="H922" i="6"/>
  <c r="H286" i="6"/>
  <c r="I5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10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AB12" i="6"/>
  <c r="AB13" i="6" s="1"/>
  <c r="AB14" i="6" s="1"/>
  <c r="E12" i="6"/>
  <c r="E11" i="6"/>
  <c r="E10" i="6"/>
  <c r="AE7" i="6"/>
  <c r="AD7" i="6"/>
  <c r="AE6" i="6"/>
  <c r="AD6" i="6"/>
  <c r="AE5" i="6"/>
  <c r="AD5" i="6"/>
  <c r="AB5" i="6"/>
  <c r="AB6" i="6" s="1"/>
  <c r="AB7" i="6" s="1"/>
  <c r="AE4" i="6"/>
  <c r="AD4" i="6"/>
  <c r="AA12" i="4"/>
  <c r="AA13" i="4" s="1"/>
  <c r="AA14" i="4" s="1"/>
  <c r="C136" i="5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87" i="5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B140" i="3"/>
  <c r="B141" i="3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8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06" i="3"/>
  <c r="B91" i="3"/>
  <c r="B92" i="3"/>
  <c r="B93" i="3"/>
  <c r="B94" i="3"/>
  <c r="B95" i="3"/>
  <c r="B96" i="3"/>
  <c r="B97" i="3"/>
  <c r="B98" i="3"/>
  <c r="B99" i="3" s="1"/>
  <c r="B100" i="3" s="1"/>
  <c r="B101" i="3" s="1"/>
  <c r="B102" i="3" s="1"/>
  <c r="B103" i="3" s="1"/>
  <c r="B90" i="3"/>
  <c r="B89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58" i="3"/>
  <c r="AA5" i="4"/>
  <c r="AA6" i="4" s="1"/>
  <c r="AA7" i="4" s="1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38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04" i="4"/>
  <c r="AD7" i="4"/>
  <c r="AD6" i="4"/>
  <c r="AD5" i="4"/>
  <c r="AD4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10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187" i="4"/>
  <c r="F62" i="1"/>
  <c r="F61" i="1"/>
  <c r="F60" i="1"/>
  <c r="C62" i="1"/>
  <c r="D62" i="1"/>
  <c r="E62" i="1"/>
  <c r="B62" i="1"/>
  <c r="E61" i="1"/>
  <c r="E60" i="1"/>
  <c r="D61" i="1"/>
  <c r="D60" i="1"/>
  <c r="C61" i="1"/>
  <c r="C60" i="1"/>
  <c r="B61" i="1"/>
  <c r="B6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B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tc={E7CAA235-9041-46B4-8E99-12F0898D1105}</author>
  </authors>
  <commentList>
    <comment ref="B20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bad fit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tc={EE0FE478-80FF-C74F-9D5A-52C991808FF8}</author>
    <author>tc={55CCE6FE-F112-214C-91D3-ED60AB7BBC8F}</author>
  </authors>
  <commentList>
    <comment ref="D156" authorId="0" shapeId="0" xr:uid="{EE0FE478-80FF-C74F-9D5A-52C991808FF8}">
      <text>
        <t>[Threaded comment]
Your version of Excel allows you to read this threaded comment; however, any edits to it will get removed if the file is opened in a newer version of Excel. Learn more: https://go.microsoft.com/fwlink/?linkid=870924
Comment:
    5/19/24</t>
      </text>
    </comment>
    <comment ref="G156" authorId="1" shapeId="0" xr:uid="{55CCE6FE-F112-214C-91D3-ED60AB7BBC8F}">
      <text>
        <t>[Threaded comment]
Your version of Excel allows you to read this threaded comment; however, any edits to it will get removed if the file is opened in a newer version of Excel. Learn more: https://go.microsoft.com/fwlink/?linkid=870924
Comment:
    bad fit + bad traces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tc={2326EE71-FEE2-8841-837F-950313B4A4F7}</author>
    <author>tc={0D8E0C6F-B5EA-D749-9429-D0FDDF49FA56}</author>
  </authors>
  <commentList>
    <comment ref="D156" authorId="0" shapeId="0" xr:uid="{2326EE71-FEE2-8841-837F-950313B4A4F7}">
      <text>
        <t>[Threaded comment]
Your version of Excel allows you to read this threaded comment; however, any edits to it will get removed if the file is opened in a newer version of Excel. Learn more: https://go.microsoft.com/fwlink/?linkid=870924
Comment:
    5/19/24</t>
      </text>
    </comment>
    <comment ref="G156" authorId="1" shapeId="0" xr:uid="{0D8E0C6F-B5EA-D749-9429-D0FDDF49FA56}">
      <text>
        <t>[Threaded comment]
Your version of Excel allows you to read this threaded comment; however, any edits to it will get removed if the file is opened in a newer version of Excel. Learn more: https://go.microsoft.com/fwlink/?linkid=870924
Comment:
    bad fit + bad traces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tc={3D8651E8-0EBD-BC47-9119-AA8A9AF48A2E}</author>
    <author>tc={ACCA5B60-063D-BF48-A076-066F3B92B22D}</author>
  </authors>
  <commentList>
    <comment ref="D156" authorId="0" shapeId="0" xr:uid="{3D8651E8-0EBD-BC47-9119-AA8A9AF48A2E}">
      <text>
        <t>[Threaded comment]
Your version of Excel allows you to read this threaded comment; however, any edits to it will get removed if the file is opened in a newer version of Excel. Learn more: https://go.microsoft.com/fwlink/?linkid=870924
Comment:
    5/19/24</t>
      </text>
    </comment>
    <comment ref="G156" authorId="1" shapeId="0" xr:uid="{ACCA5B60-063D-BF48-A076-066F3B92B22D}">
      <text>
        <t>[Threaded comment]
Your version of Excel allows you to read this threaded comment; however, any edits to it will get removed if the file is opened in a newer version of Excel. Learn more: https://go.microsoft.com/fwlink/?linkid=870924
Comment:
    bad fit + bad traces</t>
      </text>
    </comment>
  </commentList>
</comments>
</file>

<file path=xl/sharedStrings.xml><?xml version="1.0" encoding="utf-8"?>
<sst xmlns="http://schemas.openxmlformats.org/spreadsheetml/2006/main" count="3701" uniqueCount="147">
  <si>
    <t>4/13/2024</t>
  </si>
  <si>
    <t>w baseline sub</t>
  </si>
  <si>
    <t> </t>
  </si>
  <si>
    <t>w/o baseline sub</t>
  </si>
  <si>
    <t>run_name</t>
  </si>
  <si>
    <t>calc_grating[um]</t>
  </si>
  <si>
    <t>calc_grating_error[um]</t>
  </si>
  <si>
    <t>grating_value[um]</t>
  </si>
  <si>
    <t>SAW_freq[Hz]</t>
  </si>
  <si>
    <t>SAW_freq_error[Hz]</t>
  </si>
  <si>
    <t>A[Wm^-2]</t>
  </si>
  <si>
    <t>A_err[Wm^-2]</t>
  </si>
  <si>
    <t>alpha[m^2s^-1]</t>
  </si>
  <si>
    <t>alpha_err[m^2s^-1]</t>
  </si>
  <si>
    <t>beta[s^0.5]</t>
  </si>
  <si>
    <t>beta_err[s^0.5]</t>
  </si>
  <si>
    <t>B[Wm^-2]</t>
  </si>
  <si>
    <t>B_err[Wm^-2]</t>
  </si>
  <si>
    <t>theta</t>
  </si>
  <si>
    <t>theta_err</t>
  </si>
  <si>
    <t>tau[s]</t>
  </si>
  <si>
    <t>tau_err[s]</t>
  </si>
  <si>
    <t>C[Wm^-2]</t>
  </si>
  <si>
    <t>C_err[Wm^-2]</t>
  </si>
  <si>
    <t>spot01</t>
  </si>
  <si>
    <t>spot02</t>
  </si>
  <si>
    <t>average</t>
  </si>
  <si>
    <t>4/27/2024</t>
  </si>
  <si>
    <t>spot03</t>
  </si>
  <si>
    <t>4/28/2024</t>
  </si>
  <si>
    <t>5/10/2024</t>
  </si>
  <si>
    <t>NaN</t>
  </si>
  <si>
    <t>avg w/o 01</t>
  </si>
  <si>
    <t>5/19/2024</t>
  </si>
  <si>
    <t>5/25/2024</t>
  </si>
  <si>
    <t>6/5/2024</t>
  </si>
  <si>
    <t>spot04</t>
  </si>
  <si>
    <t>6/7/2024</t>
  </si>
  <si>
    <t> w/o baseline sub</t>
  </si>
  <si>
    <t>7/11/2024</t>
  </si>
  <si>
    <t>Date of Data Collection</t>
  </si>
  <si>
    <t>Description</t>
  </si>
  <si>
    <t>Temp (°C)</t>
  </si>
  <si>
    <t>Time (hr)</t>
  </si>
  <si>
    <t>1st homogenization</t>
  </si>
  <si>
    <t>total time at 500C</t>
  </si>
  <si>
    <t>5/10/2024 and 5/19/2024</t>
  </si>
  <si>
    <t>after polishing</t>
  </si>
  <si>
    <t>2nd homogenization</t>
  </si>
  <si>
    <t>3rd homogenization (after failed in-situ)</t>
  </si>
  <si>
    <t>SAW_speed[ms^-1]</t>
  </si>
  <si>
    <t>0.00030269219</t>
  </si>
  <si>
    <t>0.00014718715</t>
  </si>
  <si>
    <t>0.00010607884</t>
  </si>
  <si>
    <t>0.00029625631</t>
  </si>
  <si>
    <t>0.00011775358</t>
  </si>
  <si>
    <t>0.00014239817</t>
  </si>
  <si>
    <t>0.00015579461</t>
  </si>
  <si>
    <t>0.00012060639</t>
  </si>
  <si>
    <t>0.00019675328</t>
  </si>
  <si>
    <t>9.7232164e-05</t>
  </si>
  <si>
    <t>0.00020788038</t>
  </si>
  <si>
    <t>0.00023283548</t>
  </si>
  <si>
    <t>0.00021503596</t>
  </si>
  <si>
    <t>9.8478478e-05</t>
  </si>
  <si>
    <t>0.00022002908</t>
  </si>
  <si>
    <t>0.00012367064</t>
  </si>
  <si>
    <t>0.00020664481</t>
  </si>
  <si>
    <t>0.00021616219</t>
  </si>
  <si>
    <t>0.00024629198</t>
  </si>
  <si>
    <t>0.00014775917</t>
  </si>
  <si>
    <t>0.00015497741</t>
  </si>
  <si>
    <t>0.00016880642</t>
  </si>
  <si>
    <t>0.00016256666</t>
  </si>
  <si>
    <t>0.00017375824</t>
  </si>
  <si>
    <t>0.00014919246</t>
  </si>
  <si>
    <t>0.00018061223</t>
  </si>
  <si>
    <t>0.00017506943</t>
  </si>
  <si>
    <t>0.00018780072</t>
  </si>
  <si>
    <t>0.00016579404</t>
  </si>
  <si>
    <t>0.00018560252</t>
  </si>
  <si>
    <t>8.6361362e-05</t>
  </si>
  <si>
    <t>0.00017733494</t>
  </si>
  <si>
    <t>0.0001050432</t>
  </si>
  <si>
    <t>0.00016530056</t>
  </si>
  <si>
    <t>0.00014860989</t>
  </si>
  <si>
    <t>0.00012902449</t>
  </si>
  <si>
    <t>0.00010897172</t>
  </si>
  <si>
    <t>0.0001266503</t>
  </si>
  <si>
    <t>0.0001226005</t>
  </si>
  <si>
    <t>0.00015489493</t>
  </si>
  <si>
    <t>0.00015159387</t>
  </si>
  <si>
    <t>0.00023434179</t>
  </si>
  <si>
    <t>0.00015253412</t>
  </si>
  <si>
    <t>0.00015790796</t>
  </si>
  <si>
    <t>0.00017722392</t>
  </si>
  <si>
    <t>0.0001800613</t>
  </si>
  <si>
    <t>0.00015165385</t>
  </si>
  <si>
    <t>0.00016101559</t>
  </si>
  <si>
    <t>0.00015401596</t>
  </si>
  <si>
    <t>only took 2 angles (0-4)</t>
  </si>
  <si>
    <t> </t>
  </si>
  <si>
    <t> </t>
  </si>
  <si>
    <t>adjusted run_name</t>
  </si>
  <si>
    <t>7_17_2024</t>
  </si>
  <si>
    <t> </t>
  </si>
  <si>
    <t>Adjusted Orientation Angle [degrees]</t>
  </si>
  <si>
    <t>Sample Condition</t>
  </si>
  <si>
    <t>Homogenized (1000C, 2hr)</t>
  </si>
  <si>
    <t>Aged (500C, 1hr)</t>
  </si>
  <si>
    <t>Aged (500C, 10hr)</t>
  </si>
  <si>
    <t>Aged (500C, 10hr, re-polished)</t>
  </si>
  <si>
    <t>Re-homogenized (1000C, 1hr)</t>
  </si>
  <si>
    <t>Re-homogenized (1000C, 1hr, post in-situ)</t>
  </si>
  <si>
    <t>ADDITIONAL PLOTS</t>
  </si>
  <si>
    <t>Heat Treatment Condition</t>
  </si>
  <si>
    <t>1st Homogenization</t>
  </si>
  <si>
    <t>500C, 1hr</t>
  </si>
  <si>
    <t>500C, 10hr</t>
  </si>
  <si>
    <t>Re-homogenization</t>
  </si>
  <si>
    <t>All Samples</t>
  </si>
  <si>
    <t>Std. Dev. [um]</t>
  </si>
  <si>
    <t>Mean [um]</t>
  </si>
  <si>
    <t>Fe-36Cr: 1st Homogenization</t>
  </si>
  <si>
    <t>Fe-36Cr: 500C, 1hr</t>
  </si>
  <si>
    <t>Fe-36Cr: 500C, 10hr</t>
  </si>
  <si>
    <t>Fe-36Cr: Re-homogenization</t>
  </si>
  <si>
    <t>Fractional std dev. (%)</t>
  </si>
  <si>
    <t>Three-point Sum SAW Speed About Relative Minima [m/s]</t>
  </si>
  <si>
    <t>Adjusted Orientation Angles [degrees] Used</t>
  </si>
  <si>
    <t>28-36</t>
  </si>
  <si>
    <t>32-40</t>
  </si>
  <si>
    <t>36-40</t>
  </si>
  <si>
    <t>Sample Size (n)</t>
  </si>
  <si>
    <t>Sample Standard Deviation [m/s]</t>
  </si>
  <si>
    <t>SAW Dispersion Angles Used</t>
  </si>
  <si>
    <t>Condition</t>
  </si>
  <si>
    <t>500C 10hr</t>
  </si>
  <si>
    <t>20-32</t>
  </si>
  <si>
    <t>Relative Minima</t>
  </si>
  <si>
    <t>Relative Maxima</t>
  </si>
  <si>
    <t>Normalized SAW Speed</t>
  </si>
  <si>
    <t>Random Solid Solution PSAW</t>
  </si>
  <si>
    <t>Random Solid Solution SAW</t>
  </si>
  <si>
    <t>Thermally Equilibrated SAW</t>
  </si>
  <si>
    <t>Thermally Equilibrated PSAW</t>
  </si>
  <si>
    <t>Two Standard Deviations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</si>
</sst>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E+00"/>
    <numFmt numFmtId="165" formatCode="0.00000"/>
    <numFmt numFmtId="166" formatCode="0.0000000000"/>
    <numFmt numFmtId="167" formatCode="0.0000000E+00"/>
    <numFmt numFmtId="168" formatCode="0.0000000"/>
    <numFmt numFmtId="169" formatCode="0.00000000000"/>
    <numFmt numFmtId="170" formatCode="0.00000000"/>
  </numFmts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170" fontId="1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/>
    <xf numFmtId="11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11" fontId="0" fillId="0" borderId="0" xfId="0" applyNumberFormat="1"/>
    <xf numFmtId="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4/13/24 1st Homogenization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'Fe36Cr Max + MD + Variance'!$G$9</c:f>
              <c:strCache>
                <c:ptCount val="1"/>
                <c:pt idx="0">
                  <c:v>SAW_speed[ms^-1]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+ MD + Variance'!$C$10:$C$55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 + Variance'!$G$10:$G$55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5E-764A-A06E-CF9EC574C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4/27/24 1hr</a:t>
            </a:r>
            <a:r>
              <a:rPr lang="en-US" baseline="0"/>
              <a:t> 500C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+ MD + Variance'!$C$56:$C$103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+ MD + Variance'!$G$56:$G$103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'Fe36Cr Max Reformat'!#REF!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4DA-3843-B7DB-E9C0E0CCD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4/28/24 10hr</a:t>
            </a:r>
            <a:r>
              <a:rPr lang="en-US" baseline="0"/>
              <a:t> 500C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+ MD + Variance'!$C$104:$C$137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 + Variance'!$G$104:$G$137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'Fe36Cr Max Reformat'!#REF!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AD4-EB4C-8601-970AB4ED4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5/10/2024-5/19/2024 Polished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+ MD + Variance'!$C$138:$C$186</c:f>
              <c:numCache>
                <c:formatCode>0</c:formatCode>
                <c:ptCount val="49"/>
                <c:pt idx="0" formatCode="General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 + Variance'!$G$138:$G$186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'Fe36Cr Max Reformat'!#REF!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E7A-6142-BD16-FB9A98BD4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7/11/2024 3rd Homogenization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+ MD + Variance'!$C$236:$C$285</c:f>
              <c:numCache>
                <c:formatCode>General</c:formatCode>
                <c:ptCount val="50"/>
                <c:pt idx="0">
                  <c:v>-8</c:v>
                </c:pt>
                <c:pt idx="1">
                  <c:v>-4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52</c:v>
                </c:pt>
                <c:pt idx="16">
                  <c:v>56</c:v>
                </c:pt>
                <c:pt idx="17">
                  <c:v>60</c:v>
                </c:pt>
                <c:pt idx="18">
                  <c:v>64</c:v>
                </c:pt>
                <c:pt idx="19">
                  <c:v>68</c:v>
                </c:pt>
                <c:pt idx="20">
                  <c:v>72</c:v>
                </c:pt>
                <c:pt idx="21">
                  <c:v>76</c:v>
                </c:pt>
                <c:pt idx="22">
                  <c:v>80</c:v>
                </c:pt>
                <c:pt idx="23">
                  <c:v>84</c:v>
                </c:pt>
                <c:pt idx="24">
                  <c:v>88</c:v>
                </c:pt>
                <c:pt idx="25">
                  <c:v>92</c:v>
                </c:pt>
                <c:pt idx="26">
                  <c:v>96</c:v>
                </c:pt>
                <c:pt idx="27">
                  <c:v>100</c:v>
                </c:pt>
                <c:pt idx="28">
                  <c:v>104</c:v>
                </c:pt>
                <c:pt idx="29">
                  <c:v>108</c:v>
                </c:pt>
                <c:pt idx="30">
                  <c:v>112</c:v>
                </c:pt>
                <c:pt idx="31">
                  <c:v>116</c:v>
                </c:pt>
                <c:pt idx="32">
                  <c:v>120</c:v>
                </c:pt>
                <c:pt idx="33">
                  <c:v>124</c:v>
                </c:pt>
                <c:pt idx="34">
                  <c:v>128</c:v>
                </c:pt>
                <c:pt idx="35">
                  <c:v>132</c:v>
                </c:pt>
                <c:pt idx="36">
                  <c:v>136</c:v>
                </c:pt>
                <c:pt idx="37">
                  <c:v>140</c:v>
                </c:pt>
                <c:pt idx="38">
                  <c:v>144</c:v>
                </c:pt>
                <c:pt idx="39">
                  <c:v>148</c:v>
                </c:pt>
                <c:pt idx="40">
                  <c:v>152</c:v>
                </c:pt>
                <c:pt idx="41">
                  <c:v>156</c:v>
                </c:pt>
                <c:pt idx="42">
                  <c:v>160</c:v>
                </c:pt>
                <c:pt idx="43">
                  <c:v>164</c:v>
                </c:pt>
                <c:pt idx="44">
                  <c:v>168</c:v>
                </c:pt>
                <c:pt idx="45">
                  <c:v>172</c:v>
                </c:pt>
                <c:pt idx="46">
                  <c:v>176</c:v>
                </c:pt>
                <c:pt idx="47">
                  <c:v>180</c:v>
                </c:pt>
                <c:pt idx="48">
                  <c:v>184</c:v>
                </c:pt>
                <c:pt idx="49">
                  <c:v>188</c:v>
                </c:pt>
              </c:numCache>
            </c:numRef>
          </c:xVal>
          <c:yVal>
            <c:numRef>
              <c:f>'Fe36Cr Max + MD + Variance'!$G$236:$G$285</c:f>
              <c:numCache>
                <c:formatCode>0.00</c:formatCode>
                <c:ptCount val="50"/>
                <c:pt idx="0">
                  <c:v>2801.71</c:v>
                </c:pt>
                <c:pt idx="1">
                  <c:v>2855.21</c:v>
                </c:pt>
                <c:pt idx="2">
                  <c:v>2902.28</c:v>
                </c:pt>
                <c:pt idx="3">
                  <c:v>2918.79</c:v>
                </c:pt>
                <c:pt idx="4">
                  <c:v>2885.36</c:v>
                </c:pt>
                <c:pt idx="5">
                  <c:v>2836.8</c:v>
                </c:pt>
                <c:pt idx="6">
                  <c:v>2788.31</c:v>
                </c:pt>
                <c:pt idx="7">
                  <c:v>2746.26</c:v>
                </c:pt>
                <c:pt idx="8">
                  <c:v>2707.68</c:v>
                </c:pt>
                <c:pt idx="9">
                  <c:v>2679.1</c:v>
                </c:pt>
                <c:pt idx="10">
                  <c:v>2647.64</c:v>
                </c:pt>
                <c:pt idx="11">
                  <c:v>2641.63</c:v>
                </c:pt>
                <c:pt idx="12">
                  <c:v>2645.04</c:v>
                </c:pt>
                <c:pt idx="13">
                  <c:v>2689.64</c:v>
                </c:pt>
                <c:pt idx="14">
                  <c:v>2709.99</c:v>
                </c:pt>
                <c:pt idx="15">
                  <c:v>2756.29</c:v>
                </c:pt>
                <c:pt idx="16">
                  <c:v>2606.7800000000002</c:v>
                </c:pt>
                <c:pt idx="17">
                  <c:v>2626.14</c:v>
                </c:pt>
                <c:pt idx="18">
                  <c:v>2909.63</c:v>
                </c:pt>
                <c:pt idx="19">
                  <c:v>2938.93</c:v>
                </c:pt>
                <c:pt idx="20">
                  <c:v>2927.01</c:v>
                </c:pt>
                <c:pt idx="21">
                  <c:v>2882.75</c:v>
                </c:pt>
                <c:pt idx="22">
                  <c:v>3340.73</c:v>
                </c:pt>
                <c:pt idx="23">
                  <c:v>3352.28</c:v>
                </c:pt>
                <c:pt idx="24">
                  <c:v>3381.97</c:v>
                </c:pt>
                <c:pt idx="25">
                  <c:v>3425.27</c:v>
                </c:pt>
                <c:pt idx="26">
                  <c:v>3477.5</c:v>
                </c:pt>
                <c:pt idx="27">
                  <c:v>3496.09</c:v>
                </c:pt>
                <c:pt idx="28">
                  <c:v>3545.64</c:v>
                </c:pt>
                <c:pt idx="29">
                  <c:v>3567.4</c:v>
                </c:pt>
                <c:pt idx="30">
                  <c:v>3496.81</c:v>
                </c:pt>
                <c:pt idx="31">
                  <c:v>2950.25</c:v>
                </c:pt>
                <c:pt idx="32">
                  <c:v>3009.35</c:v>
                </c:pt>
                <c:pt idx="33">
                  <c:v>3027.71</c:v>
                </c:pt>
                <c:pt idx="34">
                  <c:v>3023.74</c:v>
                </c:pt>
                <c:pt idx="35">
                  <c:v>2991.44</c:v>
                </c:pt>
                <c:pt idx="36">
                  <c:v>2952.67</c:v>
                </c:pt>
                <c:pt idx="37">
                  <c:v>2889.2</c:v>
                </c:pt>
                <c:pt idx="38">
                  <c:v>2825.65</c:v>
                </c:pt>
                <c:pt idx="39">
                  <c:v>2914.15</c:v>
                </c:pt>
                <c:pt idx="40">
                  <c:v>2754.28</c:v>
                </c:pt>
                <c:pt idx="41">
                  <c:v>2733.49</c:v>
                </c:pt>
                <c:pt idx="42">
                  <c:v>2714.5</c:v>
                </c:pt>
                <c:pt idx="43">
                  <c:v>2686.93</c:v>
                </c:pt>
                <c:pt idx="44">
                  <c:v>2728.17</c:v>
                </c:pt>
                <c:pt idx="45">
                  <c:v>2689.63</c:v>
                </c:pt>
                <c:pt idx="46">
                  <c:v>2698.6</c:v>
                </c:pt>
                <c:pt idx="47">
                  <c:v>2654.38</c:v>
                </c:pt>
                <c:pt idx="48">
                  <c:v>2662.52</c:v>
                </c:pt>
                <c:pt idx="49">
                  <c:v>2727.59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DF-8A40-91EB-043745F6E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5/25/2024</a:t>
            </a:r>
            <a:r>
              <a:rPr lang="en-US" baseline="0"/>
              <a:t> 2nd Homogenization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+ MD + Variance'!$C$187:$C$235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 + Variance'!$G$187:$G$235</c:f>
              <c:numCache>
                <c:formatCode>0.00</c:formatCode>
                <c:ptCount val="49"/>
                <c:pt idx="0">
                  <c:v>2912.63</c:v>
                </c:pt>
                <c:pt idx="1">
                  <c:v>2918.54</c:v>
                </c:pt>
                <c:pt idx="2">
                  <c:v>2883.85</c:v>
                </c:pt>
                <c:pt idx="3">
                  <c:v>2833.31</c:v>
                </c:pt>
                <c:pt idx="4">
                  <c:v>2782.36</c:v>
                </c:pt>
                <c:pt idx="5">
                  <c:v>2739.77</c:v>
                </c:pt>
                <c:pt idx="6">
                  <c:v>2705.83</c:v>
                </c:pt>
                <c:pt idx="7">
                  <c:v>2674.53</c:v>
                </c:pt>
                <c:pt idx="8">
                  <c:v>2649.28</c:v>
                </c:pt>
                <c:pt idx="9">
                  <c:v>2668.04</c:v>
                </c:pt>
                <c:pt idx="10">
                  <c:v>2673.74</c:v>
                </c:pt>
                <c:pt idx="11">
                  <c:v>2703.25</c:v>
                </c:pt>
                <c:pt idx="12">
                  <c:v>2738.57</c:v>
                </c:pt>
                <c:pt idx="13">
                  <c:v>2714.81</c:v>
                </c:pt>
                <c:pt idx="14">
                  <c:v>2797.16</c:v>
                </c:pt>
                <c:pt idx="15">
                  <c:v>2874.37</c:v>
                </c:pt>
                <c:pt idx="16">
                  <c:v>2915.04</c:v>
                </c:pt>
                <c:pt idx="17">
                  <c:v>2938.32</c:v>
                </c:pt>
                <c:pt idx="18">
                  <c:v>2897.89</c:v>
                </c:pt>
                <c:pt idx="19">
                  <c:v>2775.79</c:v>
                </c:pt>
                <c:pt idx="20">
                  <c:v>3325.78</c:v>
                </c:pt>
                <c:pt idx="21">
                  <c:v>3332.4</c:v>
                </c:pt>
                <c:pt idx="22">
                  <c:v>3212.53</c:v>
                </c:pt>
                <c:pt idx="23">
                  <c:v>3401.34</c:v>
                </c:pt>
                <c:pt idx="24">
                  <c:v>3463.72</c:v>
                </c:pt>
                <c:pt idx="25">
                  <c:v>3482.44</c:v>
                </c:pt>
                <c:pt idx="26">
                  <c:v>3561.59</c:v>
                </c:pt>
                <c:pt idx="27">
                  <c:v>3541.41</c:v>
                </c:pt>
                <c:pt idx="28">
                  <c:v>2933.84</c:v>
                </c:pt>
                <c:pt idx="29">
                  <c:v>2991.48</c:v>
                </c:pt>
                <c:pt idx="30">
                  <c:v>3024.97</c:v>
                </c:pt>
                <c:pt idx="31">
                  <c:v>3031.79</c:v>
                </c:pt>
                <c:pt idx="32">
                  <c:v>3009.79</c:v>
                </c:pt>
                <c:pt idx="33">
                  <c:v>2984.62</c:v>
                </c:pt>
                <c:pt idx="34">
                  <c:v>2919.69</c:v>
                </c:pt>
                <c:pt idx="35">
                  <c:v>2903.62</c:v>
                </c:pt>
                <c:pt idx="36">
                  <c:v>2815.94</c:v>
                </c:pt>
                <c:pt idx="37">
                  <c:v>2784.22</c:v>
                </c:pt>
                <c:pt idx="38">
                  <c:v>2755.88</c:v>
                </c:pt>
                <c:pt idx="39">
                  <c:v>2727.17</c:v>
                </c:pt>
                <c:pt idx="40">
                  <c:v>2734.55</c:v>
                </c:pt>
                <c:pt idx="41">
                  <c:v>2746.06</c:v>
                </c:pt>
                <c:pt idx="42">
                  <c:v>2770.3</c:v>
                </c:pt>
                <c:pt idx="43">
                  <c:v>2816.48</c:v>
                </c:pt>
                <c:pt idx="44">
                  <c:v>2863.26</c:v>
                </c:pt>
                <c:pt idx="45">
                  <c:v>2915.02</c:v>
                </c:pt>
                <c:pt idx="46">
                  <c:v>2918.5</c:v>
                </c:pt>
                <c:pt idx="47">
                  <c:v>2877.57</c:v>
                </c:pt>
                <c:pt idx="48">
                  <c:v>2824.06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C7-FA40-AD6D-1D67B9561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</a:t>
            </a:r>
            <a:r>
              <a:rPr lang="en-US" baseline="0"/>
              <a:t> of Polishing </a:t>
            </a:r>
            <a:r>
              <a:rPr lang="en-US"/>
              <a:t>SAW</a:t>
            </a:r>
            <a:r>
              <a:rPr lang="en-US" baseline="0"/>
              <a:t> Speed vs Degrees Rotation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500C 10hr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'Fe36Cr Max + MD + Variance'!$C$104:$C$137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 + Variance'!$G$104:$G$137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4C-A244-A35A-AD1A7B1C2C2A}"/>
            </c:ext>
          </c:extLst>
        </c:ser>
        <c:ser>
          <c:idx val="3"/>
          <c:order val="1"/>
          <c:tx>
            <c:v>500C 10hr polished</c:v>
          </c:tx>
          <c:spPr>
            <a:ln w="25400">
              <a:noFill/>
            </a:ln>
          </c:spPr>
          <c:marker>
            <c:symbol val="triangle"/>
            <c:size val="7"/>
          </c:marker>
          <c:xVal>
            <c:numRef>
              <c:f>'Fe36Cr Max + MD + Variance'!$C$138:$C$186</c:f>
              <c:numCache>
                <c:formatCode>0</c:formatCode>
                <c:ptCount val="49"/>
                <c:pt idx="0" formatCode="General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 + Variance'!$G$138:$G$186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4C-A244-A35A-AD1A7B1C2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Fe36Cr</a:t>
            </a:r>
            <a:r>
              <a:rPr lang="en-US" baseline="0"/>
              <a:t> </a:t>
            </a:r>
            <a:r>
              <a:rPr lang="en-US"/>
              <a:t>SAW</a:t>
            </a:r>
            <a:r>
              <a:rPr lang="en-US" baseline="0"/>
              <a:t> Speed vs Degrees Rotation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xVal>
            <c:numRef>
              <c:f>'Fe36Cr Max + MD + Variance'!$C$10:$C$55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 + Variance'!$G$10:$G$55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C0-994D-8132-C5E540BB0A1B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xVal>
            <c:numRef>
              <c:f>'Fe36Cr Max + MD + Variance'!$C$56:$C$103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+ MD + Variance'!$G$56:$G$103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C0-994D-8132-C5E540BB0A1B}"/>
            </c:ext>
          </c:extLst>
        </c:ser>
        <c:ser>
          <c:idx val="2"/>
          <c:order val="2"/>
          <c:tx>
            <c:v>500C 10hr</c:v>
          </c:tx>
          <c:spPr>
            <a:ln w="25400">
              <a:noFill/>
            </a:ln>
          </c:spPr>
          <c:xVal>
            <c:numRef>
              <c:f>'Fe36Cr Max + MD + Variance'!$C$104:$C$137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 + Variance'!$G$104:$G$137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C0-994D-8132-C5E540BB0A1B}"/>
            </c:ext>
          </c:extLst>
        </c:ser>
        <c:ser>
          <c:idx val="4"/>
          <c:order val="3"/>
          <c:tx>
            <c:v>2nd homogenization</c:v>
          </c:tx>
          <c:spPr>
            <a:ln w="25400">
              <a:noFill/>
            </a:ln>
          </c:spPr>
          <c:xVal>
            <c:numRef>
              <c:f>'Fe36Cr Max + MD + Variance'!$C$187:$C$235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 + Variance'!$G$187:$G$235</c:f>
              <c:numCache>
                <c:formatCode>0.00</c:formatCode>
                <c:ptCount val="49"/>
                <c:pt idx="0">
                  <c:v>2912.63</c:v>
                </c:pt>
                <c:pt idx="1">
                  <c:v>2918.54</c:v>
                </c:pt>
                <c:pt idx="2">
                  <c:v>2883.85</c:v>
                </c:pt>
                <c:pt idx="3">
                  <c:v>2833.31</c:v>
                </c:pt>
                <c:pt idx="4">
                  <c:v>2782.36</c:v>
                </c:pt>
                <c:pt idx="5">
                  <c:v>2739.77</c:v>
                </c:pt>
                <c:pt idx="6">
                  <c:v>2705.83</c:v>
                </c:pt>
                <c:pt idx="7">
                  <c:v>2674.53</c:v>
                </c:pt>
                <c:pt idx="8">
                  <c:v>2649.28</c:v>
                </c:pt>
                <c:pt idx="9">
                  <c:v>2668.04</c:v>
                </c:pt>
                <c:pt idx="10">
                  <c:v>2673.74</c:v>
                </c:pt>
                <c:pt idx="11">
                  <c:v>2703.25</c:v>
                </c:pt>
                <c:pt idx="12">
                  <c:v>2738.57</c:v>
                </c:pt>
                <c:pt idx="13">
                  <c:v>2714.81</c:v>
                </c:pt>
                <c:pt idx="14">
                  <c:v>2797.16</c:v>
                </c:pt>
                <c:pt idx="15">
                  <c:v>2874.37</c:v>
                </c:pt>
                <c:pt idx="16">
                  <c:v>2915.04</c:v>
                </c:pt>
                <c:pt idx="17">
                  <c:v>2938.32</c:v>
                </c:pt>
                <c:pt idx="18">
                  <c:v>2897.89</c:v>
                </c:pt>
                <c:pt idx="19">
                  <c:v>2775.79</c:v>
                </c:pt>
                <c:pt idx="20">
                  <c:v>3325.78</c:v>
                </c:pt>
                <c:pt idx="21">
                  <c:v>3332.4</c:v>
                </c:pt>
                <c:pt idx="22">
                  <c:v>3212.53</c:v>
                </c:pt>
                <c:pt idx="23">
                  <c:v>3401.34</c:v>
                </c:pt>
                <c:pt idx="24">
                  <c:v>3463.72</c:v>
                </c:pt>
                <c:pt idx="25">
                  <c:v>3482.44</c:v>
                </c:pt>
                <c:pt idx="26">
                  <c:v>3561.59</c:v>
                </c:pt>
                <c:pt idx="27">
                  <c:v>3541.41</c:v>
                </c:pt>
                <c:pt idx="28">
                  <c:v>2933.84</c:v>
                </c:pt>
                <c:pt idx="29">
                  <c:v>2991.48</c:v>
                </c:pt>
                <c:pt idx="30">
                  <c:v>3024.97</c:v>
                </c:pt>
                <c:pt idx="31">
                  <c:v>3031.79</c:v>
                </c:pt>
                <c:pt idx="32">
                  <c:v>3009.79</c:v>
                </c:pt>
                <c:pt idx="33">
                  <c:v>2984.62</c:v>
                </c:pt>
                <c:pt idx="34">
                  <c:v>2919.69</c:v>
                </c:pt>
                <c:pt idx="35">
                  <c:v>2903.62</c:v>
                </c:pt>
                <c:pt idx="36">
                  <c:v>2815.94</c:v>
                </c:pt>
                <c:pt idx="37">
                  <c:v>2784.22</c:v>
                </c:pt>
                <c:pt idx="38">
                  <c:v>2755.88</c:v>
                </c:pt>
                <c:pt idx="39">
                  <c:v>2727.17</c:v>
                </c:pt>
                <c:pt idx="40">
                  <c:v>2734.55</c:v>
                </c:pt>
                <c:pt idx="41">
                  <c:v>2746.06</c:v>
                </c:pt>
                <c:pt idx="42">
                  <c:v>2770.3</c:v>
                </c:pt>
                <c:pt idx="43">
                  <c:v>2816.48</c:v>
                </c:pt>
                <c:pt idx="44">
                  <c:v>2863.26</c:v>
                </c:pt>
                <c:pt idx="45">
                  <c:v>2915.02</c:v>
                </c:pt>
                <c:pt idx="46">
                  <c:v>2918.5</c:v>
                </c:pt>
                <c:pt idx="47">
                  <c:v>2877.57</c:v>
                </c:pt>
                <c:pt idx="48">
                  <c:v>2824.06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C0-994D-8132-C5E540BB0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Fe36Cr</a:t>
            </a:r>
            <a:r>
              <a:rPr lang="en-US" baseline="0"/>
              <a:t> </a:t>
            </a:r>
            <a:r>
              <a:rPr lang="en-US"/>
              <a:t>SAW</a:t>
            </a:r>
            <a:r>
              <a:rPr lang="en-US" baseline="0"/>
              <a:t> Speed vs Degrees Rotation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>
              <a:noFill/>
            </a:ln>
          </c:spPr>
          <c:xVal>
            <c:numRef>
              <c:f>'Fe36Cr Max + MD + Variance'!$C$10:$C$55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 + Variance'!$M$10:$M$55</c:f>
              <c:numCache>
                <c:formatCode>0.00E+00</c:formatCode>
                <c:ptCount val="46"/>
                <c:pt idx="0">
                  <c:v>5.97945E-6</c:v>
                </c:pt>
                <c:pt idx="1">
                  <c:v>6.0019899999999996E-6</c:v>
                </c:pt>
                <c:pt idx="2">
                  <c:v>5.9570199999999996E-6</c:v>
                </c:pt>
                <c:pt idx="3">
                  <c:v>5.81186E-6</c:v>
                </c:pt>
                <c:pt idx="4">
                  <c:v>6.2522E-6</c:v>
                </c:pt>
                <c:pt idx="5">
                  <c:v>5.9039100000000002E-6</c:v>
                </c:pt>
                <c:pt idx="6">
                  <c:v>6.1103700000000004E-6</c:v>
                </c:pt>
                <c:pt idx="7">
                  <c:v>6.02046E-6</c:v>
                </c:pt>
                <c:pt idx="8">
                  <c:v>6.3586399999999998E-6</c:v>
                </c:pt>
                <c:pt idx="9">
                  <c:v>6.4550199999999997E-6</c:v>
                </c:pt>
                <c:pt idx="10">
                  <c:v>6.3233899999999996E-6</c:v>
                </c:pt>
                <c:pt idx="11">
                  <c:v>6.1862000000000002E-6</c:v>
                </c:pt>
                <c:pt idx="12">
                  <c:v>6.0125100000000003E-6</c:v>
                </c:pt>
                <c:pt idx="13">
                  <c:v>5.9182299999999999E-6</c:v>
                </c:pt>
                <c:pt idx="14">
                  <c:v>6.1707500000000002E-6</c:v>
                </c:pt>
                <c:pt idx="15">
                  <c:v>6.0436199999999997E-6</c:v>
                </c:pt>
                <c:pt idx="16">
                  <c:v>6.3127100000000004E-6</c:v>
                </c:pt>
                <c:pt idx="17">
                  <c:v>5.80686E-6</c:v>
                </c:pt>
                <c:pt idx="18">
                  <c:v>6.0287200000000001E-6</c:v>
                </c:pt>
                <c:pt idx="19">
                  <c:v>5.5597700000000001E-6</c:v>
                </c:pt>
                <c:pt idx="20">
                  <c:v>6.36357E-6</c:v>
                </c:pt>
                <c:pt idx="21">
                  <c:v>6.4359599999999996E-6</c:v>
                </c:pt>
                <c:pt idx="22">
                  <c:v>6.3089900000000002E-6</c:v>
                </c:pt>
                <c:pt idx="23">
                  <c:v>6.7247500000000003E-6</c:v>
                </c:pt>
                <c:pt idx="24">
                  <c:v>6.6600099999999996E-6</c:v>
                </c:pt>
                <c:pt idx="25">
                  <c:v>6.3967600000000001E-6</c:v>
                </c:pt>
                <c:pt idx="26">
                  <c:v>6.4415099999999999E-6</c:v>
                </c:pt>
                <c:pt idx="27">
                  <c:v>6.5671500000000003E-6</c:v>
                </c:pt>
                <c:pt idx="28">
                  <c:v>6.4785400000000001E-6</c:v>
                </c:pt>
                <c:pt idx="29">
                  <c:v>6.4007399999999998E-6</c:v>
                </c:pt>
                <c:pt idx="30">
                  <c:v>6.1851600000000003E-6</c:v>
                </c:pt>
                <c:pt idx="31">
                  <c:v>6.4837799999999999E-6</c:v>
                </c:pt>
                <c:pt idx="32">
                  <c:v>6.5293399999999997E-6</c:v>
                </c:pt>
                <c:pt idx="33">
                  <c:v>6.4083199999999998E-6</c:v>
                </c:pt>
                <c:pt idx="34">
                  <c:v>6.5615900000000001E-6</c:v>
                </c:pt>
                <c:pt idx="35">
                  <c:v>6.0364000000000003E-6</c:v>
                </c:pt>
                <c:pt idx="36">
                  <c:v>6.6753700000000001E-6</c:v>
                </c:pt>
                <c:pt idx="37">
                  <c:v>6.8389099999999997E-6</c:v>
                </c:pt>
                <c:pt idx="38">
                  <c:v>6.5040099999999998E-6</c:v>
                </c:pt>
                <c:pt idx="39">
                  <c:v>6.3627500000000002E-6</c:v>
                </c:pt>
                <c:pt idx="40">
                  <c:v>6.1027699999999998E-6</c:v>
                </c:pt>
                <c:pt idx="41">
                  <c:v>6.5919600000000003E-6</c:v>
                </c:pt>
                <c:pt idx="42">
                  <c:v>6.1535700000000003E-6</c:v>
                </c:pt>
                <c:pt idx="43">
                  <c:v>5.7928099999999997E-6</c:v>
                </c:pt>
                <c:pt idx="44">
                  <c:v>6.0768900000000004E-6</c:v>
                </c:pt>
                <c:pt idx="45">
                  <c:v>5.8576700000000003E-6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2C-5245-AE7C-AEF67D4F6015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xVal>
            <c:numRef>
              <c:f>'Fe36Cr Max + MD + Variance'!$C$56:$C$103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+ MD + Variance'!$M$56:$M$103</c:f>
              <c:numCache>
                <c:formatCode>0.00E+00</c:formatCode>
                <c:ptCount val="48"/>
                <c:pt idx="0">
                  <c:v>7.1181789999999999E-6</c:v>
                </c:pt>
                <c:pt idx="1">
                  <c:v>7.1630977999999997E-6</c:v>
                </c:pt>
                <c:pt idx="2">
                  <c:v>6.9967995999999999E-6</c:v>
                </c:pt>
                <c:pt idx="3">
                  <c:v>6.5580410000000002E-6</c:v>
                </c:pt>
                <c:pt idx="4">
                  <c:v>6.6999478999999997E-6</c:v>
                </c:pt>
                <c:pt idx="5">
                  <c:v>6.9721110999999997E-6</c:v>
                </c:pt>
                <c:pt idx="6">
                  <c:v>6.6596137999999998E-6</c:v>
                </c:pt>
                <c:pt idx="7">
                  <c:v>7.1673147000000004E-6</c:v>
                </c:pt>
                <c:pt idx="8">
                  <c:v>6.9089427000000003E-6</c:v>
                </c:pt>
                <c:pt idx="9">
                  <c:v>6.892781E-6</c:v>
                </c:pt>
                <c:pt idx="10">
                  <c:v>6.9443876999999998E-6</c:v>
                </c:pt>
                <c:pt idx="11">
                  <c:v>6.8895939000000004E-6</c:v>
                </c:pt>
                <c:pt idx="12">
                  <c:v>7.0513402999999998E-6</c:v>
                </c:pt>
                <c:pt idx="13">
                  <c:v>7.0791209999999996E-6</c:v>
                </c:pt>
                <c:pt idx="14">
                  <c:v>7.1526170999999997E-6</c:v>
                </c:pt>
                <c:pt idx="15">
                  <c:v>7.3292142999999998E-6</c:v>
                </c:pt>
                <c:pt idx="16">
                  <c:v>6.9118524E-6</c:v>
                </c:pt>
                <c:pt idx="17">
                  <c:v>7.2989543999999997E-6</c:v>
                </c:pt>
                <c:pt idx="18">
                  <c:v>7.4354129999999997E-6</c:v>
                </c:pt>
                <c:pt idx="19">
                  <c:v>7.5782564000000002E-6</c:v>
                </c:pt>
                <c:pt idx="20">
                  <c:v>7.3238515000000001E-6</c:v>
                </c:pt>
                <c:pt idx="21">
                  <c:v>6.9578905999999997E-6</c:v>
                </c:pt>
                <c:pt idx="22">
                  <c:v>7.1456960999999999E-6</c:v>
                </c:pt>
                <c:pt idx="23">
                  <c:v>6.6211055000000001E-6</c:v>
                </c:pt>
                <c:pt idx="24">
                  <c:v>7.2236568E-6</c:v>
                </c:pt>
                <c:pt idx="25">
                  <c:v>7.2014765000000003E-6</c:v>
                </c:pt>
                <c:pt idx="26">
                  <c:v>7.2178312000000003E-6</c:v>
                </c:pt>
                <c:pt idx="27">
                  <c:v>7.2621835000000004E-6</c:v>
                </c:pt>
                <c:pt idx="28">
                  <c:v>7.3720887000000002E-6</c:v>
                </c:pt>
                <c:pt idx="29">
                  <c:v>7.5900572000000001E-6</c:v>
                </c:pt>
                <c:pt idx="30">
                  <c:v>7.4132407000000003E-6</c:v>
                </c:pt>
                <c:pt idx="31">
                  <c:v>7.7852394999999993E-6</c:v>
                </c:pt>
                <c:pt idx="32">
                  <c:v>7.8982571999999992E-6</c:v>
                </c:pt>
                <c:pt idx="33">
                  <c:v>7.3815718999999999E-6</c:v>
                </c:pt>
                <c:pt idx="34">
                  <c:v>7.4653826000000001E-6</c:v>
                </c:pt>
                <c:pt idx="35">
                  <c:v>7.1246404000000004E-6</c:v>
                </c:pt>
                <c:pt idx="36">
                  <c:v>7.1568670999999997E-6</c:v>
                </c:pt>
                <c:pt idx="37">
                  <c:v>7.3766801000000003E-6</c:v>
                </c:pt>
                <c:pt idx="38">
                  <c:v>6.8401222E-6</c:v>
                </c:pt>
                <c:pt idx="39">
                  <c:v>7.1727137000000001E-6</c:v>
                </c:pt>
                <c:pt idx="40">
                  <c:v>6.9521120000000002E-6</c:v>
                </c:pt>
                <c:pt idx="41">
                  <c:v>7.1128037000000002E-6</c:v>
                </c:pt>
                <c:pt idx="42">
                  <c:v>7.3611466000000002E-6</c:v>
                </c:pt>
                <c:pt idx="43">
                  <c:v>7.0282480000000004E-6</c:v>
                </c:pt>
                <c:pt idx="44">
                  <c:v>7.0689178000000004E-6</c:v>
                </c:pt>
                <c:pt idx="45">
                  <c:v>6.7711746999999998E-6</c:v>
                </c:pt>
                <c:pt idx="46">
                  <c:v>7.3183571999999998E-6</c:v>
                </c:pt>
                <c:pt idx="47">
                  <c:v>7.5918156999999997E-6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2C-5245-AE7C-AEF67D4F6015}"/>
            </c:ext>
          </c:extLst>
        </c:ser>
        <c:ser>
          <c:idx val="2"/>
          <c:order val="2"/>
          <c:tx>
            <c:v>500C 10hr</c:v>
          </c:tx>
          <c:spPr>
            <a:ln w="19050">
              <a:noFill/>
            </a:ln>
          </c:spPr>
          <c:xVal>
            <c:numRef>
              <c:f>'Fe36Cr Max + MD + Variance'!$C$104:$C$137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 + Variance'!$M$104:$M$137</c:f>
              <c:numCache>
                <c:formatCode>0.00E+00</c:formatCode>
                <c:ptCount val="34"/>
                <c:pt idx="0">
                  <c:v>7.7588056999999992E-6</c:v>
                </c:pt>
                <c:pt idx="1">
                  <c:v>8.1291604000000004E-6</c:v>
                </c:pt>
                <c:pt idx="2">
                  <c:v>8.2951857E-6</c:v>
                </c:pt>
                <c:pt idx="3">
                  <c:v>7.7070617000000007E-6</c:v>
                </c:pt>
                <c:pt idx="4">
                  <c:v>8.1686199999999997E-6</c:v>
                </c:pt>
                <c:pt idx="5">
                  <c:v>7.4144974999999997E-6</c:v>
                </c:pt>
                <c:pt idx="6">
                  <c:v>7.6257140999999996E-6</c:v>
                </c:pt>
                <c:pt idx="7">
                  <c:v>7.7835638999999994E-6</c:v>
                </c:pt>
                <c:pt idx="8">
                  <c:v>8.1186333000000006E-6</c:v>
                </c:pt>
                <c:pt idx="9">
                  <c:v>8.0205332000000007E-6</c:v>
                </c:pt>
                <c:pt idx="10">
                  <c:v>8.1094814000000003E-6</c:v>
                </c:pt>
                <c:pt idx="11">
                  <c:v>8.2279766000000005E-6</c:v>
                </c:pt>
                <c:pt idx="12">
                  <c:v>8.2985111000000003E-6</c:v>
                </c:pt>
                <c:pt idx="13">
                  <c:v>8.2827982000000008E-6</c:v>
                </c:pt>
                <c:pt idx="14">
                  <c:v>8.2669932999999996E-6</c:v>
                </c:pt>
                <c:pt idx="15">
                  <c:v>7.9083005999999998E-6</c:v>
                </c:pt>
                <c:pt idx="16">
                  <c:v>8.1756889000000003E-6</c:v>
                </c:pt>
                <c:pt idx="17">
                  <c:v>8.2055619999999992E-6</c:v>
                </c:pt>
                <c:pt idx="18">
                  <c:v>8.3359411999999996E-6</c:v>
                </c:pt>
                <c:pt idx="19">
                  <c:v>8.5758191000000004E-6</c:v>
                </c:pt>
                <c:pt idx="20">
                  <c:v>8.0034206999999996E-6</c:v>
                </c:pt>
                <c:pt idx="21">
                  <c:v>8.0699565E-6</c:v>
                </c:pt>
                <c:pt idx="22">
                  <c:v>8.0111176999999997E-6</c:v>
                </c:pt>
                <c:pt idx="23">
                  <c:v>8.4990354999999999E-6</c:v>
                </c:pt>
                <c:pt idx="24">
                  <c:v>7.7994736999999995E-6</c:v>
                </c:pt>
                <c:pt idx="25">
                  <c:v>7.9695969999999992E-6</c:v>
                </c:pt>
                <c:pt idx="26">
                  <c:v>7.8879037000000006E-6</c:v>
                </c:pt>
                <c:pt idx="27">
                  <c:v>8.5502840999999996E-6</c:v>
                </c:pt>
                <c:pt idx="28">
                  <c:v>7.8448021000000003E-6</c:v>
                </c:pt>
                <c:pt idx="29">
                  <c:v>8.1712408999999995E-6</c:v>
                </c:pt>
                <c:pt idx="30">
                  <c:v>7.5561336000000003E-6</c:v>
                </c:pt>
                <c:pt idx="31">
                  <c:v>7.8364095999999993E-6</c:v>
                </c:pt>
                <c:pt idx="32">
                  <c:v>8.1999184999999998E-6</c:v>
                </c:pt>
                <c:pt idx="33">
                  <c:v>7.8714251000000006E-6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2C-5245-AE7C-AEF67D4F6015}"/>
            </c:ext>
          </c:extLst>
        </c:ser>
        <c:ser>
          <c:idx val="4"/>
          <c:order val="3"/>
          <c:tx>
            <c:v>2nd homogenization</c:v>
          </c:tx>
          <c:spPr>
            <a:ln w="19050">
              <a:noFill/>
            </a:ln>
          </c:spPr>
          <c:xVal>
            <c:numRef>
              <c:f>'Fe36Cr Max + MD + Variance'!$C$187:$C$235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 + Variance'!$M$187:$M$235</c:f>
              <c:numCache>
                <c:formatCode>0.00E+00</c:formatCode>
                <c:ptCount val="49"/>
                <c:pt idx="0">
                  <c:v>6.3280061999999999E-6</c:v>
                </c:pt>
                <c:pt idx="1">
                  <c:v>5.9761465999999999E-6</c:v>
                </c:pt>
                <c:pt idx="2">
                  <c:v>6.4707756000000004E-6</c:v>
                </c:pt>
                <c:pt idx="3">
                  <c:v>6.1667863999999998E-6</c:v>
                </c:pt>
                <c:pt idx="4">
                  <c:v>6.4668063000000001E-6</c:v>
                </c:pt>
                <c:pt idx="5">
                  <c:v>6.2637844000000002E-6</c:v>
                </c:pt>
                <c:pt idx="6">
                  <c:v>6.170006E-6</c:v>
                </c:pt>
                <c:pt idx="7">
                  <c:v>6.5068912999999997E-6</c:v>
                </c:pt>
                <c:pt idx="8">
                  <c:v>6.6340655000000004E-6</c:v>
                </c:pt>
                <c:pt idx="9">
                  <c:v>5.9360050999999999E-6</c:v>
                </c:pt>
                <c:pt idx="10">
                  <c:v>6.2028703999999997E-6</c:v>
                </c:pt>
                <c:pt idx="11">
                  <c:v>6.4919812000000003E-6</c:v>
                </c:pt>
                <c:pt idx="12">
                  <c:v>6.3735894999999999E-6</c:v>
                </c:pt>
                <c:pt idx="13">
                  <c:v>6.2706348999999997E-6</c:v>
                </c:pt>
                <c:pt idx="14">
                  <c:v>6.2894061999999999E-6</c:v>
                </c:pt>
                <c:pt idx="15">
                  <c:v>6.5825613000000001E-6</c:v>
                </c:pt>
                <c:pt idx="16">
                  <c:v>6.8023151000000002E-6</c:v>
                </c:pt>
                <c:pt idx="17">
                  <c:v>6.3412616000000002E-6</c:v>
                </c:pt>
                <c:pt idx="18">
                  <c:v>6.7095401000000001E-6</c:v>
                </c:pt>
                <c:pt idx="19">
                  <c:v>6.9112870999999996E-6</c:v>
                </c:pt>
                <c:pt idx="20">
                  <c:v>6.6163798000000003E-6</c:v>
                </c:pt>
                <c:pt idx="21">
                  <c:v>6.4076783000000001E-6</c:v>
                </c:pt>
                <c:pt idx="22">
                  <c:v>6.7519385E-6</c:v>
                </c:pt>
                <c:pt idx="23">
                  <c:v>6.9877553000000003E-6</c:v>
                </c:pt>
                <c:pt idx="24">
                  <c:v>6.4985543999999997E-6</c:v>
                </c:pt>
                <c:pt idx="25">
                  <c:v>6.8006415999999999E-6</c:v>
                </c:pt>
                <c:pt idx="26">
                  <c:v>6.6627350999999996E-6</c:v>
                </c:pt>
                <c:pt idx="27">
                  <c:v>6.6449380000000003E-6</c:v>
                </c:pt>
                <c:pt idx="28">
                  <c:v>6.44535E-6</c:v>
                </c:pt>
                <c:pt idx="29">
                  <c:v>6.7444514000000003E-6</c:v>
                </c:pt>
                <c:pt idx="30">
                  <c:v>6.9045613999999997E-6</c:v>
                </c:pt>
                <c:pt idx="31">
                  <c:v>7.0151266999999998E-6</c:v>
                </c:pt>
                <c:pt idx="32">
                  <c:v>6.5504525000000003E-6</c:v>
                </c:pt>
                <c:pt idx="33">
                  <c:v>6.7563129999999997E-6</c:v>
                </c:pt>
                <c:pt idx="34">
                  <c:v>6.8154161000000004E-6</c:v>
                </c:pt>
                <c:pt idx="35">
                  <c:v>6.8398840999999999E-6</c:v>
                </c:pt>
                <c:pt idx="36">
                  <c:v>7.2625760999999998E-6</c:v>
                </c:pt>
                <c:pt idx="37">
                  <c:v>6.7463601999999999E-6</c:v>
                </c:pt>
                <c:pt idx="38">
                  <c:v>6.4799651999999998E-6</c:v>
                </c:pt>
                <c:pt idx="39">
                  <c:v>7.0869558999999998E-6</c:v>
                </c:pt>
                <c:pt idx="40">
                  <c:v>6.1700493999999998E-6</c:v>
                </c:pt>
                <c:pt idx="41">
                  <c:v>6.3616899999999997E-6</c:v>
                </c:pt>
                <c:pt idx="42">
                  <c:v>6.0917594E-6</c:v>
                </c:pt>
                <c:pt idx="43">
                  <c:v>6.5803735999999997E-6</c:v>
                </c:pt>
                <c:pt idx="44">
                  <c:v>6.2555873999999999E-6</c:v>
                </c:pt>
                <c:pt idx="45">
                  <c:v>6.4105016999999997E-6</c:v>
                </c:pt>
                <c:pt idx="46">
                  <c:v>5.9925357000000001E-6</c:v>
                </c:pt>
                <c:pt idx="47">
                  <c:v>6.1740682999999997E-6</c:v>
                </c:pt>
                <c:pt idx="48">
                  <c:v>6.2332585999999999E-6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2C-5245-AE7C-AEF67D4F6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ax val="1.0000000000000004E-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Fe36Cr</a:t>
            </a:r>
            <a:r>
              <a:rPr lang="en-US" baseline="0"/>
              <a:t> </a:t>
            </a:r>
            <a:r>
              <a:rPr lang="en-US"/>
              <a:t>SAW</a:t>
            </a:r>
            <a:r>
              <a:rPr lang="en-US" baseline="0"/>
              <a:t> Speed vs Degrees Rotation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>
              <a:noFill/>
            </a:ln>
          </c:spPr>
          <c:xVal>
            <c:numRef>
              <c:f>'Fe36Cr Max + MD + Variance'!$C$10:$C$55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 + Variance'!$U$10:$U$55</c:f>
              <c:numCache>
                <c:formatCode>0.00E+00</c:formatCode>
                <c:ptCount val="46"/>
                <c:pt idx="0">
                  <c:v>3.1462400000000003E-8</c:v>
                </c:pt>
                <c:pt idx="1">
                  <c:v>2.5179599999999999E-8</c:v>
                </c:pt>
                <c:pt idx="2">
                  <c:v>2.9015900000000001E-8</c:v>
                </c:pt>
                <c:pt idx="3">
                  <c:v>2.7288599999999999E-8</c:v>
                </c:pt>
                <c:pt idx="4">
                  <c:v>2.6225000000000002E-8</c:v>
                </c:pt>
                <c:pt idx="5">
                  <c:v>2.6304100000000001E-8</c:v>
                </c:pt>
                <c:pt idx="6">
                  <c:v>3.7387100000000001E-8</c:v>
                </c:pt>
                <c:pt idx="7">
                  <c:v>3.30693E-8</c:v>
                </c:pt>
                <c:pt idx="8">
                  <c:v>3.2657900000000002E-8</c:v>
                </c:pt>
                <c:pt idx="9">
                  <c:v>3.20882E-8</c:v>
                </c:pt>
                <c:pt idx="10">
                  <c:v>3.5196699999999998E-8</c:v>
                </c:pt>
                <c:pt idx="11">
                  <c:v>1.8181400000000001E-8</c:v>
                </c:pt>
                <c:pt idx="12">
                  <c:v>3.0532099999999997E-8</c:v>
                </c:pt>
                <c:pt idx="13">
                  <c:v>2.90663E-8</c:v>
                </c:pt>
                <c:pt idx="14">
                  <c:v>2.62331E-8</c:v>
                </c:pt>
                <c:pt idx="15">
                  <c:v>2.6292300000000001E-8</c:v>
                </c:pt>
                <c:pt idx="16">
                  <c:v>2.7615700000000001E-8</c:v>
                </c:pt>
                <c:pt idx="17">
                  <c:v>2.18126E-8</c:v>
                </c:pt>
                <c:pt idx="18">
                  <c:v>2.5353100000000001E-8</c:v>
                </c:pt>
                <c:pt idx="19">
                  <c:v>2.9306000000000001E-8</c:v>
                </c:pt>
                <c:pt idx="20">
                  <c:v>1.48356E-8</c:v>
                </c:pt>
                <c:pt idx="21">
                  <c:v>3.4856999999999999E-8</c:v>
                </c:pt>
                <c:pt idx="22">
                  <c:v>1.8255E-8</c:v>
                </c:pt>
                <c:pt idx="23">
                  <c:v>2.4520000000000001E-8</c:v>
                </c:pt>
                <c:pt idx="24">
                  <c:v>2.44088E-8</c:v>
                </c:pt>
                <c:pt idx="25">
                  <c:v>2.55317E-8</c:v>
                </c:pt>
                <c:pt idx="26">
                  <c:v>2.8428300000000001E-8</c:v>
                </c:pt>
                <c:pt idx="27">
                  <c:v>2.2013E-8</c:v>
                </c:pt>
                <c:pt idx="28">
                  <c:v>3.0559399999999998E-8</c:v>
                </c:pt>
                <c:pt idx="29">
                  <c:v>2.5729600000000001E-8</c:v>
                </c:pt>
                <c:pt idx="30">
                  <c:v>2.5389399999999998E-8</c:v>
                </c:pt>
                <c:pt idx="31">
                  <c:v>2.9704900000000002E-8</c:v>
                </c:pt>
                <c:pt idx="32">
                  <c:v>2.76636E-8</c:v>
                </c:pt>
                <c:pt idx="33">
                  <c:v>3.0231600000000001E-8</c:v>
                </c:pt>
                <c:pt idx="34">
                  <c:v>2.57532E-8</c:v>
                </c:pt>
                <c:pt idx="35">
                  <c:v>2.5627799999999999E-8</c:v>
                </c:pt>
                <c:pt idx="36">
                  <c:v>2.82356E-8</c:v>
                </c:pt>
                <c:pt idx="37">
                  <c:v>3.0357300000000001E-8</c:v>
                </c:pt>
                <c:pt idx="38">
                  <c:v>3.05964E-8</c:v>
                </c:pt>
                <c:pt idx="39">
                  <c:v>2.54303E-8</c:v>
                </c:pt>
                <c:pt idx="40">
                  <c:v>3.0195699999999998E-8</c:v>
                </c:pt>
                <c:pt idx="41">
                  <c:v>2.6845E-8</c:v>
                </c:pt>
                <c:pt idx="42">
                  <c:v>3.3893999999999999E-8</c:v>
                </c:pt>
                <c:pt idx="43">
                  <c:v>3.0712599999999997E-8</c:v>
                </c:pt>
                <c:pt idx="44">
                  <c:v>2.8874999999999999E-8</c:v>
                </c:pt>
                <c:pt idx="45">
                  <c:v>2.3752E-8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51-2946-B8E0-16D03F850A9F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xVal>
            <c:numRef>
              <c:f>'Fe36Cr Max + MD + Variance'!$C$56:$C$103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+ MD + Variance'!$U$56:$U$103</c:f>
              <c:numCache>
                <c:formatCode>0.00E+00</c:formatCode>
                <c:ptCount val="48"/>
                <c:pt idx="0">
                  <c:v>2.8287149999999999E-8</c:v>
                </c:pt>
                <c:pt idx="1">
                  <c:v>2.1329069000000001E-8</c:v>
                </c:pt>
                <c:pt idx="2">
                  <c:v>2.7758522E-8</c:v>
                </c:pt>
                <c:pt idx="3">
                  <c:v>2.9495701999999999E-8</c:v>
                </c:pt>
                <c:pt idx="4">
                  <c:v>2.6210392E-8</c:v>
                </c:pt>
                <c:pt idx="5">
                  <c:v>3.0569389000000002E-8</c:v>
                </c:pt>
                <c:pt idx="6">
                  <c:v>2.9796895999999999E-8</c:v>
                </c:pt>
                <c:pt idx="7">
                  <c:v>2.9609053000000001E-8</c:v>
                </c:pt>
                <c:pt idx="8">
                  <c:v>2.852298E-8</c:v>
                </c:pt>
                <c:pt idx="9">
                  <c:v>2.8944840000000001E-8</c:v>
                </c:pt>
                <c:pt idx="10">
                  <c:v>2.9647004999999999E-8</c:v>
                </c:pt>
                <c:pt idx="11">
                  <c:v>2.7536345E-8</c:v>
                </c:pt>
                <c:pt idx="12">
                  <c:v>2.8983465000000002E-8</c:v>
                </c:pt>
                <c:pt idx="13">
                  <c:v>2.3279880999999999E-8</c:v>
                </c:pt>
                <c:pt idx="14">
                  <c:v>2.5972822E-8</c:v>
                </c:pt>
                <c:pt idx="15">
                  <c:v>2.6129678E-8</c:v>
                </c:pt>
                <c:pt idx="16">
                  <c:v>2.7315083E-8</c:v>
                </c:pt>
                <c:pt idx="17">
                  <c:v>2.6132322999999999E-8</c:v>
                </c:pt>
                <c:pt idx="18">
                  <c:v>3.0015925999999998E-8</c:v>
                </c:pt>
                <c:pt idx="19">
                  <c:v>3.1941971000000003E-8</c:v>
                </c:pt>
                <c:pt idx="20">
                  <c:v>3.0572817000000003E-8</c:v>
                </c:pt>
                <c:pt idx="21">
                  <c:v>2.9343952999999999E-8</c:v>
                </c:pt>
                <c:pt idx="22">
                  <c:v>2.8464462000000001E-8</c:v>
                </c:pt>
                <c:pt idx="23">
                  <c:v>5.0218748E-9</c:v>
                </c:pt>
                <c:pt idx="24">
                  <c:v>2.2801461000000002E-8</c:v>
                </c:pt>
                <c:pt idx="25">
                  <c:v>2.6106637E-8</c:v>
                </c:pt>
                <c:pt idx="26">
                  <c:v>2.7489702000000001E-8</c:v>
                </c:pt>
                <c:pt idx="27">
                  <c:v>2.8809378999999998E-8</c:v>
                </c:pt>
                <c:pt idx="28">
                  <c:v>2.1625230000000001E-8</c:v>
                </c:pt>
                <c:pt idx="29">
                  <c:v>2.6558316E-8</c:v>
                </c:pt>
                <c:pt idx="30">
                  <c:v>2.6425107000000001E-8</c:v>
                </c:pt>
                <c:pt idx="31">
                  <c:v>2.5931496999999999E-8</c:v>
                </c:pt>
                <c:pt idx="32">
                  <c:v>2.8782797999999999E-8</c:v>
                </c:pt>
                <c:pt idx="33">
                  <c:v>3.0014690999999999E-8</c:v>
                </c:pt>
                <c:pt idx="34">
                  <c:v>2.8286372999999999E-8</c:v>
                </c:pt>
                <c:pt idx="35">
                  <c:v>2.9284043E-8</c:v>
                </c:pt>
                <c:pt idx="36">
                  <c:v>2.7422093999999999E-8</c:v>
                </c:pt>
                <c:pt idx="37">
                  <c:v>2.5643936000000001E-8</c:v>
                </c:pt>
                <c:pt idx="38">
                  <c:v>2.5817309000000001E-8</c:v>
                </c:pt>
                <c:pt idx="39">
                  <c:v>2.8084955999999999E-8</c:v>
                </c:pt>
                <c:pt idx="40">
                  <c:v>2.8728786E-8</c:v>
                </c:pt>
                <c:pt idx="41">
                  <c:v>2.9256044000000002E-8</c:v>
                </c:pt>
                <c:pt idx="42">
                  <c:v>2.7147446999999998E-8</c:v>
                </c:pt>
                <c:pt idx="43">
                  <c:v>2.5149021999999999E-8</c:v>
                </c:pt>
                <c:pt idx="44">
                  <c:v>2.9861798999999998E-8</c:v>
                </c:pt>
                <c:pt idx="45">
                  <c:v>2.6866914000000001E-8</c:v>
                </c:pt>
                <c:pt idx="46">
                  <c:v>2.1939962000000001E-8</c:v>
                </c:pt>
                <c:pt idx="47">
                  <c:v>2.7138655000000002E-8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51-2946-B8E0-16D03F850A9F}"/>
            </c:ext>
          </c:extLst>
        </c:ser>
        <c:ser>
          <c:idx val="2"/>
          <c:order val="2"/>
          <c:tx>
            <c:v>500C 10hr</c:v>
          </c:tx>
          <c:spPr>
            <a:ln w="19050">
              <a:noFill/>
            </a:ln>
          </c:spPr>
          <c:xVal>
            <c:numRef>
              <c:f>'Fe36Cr Max + MD + Variance'!$C$104:$C$137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 + Variance'!$U$104:$U$137</c:f>
              <c:numCache>
                <c:formatCode>0.00E+00</c:formatCode>
                <c:ptCount val="34"/>
                <c:pt idx="0">
                  <c:v>2.2248663000000001E-8</c:v>
                </c:pt>
                <c:pt idx="1">
                  <c:v>2.5630083999999999E-8</c:v>
                </c:pt>
                <c:pt idx="2">
                  <c:v>2.8621777000000002E-8</c:v>
                </c:pt>
                <c:pt idx="3">
                  <c:v>2.7462701E-8</c:v>
                </c:pt>
                <c:pt idx="4">
                  <c:v>2.3736025E-8</c:v>
                </c:pt>
                <c:pt idx="5">
                  <c:v>2.6134979999999999E-8</c:v>
                </c:pt>
                <c:pt idx="6">
                  <c:v>2.6113064000000001E-8</c:v>
                </c:pt>
                <c:pt idx="7">
                  <c:v>2.7863119000000001E-8</c:v>
                </c:pt>
                <c:pt idx="8">
                  <c:v>2.7041177000000001E-8</c:v>
                </c:pt>
                <c:pt idx="9">
                  <c:v>2.6839836999999998E-8</c:v>
                </c:pt>
                <c:pt idx="10">
                  <c:v>2.4075777999999999E-8</c:v>
                </c:pt>
                <c:pt idx="11">
                  <c:v>2.4252214E-8</c:v>
                </c:pt>
                <c:pt idx="12">
                  <c:v>2.4615920000000001E-8</c:v>
                </c:pt>
                <c:pt idx="13">
                  <c:v>2.4227135999999999E-8</c:v>
                </c:pt>
                <c:pt idx="14">
                  <c:v>2.2755998999999998E-8</c:v>
                </c:pt>
                <c:pt idx="15">
                  <c:v>2.5129106E-8</c:v>
                </c:pt>
                <c:pt idx="16">
                  <c:v>2.7908261000000001E-8</c:v>
                </c:pt>
                <c:pt idx="17">
                  <c:v>2.8758599000000001E-8</c:v>
                </c:pt>
                <c:pt idx="18">
                  <c:v>2.9082759999999999E-8</c:v>
                </c:pt>
                <c:pt idx="19">
                  <c:v>2.6615398000000002E-8</c:v>
                </c:pt>
                <c:pt idx="20">
                  <c:v>2.5030464999999999E-8</c:v>
                </c:pt>
                <c:pt idx="21">
                  <c:v>2.8908945E-8</c:v>
                </c:pt>
                <c:pt idx="22">
                  <c:v>2.4844044999999998E-8</c:v>
                </c:pt>
                <c:pt idx="23">
                  <c:v>2.4872753000000001E-8</c:v>
                </c:pt>
                <c:pt idx="24">
                  <c:v>2.6868811E-8</c:v>
                </c:pt>
                <c:pt idx="25">
                  <c:v>2.5455585E-8</c:v>
                </c:pt>
                <c:pt idx="26">
                  <c:v>2.8705319E-8</c:v>
                </c:pt>
                <c:pt idx="27">
                  <c:v>2.8009104E-8</c:v>
                </c:pt>
                <c:pt idx="28">
                  <c:v>2.0049667000000001E-8</c:v>
                </c:pt>
                <c:pt idx="29">
                  <c:v>2.6955491E-8</c:v>
                </c:pt>
                <c:pt idx="30">
                  <c:v>2.3668770000000001E-8</c:v>
                </c:pt>
                <c:pt idx="31">
                  <c:v>2.6244931999999999E-8</c:v>
                </c:pt>
                <c:pt idx="32">
                  <c:v>2.8336541E-8</c:v>
                </c:pt>
                <c:pt idx="33">
                  <c:v>3.0210822000000001E-8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51-2946-B8E0-16D03F850A9F}"/>
            </c:ext>
          </c:extLst>
        </c:ser>
        <c:ser>
          <c:idx val="4"/>
          <c:order val="3"/>
          <c:tx>
            <c:v>2nd homogenization</c:v>
          </c:tx>
          <c:spPr>
            <a:ln w="19050">
              <a:noFill/>
            </a:ln>
          </c:spPr>
          <c:xVal>
            <c:numRef>
              <c:f>'Fe36Cr Max + MD + Variance'!$C$187:$C$235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 + Variance'!$U$187:$U$235</c:f>
              <c:numCache>
                <c:formatCode>0.00E+00</c:formatCode>
                <c:ptCount val="49"/>
                <c:pt idx="0">
                  <c:v>2.9182776999999999E-8</c:v>
                </c:pt>
                <c:pt idx="1">
                  <c:v>2.9826280000000002E-8</c:v>
                </c:pt>
                <c:pt idx="2">
                  <c:v>3.2176259000000003E-8</c:v>
                </c:pt>
                <c:pt idx="3">
                  <c:v>3.1911219999999998E-8</c:v>
                </c:pt>
                <c:pt idx="4">
                  <c:v>2.8718101999999999E-8</c:v>
                </c:pt>
                <c:pt idx="5">
                  <c:v>2.8619592E-8</c:v>
                </c:pt>
                <c:pt idx="6">
                  <c:v>3.2049514000000003E-8</c:v>
                </c:pt>
                <c:pt idx="7">
                  <c:v>3.0812369E-8</c:v>
                </c:pt>
                <c:pt idx="8">
                  <c:v>3.0660101E-8</c:v>
                </c:pt>
                <c:pt idx="9">
                  <c:v>3.1691003999999997E-8</c:v>
                </c:pt>
                <c:pt idx="10">
                  <c:v>2.8067640000000001E-8</c:v>
                </c:pt>
                <c:pt idx="11">
                  <c:v>2.9596272E-8</c:v>
                </c:pt>
                <c:pt idx="12">
                  <c:v>2.7899366999999998E-8</c:v>
                </c:pt>
                <c:pt idx="13">
                  <c:v>2.5482665E-8</c:v>
                </c:pt>
                <c:pt idx="14">
                  <c:v>2.1175134999999999E-8</c:v>
                </c:pt>
                <c:pt idx="15">
                  <c:v>2.8171841000000001E-8</c:v>
                </c:pt>
                <c:pt idx="16">
                  <c:v>2.6026345999999999E-8</c:v>
                </c:pt>
                <c:pt idx="17">
                  <c:v>3.5119397999999999E-8</c:v>
                </c:pt>
                <c:pt idx="18">
                  <c:v>3.2292217999999999E-8</c:v>
                </c:pt>
                <c:pt idx="19">
                  <c:v>1.5953402E-8</c:v>
                </c:pt>
                <c:pt idx="20">
                  <c:v>2.8703015E-8</c:v>
                </c:pt>
                <c:pt idx="21">
                  <c:v>2.2595309000000001E-8</c:v>
                </c:pt>
                <c:pt idx="22">
                  <c:v>1.2402175E-8</c:v>
                </c:pt>
                <c:pt idx="23">
                  <c:v>2.2000954000000001E-8</c:v>
                </c:pt>
                <c:pt idx="24">
                  <c:v>5.1601023999999999E-9</c:v>
                </c:pt>
                <c:pt idx="25">
                  <c:v>2.0677351E-8</c:v>
                </c:pt>
                <c:pt idx="26">
                  <c:v>2.9837231999999999E-8</c:v>
                </c:pt>
                <c:pt idx="27">
                  <c:v>1.9997289E-8</c:v>
                </c:pt>
                <c:pt idx="28">
                  <c:v>3.5517241E-8</c:v>
                </c:pt>
                <c:pt idx="29">
                  <c:v>3.2688577000000003E-8</c:v>
                </c:pt>
                <c:pt idx="30">
                  <c:v>3.1597275E-8</c:v>
                </c:pt>
                <c:pt idx="31">
                  <c:v>3.0883044E-8</c:v>
                </c:pt>
                <c:pt idx="32">
                  <c:v>3.1324417E-8</c:v>
                </c:pt>
                <c:pt idx="33">
                  <c:v>3.4632932000000001E-8</c:v>
                </c:pt>
                <c:pt idx="34">
                  <c:v>3.0204629999999999E-8</c:v>
                </c:pt>
                <c:pt idx="35">
                  <c:v>2.2961493000000001E-8</c:v>
                </c:pt>
                <c:pt idx="36">
                  <c:v>3.2762635999999997E-8</c:v>
                </c:pt>
                <c:pt idx="37">
                  <c:v>3.1373834E-8</c:v>
                </c:pt>
                <c:pt idx="38">
                  <c:v>3.6635191000000001E-8</c:v>
                </c:pt>
                <c:pt idx="39">
                  <c:v>2.7415064999999999E-8</c:v>
                </c:pt>
                <c:pt idx="40">
                  <c:v>3.5255878999999999E-8</c:v>
                </c:pt>
                <c:pt idx="41">
                  <c:v>3.4609009999999999E-8</c:v>
                </c:pt>
                <c:pt idx="42">
                  <c:v>3.5488581000000003E-8</c:v>
                </c:pt>
                <c:pt idx="43">
                  <c:v>4.0322512E-8</c:v>
                </c:pt>
                <c:pt idx="44">
                  <c:v>2.8596725E-8</c:v>
                </c:pt>
                <c:pt idx="45">
                  <c:v>2.8909840000000001E-8</c:v>
                </c:pt>
                <c:pt idx="46">
                  <c:v>2.8862434E-8</c:v>
                </c:pt>
                <c:pt idx="47">
                  <c:v>3.3830535999999998E-8</c:v>
                </c:pt>
                <c:pt idx="48">
                  <c:v>4.1791812000000001E-8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51-2946-B8E0-16D03F850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Fe36Cr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+ MD + Variance'!$C$10:$C$55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 + Variance'!$G$10:$G$55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CA-1D42-9893-1303C9DD7500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'Fe36Cr Max + MD + Variance'!$C$56:$C$103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+ MD + Variance'!$G$56:$G$103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CA-1D42-9893-1303C9DD7500}"/>
            </c:ext>
          </c:extLst>
        </c:ser>
        <c:ser>
          <c:idx val="2"/>
          <c:order val="2"/>
          <c:tx>
            <c:v>500C 10hr</c:v>
          </c:tx>
          <c:spPr>
            <a:ln w="25400">
              <a:noFill/>
            </a:ln>
          </c:spPr>
          <c:marker>
            <c:symbol val="circle"/>
            <c:size val="7"/>
          </c:marker>
          <c:xVal>
            <c:numRef>
              <c:f>'Fe36Cr Max + MD + Variance'!$C$104:$C$137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 + Variance'!$G$104:$G$137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CA-1D42-9893-1303C9DD7500}"/>
            </c:ext>
          </c:extLst>
        </c:ser>
        <c:ser>
          <c:idx val="3"/>
          <c:order val="3"/>
          <c:tx>
            <c:v>500C 10hr polished</c:v>
          </c:tx>
          <c:spPr>
            <a:ln w="25400">
              <a:noFill/>
            </a:ln>
          </c:spPr>
          <c:marker>
            <c:symbol val="circle"/>
            <c:size val="7"/>
          </c:marker>
          <c:xVal>
            <c:numRef>
              <c:f>'Fe36Cr Max + MD + Variance'!$C$138:$C$186</c:f>
              <c:numCache>
                <c:formatCode>0</c:formatCode>
                <c:ptCount val="49"/>
                <c:pt idx="0" formatCode="General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 + Variance'!$G$138:$G$186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CA-1D42-9893-1303C9DD7500}"/>
            </c:ext>
          </c:extLst>
        </c:ser>
        <c:ser>
          <c:idx val="4"/>
          <c:order val="4"/>
          <c:tx>
            <c:v>2nd homogenization</c:v>
          </c:tx>
          <c:spPr>
            <a:ln w="25400">
              <a:noFill/>
            </a:ln>
          </c:spPr>
          <c:marker>
            <c:symbol val="circle"/>
            <c:size val="7"/>
          </c:marker>
          <c:xVal>
            <c:numRef>
              <c:f>'Fe36Cr Max + MD + Variance'!$C$187:$C$235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 + Variance'!$G$187:$G$235</c:f>
              <c:numCache>
                <c:formatCode>0.00</c:formatCode>
                <c:ptCount val="49"/>
                <c:pt idx="0">
                  <c:v>2912.63</c:v>
                </c:pt>
                <c:pt idx="1">
                  <c:v>2918.54</c:v>
                </c:pt>
                <c:pt idx="2">
                  <c:v>2883.85</c:v>
                </c:pt>
                <c:pt idx="3">
                  <c:v>2833.31</c:v>
                </c:pt>
                <c:pt idx="4">
                  <c:v>2782.36</c:v>
                </c:pt>
                <c:pt idx="5">
                  <c:v>2739.77</c:v>
                </c:pt>
                <c:pt idx="6">
                  <c:v>2705.83</c:v>
                </c:pt>
                <c:pt idx="7">
                  <c:v>2674.53</c:v>
                </c:pt>
                <c:pt idx="8">
                  <c:v>2649.28</c:v>
                </c:pt>
                <c:pt idx="9">
                  <c:v>2668.04</c:v>
                </c:pt>
                <c:pt idx="10">
                  <c:v>2673.74</c:v>
                </c:pt>
                <c:pt idx="11">
                  <c:v>2703.25</c:v>
                </c:pt>
                <c:pt idx="12">
                  <c:v>2738.57</c:v>
                </c:pt>
                <c:pt idx="13">
                  <c:v>2714.81</c:v>
                </c:pt>
                <c:pt idx="14">
                  <c:v>2797.16</c:v>
                </c:pt>
                <c:pt idx="15">
                  <c:v>2874.37</c:v>
                </c:pt>
                <c:pt idx="16">
                  <c:v>2915.04</c:v>
                </c:pt>
                <c:pt idx="17">
                  <c:v>2938.32</c:v>
                </c:pt>
                <c:pt idx="18">
                  <c:v>2897.89</c:v>
                </c:pt>
                <c:pt idx="19">
                  <c:v>2775.79</c:v>
                </c:pt>
                <c:pt idx="20">
                  <c:v>3325.78</c:v>
                </c:pt>
                <c:pt idx="21">
                  <c:v>3332.4</c:v>
                </c:pt>
                <c:pt idx="22">
                  <c:v>3212.53</c:v>
                </c:pt>
                <c:pt idx="23">
                  <c:v>3401.34</c:v>
                </c:pt>
                <c:pt idx="24">
                  <c:v>3463.72</c:v>
                </c:pt>
                <c:pt idx="25">
                  <c:v>3482.44</c:v>
                </c:pt>
                <c:pt idx="26">
                  <c:v>3561.59</c:v>
                </c:pt>
                <c:pt idx="27">
                  <c:v>3541.41</c:v>
                </c:pt>
                <c:pt idx="28">
                  <c:v>2933.84</c:v>
                </c:pt>
                <c:pt idx="29">
                  <c:v>2991.48</c:v>
                </c:pt>
                <c:pt idx="30">
                  <c:v>3024.97</c:v>
                </c:pt>
                <c:pt idx="31">
                  <c:v>3031.79</c:v>
                </c:pt>
                <c:pt idx="32">
                  <c:v>3009.79</c:v>
                </c:pt>
                <c:pt idx="33">
                  <c:v>2984.62</c:v>
                </c:pt>
                <c:pt idx="34">
                  <c:v>2919.69</c:v>
                </c:pt>
                <c:pt idx="35">
                  <c:v>2903.62</c:v>
                </c:pt>
                <c:pt idx="36">
                  <c:v>2815.94</c:v>
                </c:pt>
                <c:pt idx="37">
                  <c:v>2784.22</c:v>
                </c:pt>
                <c:pt idx="38">
                  <c:v>2755.88</c:v>
                </c:pt>
                <c:pt idx="39">
                  <c:v>2727.17</c:v>
                </c:pt>
                <c:pt idx="40">
                  <c:v>2734.55</c:v>
                </c:pt>
                <c:pt idx="41">
                  <c:v>2746.06</c:v>
                </c:pt>
                <c:pt idx="42">
                  <c:v>2770.3</c:v>
                </c:pt>
                <c:pt idx="43">
                  <c:v>2816.48</c:v>
                </c:pt>
                <c:pt idx="44">
                  <c:v>2863.26</c:v>
                </c:pt>
                <c:pt idx="45">
                  <c:v>2915.02</c:v>
                </c:pt>
                <c:pt idx="46">
                  <c:v>2918.5</c:v>
                </c:pt>
                <c:pt idx="47">
                  <c:v>2877.57</c:v>
                </c:pt>
                <c:pt idx="48">
                  <c:v>2824.06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CA-1D42-9893-1303C9DD7500}"/>
            </c:ext>
          </c:extLst>
        </c:ser>
        <c:ser>
          <c:idx val="5"/>
          <c:order val="5"/>
          <c:tx>
            <c:v>3rd homogenization</c:v>
          </c:tx>
          <c:spPr>
            <a:ln w="25400">
              <a:noFill/>
            </a:ln>
          </c:spPr>
          <c:xVal>
            <c:numRef>
              <c:f>'Fe36Cr Max + MD + Variance'!$C$236:$C$285</c:f>
              <c:numCache>
                <c:formatCode>General</c:formatCode>
                <c:ptCount val="50"/>
                <c:pt idx="0">
                  <c:v>-8</c:v>
                </c:pt>
                <c:pt idx="1">
                  <c:v>-4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52</c:v>
                </c:pt>
                <c:pt idx="16">
                  <c:v>56</c:v>
                </c:pt>
                <c:pt idx="17">
                  <c:v>60</c:v>
                </c:pt>
                <c:pt idx="18">
                  <c:v>64</c:v>
                </c:pt>
                <c:pt idx="19">
                  <c:v>68</c:v>
                </c:pt>
                <c:pt idx="20">
                  <c:v>72</c:v>
                </c:pt>
                <c:pt idx="21">
                  <c:v>76</c:v>
                </c:pt>
                <c:pt idx="22">
                  <c:v>80</c:v>
                </c:pt>
                <c:pt idx="23">
                  <c:v>84</c:v>
                </c:pt>
                <c:pt idx="24">
                  <c:v>88</c:v>
                </c:pt>
                <c:pt idx="25">
                  <c:v>92</c:v>
                </c:pt>
                <c:pt idx="26">
                  <c:v>96</c:v>
                </c:pt>
                <c:pt idx="27">
                  <c:v>100</c:v>
                </c:pt>
                <c:pt idx="28">
                  <c:v>104</c:v>
                </c:pt>
                <c:pt idx="29">
                  <c:v>108</c:v>
                </c:pt>
                <c:pt idx="30">
                  <c:v>112</c:v>
                </c:pt>
                <c:pt idx="31">
                  <c:v>116</c:v>
                </c:pt>
                <c:pt idx="32">
                  <c:v>120</c:v>
                </c:pt>
                <c:pt idx="33">
                  <c:v>124</c:v>
                </c:pt>
                <c:pt idx="34">
                  <c:v>128</c:v>
                </c:pt>
                <c:pt idx="35">
                  <c:v>132</c:v>
                </c:pt>
                <c:pt idx="36">
                  <c:v>136</c:v>
                </c:pt>
                <c:pt idx="37">
                  <c:v>140</c:v>
                </c:pt>
                <c:pt idx="38">
                  <c:v>144</c:v>
                </c:pt>
                <c:pt idx="39">
                  <c:v>148</c:v>
                </c:pt>
                <c:pt idx="40">
                  <c:v>152</c:v>
                </c:pt>
                <c:pt idx="41">
                  <c:v>156</c:v>
                </c:pt>
                <c:pt idx="42">
                  <c:v>160</c:v>
                </c:pt>
                <c:pt idx="43">
                  <c:v>164</c:v>
                </c:pt>
                <c:pt idx="44">
                  <c:v>168</c:v>
                </c:pt>
                <c:pt idx="45">
                  <c:v>172</c:v>
                </c:pt>
                <c:pt idx="46">
                  <c:v>176</c:v>
                </c:pt>
                <c:pt idx="47">
                  <c:v>180</c:v>
                </c:pt>
                <c:pt idx="48">
                  <c:v>184</c:v>
                </c:pt>
                <c:pt idx="49">
                  <c:v>188</c:v>
                </c:pt>
              </c:numCache>
            </c:numRef>
          </c:xVal>
          <c:yVal>
            <c:numRef>
              <c:f>'Fe36Cr Max + MD + Variance'!$G$236:$G$285</c:f>
              <c:numCache>
                <c:formatCode>0.00</c:formatCode>
                <c:ptCount val="50"/>
                <c:pt idx="0">
                  <c:v>2801.71</c:v>
                </c:pt>
                <c:pt idx="1">
                  <c:v>2855.21</c:v>
                </c:pt>
                <c:pt idx="2">
                  <c:v>2902.28</c:v>
                </c:pt>
                <c:pt idx="3">
                  <c:v>2918.79</c:v>
                </c:pt>
                <c:pt idx="4">
                  <c:v>2885.36</c:v>
                </c:pt>
                <c:pt idx="5">
                  <c:v>2836.8</c:v>
                </c:pt>
                <c:pt idx="6">
                  <c:v>2788.31</c:v>
                </c:pt>
                <c:pt idx="7">
                  <c:v>2746.26</c:v>
                </c:pt>
                <c:pt idx="8">
                  <c:v>2707.68</c:v>
                </c:pt>
                <c:pt idx="9">
                  <c:v>2679.1</c:v>
                </c:pt>
                <c:pt idx="10">
                  <c:v>2647.64</c:v>
                </c:pt>
                <c:pt idx="11">
                  <c:v>2641.63</c:v>
                </c:pt>
                <c:pt idx="12">
                  <c:v>2645.04</c:v>
                </c:pt>
                <c:pt idx="13">
                  <c:v>2689.64</c:v>
                </c:pt>
                <c:pt idx="14">
                  <c:v>2709.99</c:v>
                </c:pt>
                <c:pt idx="15">
                  <c:v>2756.29</c:v>
                </c:pt>
                <c:pt idx="16">
                  <c:v>2606.7800000000002</c:v>
                </c:pt>
                <c:pt idx="17">
                  <c:v>2626.14</c:v>
                </c:pt>
                <c:pt idx="18">
                  <c:v>2909.63</c:v>
                </c:pt>
                <c:pt idx="19">
                  <c:v>2938.93</c:v>
                </c:pt>
                <c:pt idx="20">
                  <c:v>2927.01</c:v>
                </c:pt>
                <c:pt idx="21">
                  <c:v>2882.75</c:v>
                </c:pt>
                <c:pt idx="22">
                  <c:v>3340.73</c:v>
                </c:pt>
                <c:pt idx="23">
                  <c:v>3352.28</c:v>
                </c:pt>
                <c:pt idx="24">
                  <c:v>3381.97</c:v>
                </c:pt>
                <c:pt idx="25">
                  <c:v>3425.27</c:v>
                </c:pt>
                <c:pt idx="26">
                  <c:v>3477.5</c:v>
                </c:pt>
                <c:pt idx="27">
                  <c:v>3496.09</c:v>
                </c:pt>
                <c:pt idx="28">
                  <c:v>3545.64</c:v>
                </c:pt>
                <c:pt idx="29">
                  <c:v>3567.4</c:v>
                </c:pt>
                <c:pt idx="30">
                  <c:v>3496.81</c:v>
                </c:pt>
                <c:pt idx="31">
                  <c:v>2950.25</c:v>
                </c:pt>
                <c:pt idx="32">
                  <c:v>3009.35</c:v>
                </c:pt>
                <c:pt idx="33">
                  <c:v>3027.71</c:v>
                </c:pt>
                <c:pt idx="34">
                  <c:v>3023.74</c:v>
                </c:pt>
                <c:pt idx="35">
                  <c:v>2991.44</c:v>
                </c:pt>
                <c:pt idx="36">
                  <c:v>2952.67</c:v>
                </c:pt>
                <c:pt idx="37">
                  <c:v>2889.2</c:v>
                </c:pt>
                <c:pt idx="38">
                  <c:v>2825.65</c:v>
                </c:pt>
                <c:pt idx="39">
                  <c:v>2914.15</c:v>
                </c:pt>
                <c:pt idx="40">
                  <c:v>2754.28</c:v>
                </c:pt>
                <c:pt idx="41">
                  <c:v>2733.49</c:v>
                </c:pt>
                <c:pt idx="42">
                  <c:v>2714.5</c:v>
                </c:pt>
                <c:pt idx="43">
                  <c:v>2686.93</c:v>
                </c:pt>
                <c:pt idx="44">
                  <c:v>2728.17</c:v>
                </c:pt>
                <c:pt idx="45">
                  <c:v>2689.63</c:v>
                </c:pt>
                <c:pt idx="46">
                  <c:v>2698.6</c:v>
                </c:pt>
                <c:pt idx="47">
                  <c:v>2654.38</c:v>
                </c:pt>
                <c:pt idx="48">
                  <c:v>2662.52</c:v>
                </c:pt>
                <c:pt idx="49">
                  <c:v>2727.59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CA-1D42-9893-1303C9DD7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Fe-36Cr </a:t>
            </a:r>
          </a:p>
        </c:rich>
      </c:tx>
      <c:layout>
        <c:manualLayout>
          <c:xMode val="edge"/>
          <c:yMode val="edge"/>
          <c:x val="0.51271196757774118"/>
          <c:y val="1.89114523362530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606938145443833"/>
          <c:y val="0.13712710911136108"/>
          <c:w val="0.7236080404567925"/>
          <c:h val="0.65810123734533188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+ MD + Variance'!$E$10:$E$55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 + Variance'!$G$10:$G$55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EE-7047-9BDC-0F900DB5FE39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'Fe36Cr Max + MD + Variance'!$C$56:$C$103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+ MD + Variance'!$G$56:$G$103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EE-7047-9BDC-0F900DB5FE39}"/>
            </c:ext>
          </c:extLst>
        </c:ser>
        <c:ser>
          <c:idx val="2"/>
          <c:order val="2"/>
          <c:tx>
            <c:v>500C 10hr</c:v>
          </c:tx>
          <c:spPr>
            <a:ln w="25400">
              <a:noFill/>
            </a:ln>
          </c:spPr>
          <c:marker>
            <c:symbol val="circle"/>
            <c:size val="6"/>
          </c:marker>
          <c:xVal>
            <c:numRef>
              <c:f>'Fe36Cr Max + MD + Variance'!$C$104:$C$137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 + Variance'!$G$104:$G$137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EE-7047-9BDC-0F900DB5FE39}"/>
            </c:ext>
          </c:extLst>
        </c:ser>
        <c:ser>
          <c:idx val="3"/>
          <c:order val="3"/>
          <c:tx>
            <c:v>500C 10hr re-polished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 + Variance'!$C$138:$C$186</c:f>
              <c:numCache>
                <c:formatCode>0</c:formatCode>
                <c:ptCount val="49"/>
                <c:pt idx="0" formatCode="General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 + Variance'!$G$138:$G$186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EE-7047-9BDC-0F900DB5F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Relative Surface Angle [degrees]</a:t>
                </a:r>
              </a:p>
            </c:rich>
          </c:tx>
          <c:layout>
            <c:manualLayout>
              <c:xMode val="edge"/>
              <c:yMode val="edge"/>
              <c:x val="0.33838425892873036"/>
              <c:y val="0.894924754817805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</c:valAx>
      <c:valAx>
        <c:axId val="1791294527"/>
        <c:scaling>
          <c:orientation val="minMax"/>
          <c:max val="3550"/>
          <c:min val="2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5.1609193810044779E-2"/>
              <c:y val="0.1337271891722504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layout>
        <c:manualLayout>
          <c:xMode val="edge"/>
          <c:yMode val="edge"/>
          <c:x val="0.70788772293211899"/>
          <c:y val="0.16210451007530419"/>
          <c:w val="0.29211232678034826"/>
          <c:h val="5.0088256483151447E-2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'Fe36Cr Max + MD + Variance'!$AE$4:$AE$7</c:f>
                <c:numCache>
                  <c:formatCode>General</c:formatCode>
                  <c:ptCount val="4"/>
                  <c:pt idx="0">
                    <c:v>2.7618</c:v>
                  </c:pt>
                  <c:pt idx="1">
                    <c:v>3.3010999999999999</c:v>
                  </c:pt>
                  <c:pt idx="2">
                    <c:v>3.2343999999999999</c:v>
                  </c:pt>
                  <c:pt idx="3">
                    <c:v>2.7618</c:v>
                  </c:pt>
                </c:numCache>
              </c:numRef>
            </c:plus>
            <c:minus>
              <c:numRef>
                <c:f>'Fe36Cr Max + MD + Variance'!$AE$4:$AE$7</c:f>
                <c:numCache>
                  <c:formatCode>General</c:formatCode>
                  <c:ptCount val="4"/>
                  <c:pt idx="0">
                    <c:v>2.7618</c:v>
                  </c:pt>
                  <c:pt idx="1">
                    <c:v>3.3010999999999999</c:v>
                  </c:pt>
                  <c:pt idx="2">
                    <c:v>3.2343999999999999</c:v>
                  </c:pt>
                  <c:pt idx="3">
                    <c:v>2.7618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'Fe36Cr Max + MD + Variance'!$AB$4:$AB$7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11</c:v>
                </c:pt>
                <c:pt idx="3">
                  <c:v>14</c:v>
                </c:pt>
              </c:numCache>
            </c:numRef>
          </c:xVal>
          <c:yVal>
            <c:numRef>
              <c:f>'Fe36Cr Max + MD + Variance'!$AD$4:$AD$7</c:f>
              <c:numCache>
                <c:formatCode>0.00</c:formatCode>
                <c:ptCount val="4"/>
                <c:pt idx="0" formatCode="General">
                  <c:v>2703.5915150000001</c:v>
                </c:pt>
                <c:pt idx="1">
                  <c:v>2728.73</c:v>
                </c:pt>
                <c:pt idx="2">
                  <c:v>2759.42</c:v>
                </c:pt>
                <c:pt idx="3">
                  <c:v>2649.28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96-314E-A77C-D5D82A94B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827840"/>
        <c:axId val="1693264768"/>
      </c:scatterChart>
      <c:valAx>
        <c:axId val="1692827840"/>
        <c:scaling>
          <c:orientation val="minMax"/>
          <c:min val="-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3264768"/>
        <c:crosses val="autoZero"/>
        <c:crossBetween val="midCat"/>
      </c:valAx>
      <c:valAx>
        <c:axId val="1693264768"/>
        <c:scaling>
          <c:orientation val="minMax"/>
          <c:max val="2765"/>
          <c:min val="26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SAW Speed [m/s]</a:t>
                </a:r>
              </a:p>
            </c:rich>
          </c:tx>
          <c:layout>
            <c:manualLayout>
              <c:xMode val="edge"/>
              <c:yMode val="edge"/>
              <c:x val="1.0251176891770087E-2"/>
              <c:y val="0.17460090649360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2827840"/>
        <c:crossesAt val="-1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'Fe36Cr Max + MD + Variance'!$AE$8:$AE$10</c:f>
                <c:numCache>
                  <c:formatCode>General</c:formatCode>
                  <c:ptCount val="3"/>
                  <c:pt idx="0">
                    <c:v>6</c:v>
                  </c:pt>
                  <c:pt idx="1">
                    <c:v>5.3</c:v>
                  </c:pt>
                  <c:pt idx="2">
                    <c:v>7.5</c:v>
                  </c:pt>
                </c:numCache>
              </c:numRef>
            </c:plus>
            <c:minus>
              <c:numRef>
                <c:f>'Fe36Cr Max + MD + Variance'!$AE$8:$AE$10</c:f>
                <c:numCache>
                  <c:formatCode>General</c:formatCode>
                  <c:ptCount val="3"/>
                  <c:pt idx="0">
                    <c:v>6</c:v>
                  </c:pt>
                  <c:pt idx="1">
                    <c:v>5.3</c:v>
                  </c:pt>
                  <c:pt idx="2">
                    <c:v>7.5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'Fe36Cr Max + MD + Variance'!$AB$8:$AB$10</c:f>
              <c:numCache>
                <c:formatCode>General</c:formatCode>
                <c:ptCount val="3"/>
                <c:pt idx="0">
                  <c:v>1</c:v>
                </c:pt>
                <c:pt idx="1">
                  <c:v>11</c:v>
                </c:pt>
                <c:pt idx="2">
                  <c:v>14</c:v>
                </c:pt>
              </c:numCache>
            </c:numRef>
          </c:xVal>
          <c:yVal>
            <c:numRef>
              <c:f>'Fe36Cr Max + MD + Variance'!$AD$8:$AD$10</c:f>
              <c:numCache>
                <c:formatCode>General</c:formatCode>
                <c:ptCount val="3"/>
                <c:pt idx="0">
                  <c:v>2750.6</c:v>
                </c:pt>
                <c:pt idx="1">
                  <c:v>2732.2</c:v>
                </c:pt>
                <c:pt idx="2">
                  <c:v>2735.6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BB-F346-AC0C-992688435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827840"/>
        <c:axId val="1693264768"/>
      </c:scatterChart>
      <c:valAx>
        <c:axId val="1692827840"/>
        <c:scaling>
          <c:orientation val="minMax"/>
          <c:min val="-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3264768"/>
        <c:crossesAt val="2640"/>
        <c:crossBetween val="midCat"/>
      </c:valAx>
      <c:valAx>
        <c:axId val="1693264768"/>
        <c:scaling>
          <c:orientation val="minMax"/>
          <c:max val="2800"/>
          <c:min val="26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SAW Speed [m/s]</a:t>
                </a:r>
              </a:p>
            </c:rich>
          </c:tx>
          <c:layout>
            <c:manualLayout>
              <c:xMode val="edge"/>
              <c:yMode val="edge"/>
              <c:x val="1.0251176891770087E-2"/>
              <c:y val="0.17460090649360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2827840"/>
        <c:crossesAt val="-1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'Fe36Cr Max + MD + Variance'!$AE$11:$AE$14</c:f>
                <c:numCache>
                  <c:formatCode>General</c:formatCode>
                  <c:ptCount val="4"/>
                  <c:pt idx="0">
                    <c:v>23.5</c:v>
                  </c:pt>
                  <c:pt idx="1">
                    <c:v>32.1</c:v>
                  </c:pt>
                  <c:pt idx="2">
                    <c:v>27</c:v>
                  </c:pt>
                  <c:pt idx="3">
                    <c:v>20.100000000000001</c:v>
                  </c:pt>
                </c:numCache>
              </c:numRef>
            </c:plus>
            <c:minus>
              <c:numRef>
                <c:f>'Fe36Cr Max + MD + Variance'!$AE$11:$AE$14</c:f>
                <c:numCache>
                  <c:formatCode>General</c:formatCode>
                  <c:ptCount val="4"/>
                  <c:pt idx="0">
                    <c:v>23.5</c:v>
                  </c:pt>
                  <c:pt idx="1">
                    <c:v>32.1</c:v>
                  </c:pt>
                  <c:pt idx="2">
                    <c:v>27</c:v>
                  </c:pt>
                  <c:pt idx="3">
                    <c:v>20.100000000000001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'Fe36Cr Max + MD + Variance'!$AB$11:$AB$14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11</c:v>
                </c:pt>
                <c:pt idx="3">
                  <c:v>14</c:v>
                </c:pt>
              </c:numCache>
            </c:numRef>
          </c:xVal>
          <c:yVal>
            <c:numRef>
              <c:f>'Fe36Cr Max + MD + Variance'!$AD$11:$AD$14</c:f>
              <c:numCache>
                <c:formatCode>General</c:formatCode>
                <c:ptCount val="4"/>
                <c:pt idx="0">
                  <c:v>2924.8</c:v>
                </c:pt>
                <c:pt idx="1">
                  <c:v>2949</c:v>
                </c:pt>
                <c:pt idx="2">
                  <c:v>2965</c:v>
                </c:pt>
                <c:pt idx="3">
                  <c:v>2917.1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1-854A-9FDB-AB0BA91A9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827840"/>
        <c:axId val="1693264768"/>
      </c:scatterChart>
      <c:valAx>
        <c:axId val="1692827840"/>
        <c:scaling>
          <c:orientation val="minMax"/>
          <c:min val="-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3264768"/>
        <c:crossesAt val="2640"/>
        <c:crossBetween val="midCat"/>
      </c:valAx>
      <c:valAx>
        <c:axId val="1693264768"/>
        <c:scaling>
          <c:orientation val="minMax"/>
          <c:max val="3000"/>
          <c:min val="28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SAW Speed [m/s]</a:t>
                </a:r>
              </a:p>
            </c:rich>
          </c:tx>
          <c:layout>
            <c:manualLayout>
              <c:xMode val="edge"/>
              <c:yMode val="edge"/>
              <c:x val="1.0251176891770087E-2"/>
              <c:y val="0.17460090649360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2827840"/>
        <c:crossesAt val="-1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'Fe36Cr Max + MD + Variance'!$Z$15</c:f>
              <c:strCache>
                <c:ptCount val="1"/>
                <c:pt idx="0">
                  <c:v>Relative Maxima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'Fe36Cr Max + MD + Variance'!$AE$15:$AE$17</c:f>
                <c:numCache>
                  <c:formatCode>General</c:formatCode>
                  <c:ptCount val="3"/>
                  <c:pt idx="0">
                    <c:v>10.199999999999999</c:v>
                  </c:pt>
                  <c:pt idx="1">
                    <c:v>12.7</c:v>
                  </c:pt>
                  <c:pt idx="2">
                    <c:v>12.7</c:v>
                  </c:pt>
                </c:numCache>
              </c:numRef>
            </c:plus>
            <c:minus>
              <c:numRef>
                <c:f>'Fe36Cr Max + MD + Variance'!$AE$15:$AE$17</c:f>
                <c:numCache>
                  <c:formatCode>General</c:formatCode>
                  <c:ptCount val="3"/>
                  <c:pt idx="0">
                    <c:v>10.199999999999999</c:v>
                  </c:pt>
                  <c:pt idx="1">
                    <c:v>12.7</c:v>
                  </c:pt>
                  <c:pt idx="2">
                    <c:v>12.7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'Fe36Cr Max + MD + Variance'!$AB$15:$AB$17</c:f>
              <c:numCache>
                <c:formatCode>General</c:formatCode>
                <c:ptCount val="3"/>
                <c:pt idx="0">
                  <c:v>1</c:v>
                </c:pt>
                <c:pt idx="1">
                  <c:v>11</c:v>
                </c:pt>
                <c:pt idx="2">
                  <c:v>14</c:v>
                </c:pt>
              </c:numCache>
            </c:numRef>
          </c:xVal>
          <c:yVal>
            <c:numRef>
              <c:f>'Fe36Cr Max + MD + Variance'!$AD$15:$AD$17</c:f>
              <c:numCache>
                <c:formatCode>General</c:formatCode>
                <c:ptCount val="3"/>
                <c:pt idx="0">
                  <c:v>2928.5</c:v>
                </c:pt>
                <c:pt idx="1">
                  <c:v>2921.4</c:v>
                </c:pt>
                <c:pt idx="2">
                  <c:v>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C3-2447-8560-BF61C0596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827840"/>
        <c:axId val="1693264768"/>
      </c:scatterChart>
      <c:valAx>
        <c:axId val="1692827840"/>
        <c:scaling>
          <c:orientation val="minMax"/>
          <c:min val="-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3264768"/>
        <c:crossesAt val="2640"/>
        <c:crossBetween val="midCat"/>
      </c:valAx>
      <c:valAx>
        <c:axId val="1693264768"/>
        <c:scaling>
          <c:orientation val="minMax"/>
          <c:max val="3000"/>
          <c:min val="28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SAW Speed [m/s]</a:t>
                </a:r>
              </a:p>
            </c:rich>
          </c:tx>
          <c:layout>
            <c:manualLayout>
              <c:xMode val="edge"/>
              <c:yMode val="edge"/>
              <c:x val="1.0251176891770087E-2"/>
              <c:y val="0.17460090649360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2827840"/>
        <c:crossesAt val="-1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u="sng"/>
            </a:pPr>
            <a:r>
              <a:rPr lang="en-US" u="sng"/>
              <a:t>Fe-26Cr Alloy </a:t>
            </a:r>
          </a:p>
        </c:rich>
      </c:tx>
      <c:layout>
        <c:manualLayout>
          <c:xMode val="edge"/>
          <c:yMode val="edge"/>
          <c:x val="0.41388757848000279"/>
          <c:y val="3.357314148681055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849682611259496"/>
          <c:y val="0.15106591891840856"/>
          <c:w val="0.73423445142044474"/>
          <c:h val="0.67706338865915139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'Fe25Cr Max Edits'!$C$8:$C$55</c:f>
              <c:numCache>
                <c:formatCode>General</c:formatCode>
                <c:ptCount val="48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142</c:v>
                </c:pt>
                <c:pt idx="36">
                  <c:v>146</c:v>
                </c:pt>
                <c:pt idx="37">
                  <c:v>150</c:v>
                </c:pt>
                <c:pt idx="38">
                  <c:v>154</c:v>
                </c:pt>
                <c:pt idx="39">
                  <c:v>158</c:v>
                </c:pt>
                <c:pt idx="40">
                  <c:v>162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</c:numCache>
            </c:numRef>
          </c:xVal>
          <c:yVal>
            <c:numRef>
              <c:f>'Fe25Cr Max Edits'!$E$8:$E$55</c:f>
              <c:numCache>
                <c:formatCode>General</c:formatCode>
                <c:ptCount val="48"/>
                <c:pt idx="0">
                  <c:v>2830.5794800063973</c:v>
                </c:pt>
                <c:pt idx="1">
                  <c:v>2834.9474927685328</c:v>
                </c:pt>
                <c:pt idx="2">
                  <c:v>2801.1846019109148</c:v>
                </c:pt>
                <c:pt idx="3">
                  <c:v>2769.8093071384606</c:v>
                </c:pt>
                <c:pt idx="4">
                  <c:v>2757.3226542473635</c:v>
                </c:pt>
                <c:pt idx="5">
                  <c:v>2747.8232733375376</c:v>
                </c:pt>
                <c:pt idx="6">
                  <c:v>2746.4835592444133</c:v>
                </c:pt>
                <c:pt idx="7">
                  <c:v>2757.5464811921361</c:v>
                </c:pt>
                <c:pt idx="8">
                  <c:v>2777.2059331860592</c:v>
                </c:pt>
                <c:pt idx="9">
                  <c:v>2803.89497224874</c:v>
                </c:pt>
                <c:pt idx="10">
                  <c:v>2833.1310181402168</c:v>
                </c:pt>
                <c:pt idx="11">
                  <c:v>2876.0446615704077</c:v>
                </c:pt>
                <c:pt idx="12">
                  <c:v>2916.9954939616846</c:v>
                </c:pt>
                <c:pt idx="13">
                  <c:v>2936.635336670498</c:v>
                </c:pt>
                <c:pt idx="14">
                  <c:v>2931.8622445078613</c:v>
                </c:pt>
                <c:pt idx="15">
                  <c:v>2868.758865321191</c:v>
                </c:pt>
                <c:pt idx="16">
                  <c:v>3294.759630981569</c:v>
                </c:pt>
                <c:pt idx="17">
                  <c:v>3290.5544743060295</c:v>
                </c:pt>
                <c:pt idx="18">
                  <c:v>3288.5236831239408</c:v>
                </c:pt>
                <c:pt idx="19">
                  <c:v>3280.6372712907528</c:v>
                </c:pt>
                <c:pt idx="20">
                  <c:v>3268.0848811966562</c:v>
                </c:pt>
                <c:pt idx="21">
                  <c:v>3273.2857558748051</c:v>
                </c:pt>
                <c:pt idx="22">
                  <c:v>3284.3705980489708</c:v>
                </c:pt>
                <c:pt idx="23">
                  <c:v>3315.7170149845601</c:v>
                </c:pt>
                <c:pt idx="24">
                  <c:v>3349.3826744077514</c:v>
                </c:pt>
                <c:pt idx="25">
                  <c:v>3015.1666233243195</c:v>
                </c:pt>
                <c:pt idx="26">
                  <c:v>3060.7226853179468</c:v>
                </c:pt>
                <c:pt idx="27">
                  <c:v>3055.9518748343075</c:v>
                </c:pt>
                <c:pt idx="28">
                  <c:v>3030.7096396552784</c:v>
                </c:pt>
                <c:pt idx="29">
                  <c:v>3006.3455382909469</c:v>
                </c:pt>
                <c:pt idx="30">
                  <c:v>2967.0923422691926</c:v>
                </c:pt>
                <c:pt idx="31">
                  <c:v>2936.5849982784157</c:v>
                </c:pt>
                <c:pt idx="32">
                  <c:v>2900.9993054940492</c:v>
                </c:pt>
                <c:pt idx="33">
                  <c:v>2873.6950776345625</c:v>
                </c:pt>
                <c:pt idx="34">
                  <c:v>2856.1336230046613</c:v>
                </c:pt>
                <c:pt idx="35">
                  <c:v>2846.7984353696334</c:v>
                </c:pt>
                <c:pt idx="36">
                  <c:v>2850.4188695903395</c:v>
                </c:pt>
                <c:pt idx="37">
                  <c:v>2858.1662071288251</c:v>
                </c:pt>
                <c:pt idx="38">
                  <c:v>2828.8420632909288</c:v>
                </c:pt>
                <c:pt idx="39">
                  <c:v>2837.5552231422271</c:v>
                </c:pt>
                <c:pt idx="40">
                  <c:v>3007.3079600410711</c:v>
                </c:pt>
                <c:pt idx="41">
                  <c:v>3035.9740260443632</c:v>
                </c:pt>
                <c:pt idx="42">
                  <c:v>3051.2878783844144</c:v>
                </c:pt>
                <c:pt idx="43">
                  <c:v>3041.5305259595289</c:v>
                </c:pt>
                <c:pt idx="44">
                  <c:v>2836.1689504516967</c:v>
                </c:pt>
                <c:pt idx="45">
                  <c:v>2837.9122589746498</c:v>
                </c:pt>
                <c:pt idx="46">
                  <c:v>2824.4643775454083</c:v>
                </c:pt>
                <c:pt idx="47">
                  <c:v>2790.2751991894197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16-4C40-89AE-E591B9AE1CD4}"/>
            </c:ext>
          </c:extLst>
        </c:ser>
        <c:ser>
          <c:idx val="2"/>
          <c:order val="1"/>
          <c:tx>
            <c:v>500C 10hr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'Fe25Cr Max Edits'!$C$102:$C$153</c:f>
              <c:numCache>
                <c:formatCode>General</c:formatCode>
                <c:ptCount val="52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180</c:v>
                </c:pt>
                <c:pt idx="32">
                  <c:v>184</c:v>
                </c:pt>
                <c:pt idx="33">
                  <c:v>0</c:v>
                </c:pt>
                <c:pt idx="34">
                  <c:v>4</c:v>
                </c:pt>
                <c:pt idx="35">
                  <c:v>8</c:v>
                </c:pt>
                <c:pt idx="36">
                  <c:v>12</c:v>
                </c:pt>
                <c:pt idx="37">
                  <c:v>16</c:v>
                </c:pt>
                <c:pt idx="38">
                  <c:v>20</c:v>
                </c:pt>
                <c:pt idx="39">
                  <c:v>24</c:v>
                </c:pt>
                <c:pt idx="40">
                  <c:v>28</c:v>
                </c:pt>
                <c:pt idx="41">
                  <c:v>32</c:v>
                </c:pt>
                <c:pt idx="42">
                  <c:v>36</c:v>
                </c:pt>
                <c:pt idx="43">
                  <c:v>40</c:v>
                </c:pt>
                <c:pt idx="44">
                  <c:v>44</c:v>
                </c:pt>
                <c:pt idx="45">
                  <c:v>48</c:v>
                </c:pt>
                <c:pt idx="46">
                  <c:v>52</c:v>
                </c:pt>
                <c:pt idx="47">
                  <c:v>56</c:v>
                </c:pt>
                <c:pt idx="48">
                  <c:v>60</c:v>
                </c:pt>
                <c:pt idx="49">
                  <c:v>64</c:v>
                </c:pt>
                <c:pt idx="50">
                  <c:v>68</c:v>
                </c:pt>
                <c:pt idx="51">
                  <c:v>72</c:v>
                </c:pt>
              </c:numCache>
            </c:numRef>
          </c:xVal>
          <c:yVal>
            <c:numRef>
              <c:f>'Fe25Cr Max Edits'!$E$102:$E$153</c:f>
              <c:numCache>
                <c:formatCode>General</c:formatCode>
                <c:ptCount val="52"/>
                <c:pt idx="0">
                  <c:v>2893.9469065238854</c:v>
                </c:pt>
                <c:pt idx="1">
                  <c:v>2930.8265273557195</c:v>
                </c:pt>
                <c:pt idx="2">
                  <c:v>2924.7152139980249</c:v>
                </c:pt>
                <c:pt idx="3">
                  <c:v>2809.6735746050708</c:v>
                </c:pt>
                <c:pt idx="4">
                  <c:v>3282.5848321362437</c:v>
                </c:pt>
                <c:pt idx="5">
                  <c:v>3272.7632815945944</c:v>
                </c:pt>
                <c:pt idx="6">
                  <c:v>3256.9488755946641</c:v>
                </c:pt>
                <c:pt idx="7">
                  <c:v>3251.3015168061215</c:v>
                </c:pt>
                <c:pt idx="8">
                  <c:v>3257.273535753824</c:v>
                </c:pt>
                <c:pt idx="9">
                  <c:v>3255.0917165555807</c:v>
                </c:pt>
                <c:pt idx="10">
                  <c:v>3264.0104753978885</c:v>
                </c:pt>
                <c:pt idx="11">
                  <c:v>3303.8847886163726</c:v>
                </c:pt>
                <c:pt idx="12">
                  <c:v>3338.2829858360719</c:v>
                </c:pt>
                <c:pt idx="13">
                  <c:v>3016.9248503009835</c:v>
                </c:pt>
                <c:pt idx="14">
                  <c:v>3040.5231674961087</c:v>
                </c:pt>
                <c:pt idx="15">
                  <c:v>3039.5409678583533</c:v>
                </c:pt>
                <c:pt idx="16">
                  <c:v>3004.2462177441494</c:v>
                </c:pt>
                <c:pt idx="17">
                  <c:v>2968.8745052384152</c:v>
                </c:pt>
                <c:pt idx="18">
                  <c:v>2932.2230715159053</c:v>
                </c:pt>
                <c:pt idx="19">
                  <c:v>2907.8959009209207</c:v>
                </c:pt>
                <c:pt idx="20">
                  <c:v>2879.8608959762441</c:v>
                </c:pt>
                <c:pt idx="21">
                  <c:v>2853.2396762471226</c:v>
                </c:pt>
                <c:pt idx="22">
                  <c:v>2845.5131441509275</c:v>
                </c:pt>
                <c:pt idx="23">
                  <c:v>2836.0911343091889</c:v>
                </c:pt>
                <c:pt idx="24">
                  <c:v>2842.729343819412</c:v>
                </c:pt>
                <c:pt idx="25">
                  <c:v>2839.6190333833042</c:v>
                </c:pt>
                <c:pt idx="26">
                  <c:v>2841.317646527596</c:v>
                </c:pt>
                <c:pt idx="27">
                  <c:v>3070.9902525829784</c:v>
                </c:pt>
                <c:pt idx="28">
                  <c:v>2952.024987854556</c:v>
                </c:pt>
                <c:pt idx="29">
                  <c:v>3013.242087689438</c:v>
                </c:pt>
                <c:pt idx="30">
                  <c:v>3026.9671316001522</c:v>
                </c:pt>
                <c:pt idx="31">
                  <c:v>3014.3749771486696</c:v>
                </c:pt>
                <c:pt idx="32">
                  <c:v>2808.841878940922</c:v>
                </c:pt>
                <c:pt idx="33">
                  <c:v>2832.8675360809189</c:v>
                </c:pt>
                <c:pt idx="34">
                  <c:v>2816.1169856084493</c:v>
                </c:pt>
                <c:pt idx="35">
                  <c:v>2780.1036838094956</c:v>
                </c:pt>
                <c:pt idx="36">
                  <c:v>2757.1276298077828</c:v>
                </c:pt>
                <c:pt idx="37">
                  <c:v>2743.0211392763422</c:v>
                </c:pt>
                <c:pt idx="38">
                  <c:v>2732.4758999074484</c:v>
                </c:pt>
                <c:pt idx="39">
                  <c:v>2730.2102762897312</c:v>
                </c:pt>
                <c:pt idx="40">
                  <c:v>2744.1672124149763</c:v>
                </c:pt>
                <c:pt idx="41">
                  <c:v>2756.8068971527227</c:v>
                </c:pt>
                <c:pt idx="42">
                  <c:v>2798.132334013394</c:v>
                </c:pt>
                <c:pt idx="43">
                  <c:v>2831.8985440665897</c:v>
                </c:pt>
                <c:pt idx="44">
                  <c:v>2856.7150357793912</c:v>
                </c:pt>
                <c:pt idx="45">
                  <c:v>2905.1131610173566</c:v>
                </c:pt>
                <c:pt idx="46">
                  <c:v>2925.2350655260771</c:v>
                </c:pt>
                <c:pt idx="47">
                  <c:v>2928.700451082359</c:v>
                </c:pt>
                <c:pt idx="48">
                  <c:v>3311.6514539824525</c:v>
                </c:pt>
                <c:pt idx="49">
                  <c:v>3287.6819021997258</c:v>
                </c:pt>
                <c:pt idx="50">
                  <c:v>3273.3133519792282</c:v>
                </c:pt>
                <c:pt idx="51">
                  <c:v>3264.2795376248932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16-4C40-89AE-E591B9AE1CD4}"/>
            </c:ext>
          </c:extLst>
        </c:ser>
        <c:ser>
          <c:idx val="1"/>
          <c:order val="2"/>
          <c:tx>
            <c:v>2nd homogenization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</c:spPr>
          </c:marker>
          <c:xVal>
            <c:numRef>
              <c:f>'Fe25Cr Max Edits'!$C$56:$C$101</c:f>
              <c:numCache>
                <c:formatCode>General</c:formatCode>
                <c:ptCount val="46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0</c:v>
                </c:pt>
                <c:pt idx="32">
                  <c:v>4</c:v>
                </c:pt>
                <c:pt idx="33">
                  <c:v>8</c:v>
                </c:pt>
                <c:pt idx="34">
                  <c:v>12</c:v>
                </c:pt>
                <c:pt idx="35">
                  <c:v>16</c:v>
                </c:pt>
                <c:pt idx="36">
                  <c:v>20</c:v>
                </c:pt>
                <c:pt idx="37">
                  <c:v>24</c:v>
                </c:pt>
                <c:pt idx="38">
                  <c:v>28</c:v>
                </c:pt>
                <c:pt idx="39">
                  <c:v>32</c:v>
                </c:pt>
                <c:pt idx="40">
                  <c:v>36</c:v>
                </c:pt>
                <c:pt idx="41">
                  <c:v>40</c:v>
                </c:pt>
                <c:pt idx="42">
                  <c:v>44</c:v>
                </c:pt>
                <c:pt idx="43">
                  <c:v>48</c:v>
                </c:pt>
                <c:pt idx="44">
                  <c:v>52</c:v>
                </c:pt>
                <c:pt idx="45">
                  <c:v>56</c:v>
                </c:pt>
              </c:numCache>
            </c:numRef>
          </c:xVal>
          <c:yVal>
            <c:numRef>
              <c:f>'Fe25Cr Max Edits'!$E$56:$E$101</c:f>
              <c:numCache>
                <c:formatCode>General</c:formatCode>
                <c:ptCount val="46"/>
                <c:pt idx="0">
                  <c:v>2912.4696912703689</c:v>
                </c:pt>
                <c:pt idx="1">
                  <c:v>2859.2366759746915</c:v>
                </c:pt>
                <c:pt idx="2">
                  <c:v>3295.4347238599671</c:v>
                </c:pt>
                <c:pt idx="3">
                  <c:v>3284.6744733653231</c:v>
                </c:pt>
                <c:pt idx="4">
                  <c:v>3278.5911183924486</c:v>
                </c:pt>
                <c:pt idx="5">
                  <c:v>3269.0360358181269</c:v>
                </c:pt>
                <c:pt idx="6">
                  <c:v>3265.3370507740319</c:v>
                </c:pt>
                <c:pt idx="7">
                  <c:v>3264.4340392456538</c:v>
                </c:pt>
                <c:pt idx="8">
                  <c:v>3269.9682605335779</c:v>
                </c:pt>
                <c:pt idx="9">
                  <c:v>3290.3163812974376</c:v>
                </c:pt>
                <c:pt idx="10">
                  <c:v>3328.323430699339</c:v>
                </c:pt>
                <c:pt idx="11">
                  <c:v>3005.7060346632784</c:v>
                </c:pt>
                <c:pt idx="12">
                  <c:v>3047.5561228132183</c:v>
                </c:pt>
                <c:pt idx="13">
                  <c:v>3050.8835858358802</c:v>
                </c:pt>
                <c:pt idx="14">
                  <c:v>3028.909915553967</c:v>
                </c:pt>
                <c:pt idx="15">
                  <c:v>2995.5710172537802</c:v>
                </c:pt>
                <c:pt idx="16">
                  <c:v>2962.8315632957288</c:v>
                </c:pt>
                <c:pt idx="17">
                  <c:v>2928.8707195337925</c:v>
                </c:pt>
                <c:pt idx="18">
                  <c:v>2896.1677365379587</c:v>
                </c:pt>
                <c:pt idx="19">
                  <c:v>2872.2129396235136</c:v>
                </c:pt>
                <c:pt idx="20">
                  <c:v>2850.6944865545538</c:v>
                </c:pt>
                <c:pt idx="21">
                  <c:v>2842.4341632584851</c:v>
                </c:pt>
                <c:pt idx="22">
                  <c:v>2835.8737910306909</c:v>
                </c:pt>
                <c:pt idx="23">
                  <c:v>2837.6445901408802</c:v>
                </c:pt>
                <c:pt idx="24">
                  <c:v>2844.5202604442097</c:v>
                </c:pt>
                <c:pt idx="25">
                  <c:v>2784.7935173662545</c:v>
                </c:pt>
                <c:pt idx="26">
                  <c:v>2951.8436317883875</c:v>
                </c:pt>
                <c:pt idx="27">
                  <c:v>3011.2584429590347</c:v>
                </c:pt>
                <c:pt idx="28">
                  <c:v>3037.4177656325501</c:v>
                </c:pt>
                <c:pt idx="29">
                  <c:v>3028.5543962543957</c:v>
                </c:pt>
                <c:pt idx="30">
                  <c:v>2769.9598943602896</c:v>
                </c:pt>
                <c:pt idx="31">
                  <c:v>2828.6063228652179</c:v>
                </c:pt>
                <c:pt idx="32">
                  <c:v>2818.7274178491584</c:v>
                </c:pt>
                <c:pt idx="33">
                  <c:v>2792.5783945273865</c:v>
                </c:pt>
                <c:pt idx="34">
                  <c:v>2763.468121114448</c:v>
                </c:pt>
                <c:pt idx="35">
                  <c:v>2742.8082132012469</c:v>
                </c:pt>
                <c:pt idx="36">
                  <c:v>2732.0947043199667</c:v>
                </c:pt>
                <c:pt idx="37">
                  <c:v>2726.8730056772592</c:v>
                </c:pt>
                <c:pt idx="38">
                  <c:v>2737.5054033329911</c:v>
                </c:pt>
                <c:pt idx="39">
                  <c:v>2762.4649778266103</c:v>
                </c:pt>
                <c:pt idx="40">
                  <c:v>2797.0717504190484</c:v>
                </c:pt>
                <c:pt idx="41">
                  <c:v>2829.4871140266673</c:v>
                </c:pt>
                <c:pt idx="42">
                  <c:v>2869.6828873985914</c:v>
                </c:pt>
                <c:pt idx="43">
                  <c:v>2907.5751288555575</c:v>
                </c:pt>
                <c:pt idx="44">
                  <c:v>2932.6348039433847</c:v>
                </c:pt>
                <c:pt idx="45">
                  <c:v>2923.8789122226863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16-4C40-89AE-E591B9AE1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sz="1800" b="0" i="0" baseline="0">
                    <a:effectLst/>
                  </a:rPr>
                  <a:t>Relative Surface Angle [degrees]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  <c:minorUnit val="10"/>
      </c:valAx>
      <c:valAx>
        <c:axId val="1791294527"/>
        <c:scaling>
          <c:orientation val="minMax"/>
          <c:max val="3550"/>
          <c:min val="2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1.7621145374449341E-2"/>
              <c:y val="0.115094695896825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layout>
        <c:manualLayout>
          <c:xMode val="edge"/>
          <c:yMode val="edge"/>
          <c:x val="0.66203315139001151"/>
          <c:y val="0.17261341527459809"/>
          <c:w val="0.33436323379760069"/>
          <c:h val="0.1353844531399841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u="sng"/>
            </a:pPr>
            <a:r>
              <a:rPr lang="en-US" u="sng"/>
              <a:t>Fe-36Cr Alloy </a:t>
            </a:r>
          </a:p>
        </c:rich>
      </c:tx>
      <c:layout>
        <c:manualLayout>
          <c:xMode val="edge"/>
          <c:yMode val="edge"/>
          <c:x val="0.43990417099357082"/>
          <c:y val="2.36333283523457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606938145443833"/>
          <c:y val="0.13712710911136108"/>
          <c:w val="0.7236080404567925"/>
          <c:h val="0.65810123734533188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+ MD + Variance'!$E$10:$E$55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 + Variance'!$G$10:$G$55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8-AB4C-8A0A-6B0E2AB84E20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'Fe36Cr Max + MD + Variance'!$E$56:$E$103</c:f>
              <c:numCache>
                <c:formatCode>0</c:formatCode>
                <c:ptCount val="48"/>
                <c:pt idx="0">
                  <c:v>-8</c:v>
                </c:pt>
                <c:pt idx="1">
                  <c:v>-4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52</c:v>
                </c:pt>
                <c:pt idx="16">
                  <c:v>56</c:v>
                </c:pt>
                <c:pt idx="17">
                  <c:v>60</c:v>
                </c:pt>
                <c:pt idx="18">
                  <c:v>64</c:v>
                </c:pt>
                <c:pt idx="19">
                  <c:v>68</c:v>
                </c:pt>
                <c:pt idx="20">
                  <c:v>72</c:v>
                </c:pt>
                <c:pt idx="21">
                  <c:v>76</c:v>
                </c:pt>
                <c:pt idx="22">
                  <c:v>80</c:v>
                </c:pt>
                <c:pt idx="23">
                  <c:v>84</c:v>
                </c:pt>
                <c:pt idx="24">
                  <c:v>88</c:v>
                </c:pt>
                <c:pt idx="25">
                  <c:v>92</c:v>
                </c:pt>
                <c:pt idx="26">
                  <c:v>96</c:v>
                </c:pt>
                <c:pt idx="27">
                  <c:v>100</c:v>
                </c:pt>
                <c:pt idx="28">
                  <c:v>104</c:v>
                </c:pt>
                <c:pt idx="29">
                  <c:v>108</c:v>
                </c:pt>
                <c:pt idx="30">
                  <c:v>112</c:v>
                </c:pt>
                <c:pt idx="31">
                  <c:v>116</c:v>
                </c:pt>
                <c:pt idx="32">
                  <c:v>120</c:v>
                </c:pt>
                <c:pt idx="33">
                  <c:v>124</c:v>
                </c:pt>
                <c:pt idx="34">
                  <c:v>128</c:v>
                </c:pt>
                <c:pt idx="35">
                  <c:v>132</c:v>
                </c:pt>
                <c:pt idx="36">
                  <c:v>136</c:v>
                </c:pt>
                <c:pt idx="37">
                  <c:v>140</c:v>
                </c:pt>
                <c:pt idx="38">
                  <c:v>144</c:v>
                </c:pt>
                <c:pt idx="39">
                  <c:v>148</c:v>
                </c:pt>
                <c:pt idx="40">
                  <c:v>152</c:v>
                </c:pt>
                <c:pt idx="41">
                  <c:v>156</c:v>
                </c:pt>
                <c:pt idx="42">
                  <c:v>160</c:v>
                </c:pt>
                <c:pt idx="43">
                  <c:v>164</c:v>
                </c:pt>
                <c:pt idx="44">
                  <c:v>168</c:v>
                </c:pt>
                <c:pt idx="45">
                  <c:v>172</c:v>
                </c:pt>
                <c:pt idx="46">
                  <c:v>176</c:v>
                </c:pt>
                <c:pt idx="47">
                  <c:v>180</c:v>
                </c:pt>
              </c:numCache>
            </c:numRef>
          </c:xVal>
          <c:yVal>
            <c:numRef>
              <c:f>'Fe36Cr Max + MD + Variance'!$G$56:$G$103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18-AB4C-8A0A-6B0E2AB84E20}"/>
            </c:ext>
          </c:extLst>
        </c:ser>
        <c:ser>
          <c:idx val="2"/>
          <c:order val="2"/>
          <c:tx>
            <c:v>500C 10hr</c:v>
          </c:tx>
          <c:spPr>
            <a:ln w="25400">
              <a:noFill/>
            </a:ln>
          </c:spPr>
          <c:marker>
            <c:symbol val="circle"/>
            <c:size val="6"/>
          </c:marker>
          <c:xVal>
            <c:numRef>
              <c:f>'Fe36Cr Max + MD + Variance'!$C$104:$C$137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 + Variance'!$G$104:$G$137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18-AB4C-8A0A-6B0E2AB84E20}"/>
            </c:ext>
          </c:extLst>
        </c:ser>
        <c:ser>
          <c:idx val="3"/>
          <c:order val="3"/>
          <c:tx>
            <c:v>500C 10hr re-polished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 + Variance'!$E$138:$E$186</c:f>
              <c:numCache>
                <c:formatCode>0</c:formatCode>
                <c:ptCount val="49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  <c:pt idx="48">
                  <c:v>192</c:v>
                </c:pt>
              </c:numCache>
            </c:numRef>
          </c:xVal>
          <c:yVal>
            <c:numRef>
              <c:f>'Fe36Cr Max + MD + Variance'!$G$138:$G$186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18-AB4C-8A0A-6B0E2AB84E20}"/>
            </c:ext>
          </c:extLst>
        </c:ser>
        <c:ser>
          <c:idx val="4"/>
          <c:order val="4"/>
          <c:tx>
            <c:v>Re-homogenization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 + Variance'!$E$187:$E$235</c:f>
              <c:numCache>
                <c:formatCode>General</c:formatCode>
                <c:ptCount val="49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40</c:v>
                </c:pt>
                <c:pt idx="10">
                  <c:v>44</c:v>
                </c:pt>
                <c:pt idx="11">
                  <c:v>48</c:v>
                </c:pt>
                <c:pt idx="12">
                  <c:v>52</c:v>
                </c:pt>
                <c:pt idx="13">
                  <c:v>56</c:v>
                </c:pt>
                <c:pt idx="14">
                  <c:v>60</c:v>
                </c:pt>
                <c:pt idx="15">
                  <c:v>64</c:v>
                </c:pt>
                <c:pt idx="16">
                  <c:v>68</c:v>
                </c:pt>
                <c:pt idx="17">
                  <c:v>72</c:v>
                </c:pt>
                <c:pt idx="18">
                  <c:v>76</c:v>
                </c:pt>
                <c:pt idx="19">
                  <c:v>80</c:v>
                </c:pt>
                <c:pt idx="20">
                  <c:v>84</c:v>
                </c:pt>
                <c:pt idx="21">
                  <c:v>88</c:v>
                </c:pt>
                <c:pt idx="22">
                  <c:v>92</c:v>
                </c:pt>
                <c:pt idx="23">
                  <c:v>96</c:v>
                </c:pt>
                <c:pt idx="24">
                  <c:v>100</c:v>
                </c:pt>
                <c:pt idx="25">
                  <c:v>104</c:v>
                </c:pt>
                <c:pt idx="26">
                  <c:v>108</c:v>
                </c:pt>
                <c:pt idx="27">
                  <c:v>112</c:v>
                </c:pt>
                <c:pt idx="28">
                  <c:v>116</c:v>
                </c:pt>
                <c:pt idx="29">
                  <c:v>120</c:v>
                </c:pt>
                <c:pt idx="30">
                  <c:v>124</c:v>
                </c:pt>
                <c:pt idx="31">
                  <c:v>128</c:v>
                </c:pt>
                <c:pt idx="32">
                  <c:v>132</c:v>
                </c:pt>
                <c:pt idx="33">
                  <c:v>136</c:v>
                </c:pt>
                <c:pt idx="34">
                  <c:v>140</c:v>
                </c:pt>
                <c:pt idx="35">
                  <c:v>144</c:v>
                </c:pt>
                <c:pt idx="36">
                  <c:v>148</c:v>
                </c:pt>
                <c:pt idx="37">
                  <c:v>152</c:v>
                </c:pt>
                <c:pt idx="38">
                  <c:v>156</c:v>
                </c:pt>
                <c:pt idx="39">
                  <c:v>160</c:v>
                </c:pt>
                <c:pt idx="40">
                  <c:v>164</c:v>
                </c:pt>
                <c:pt idx="41">
                  <c:v>168</c:v>
                </c:pt>
                <c:pt idx="42">
                  <c:v>172</c:v>
                </c:pt>
                <c:pt idx="43">
                  <c:v>176</c:v>
                </c:pt>
                <c:pt idx="44">
                  <c:v>180</c:v>
                </c:pt>
                <c:pt idx="45">
                  <c:v>184</c:v>
                </c:pt>
                <c:pt idx="46">
                  <c:v>188</c:v>
                </c:pt>
                <c:pt idx="47">
                  <c:v>192</c:v>
                </c:pt>
                <c:pt idx="48">
                  <c:v>196</c:v>
                </c:pt>
              </c:numCache>
            </c:numRef>
          </c:xVal>
          <c:yVal>
            <c:numRef>
              <c:f>'Fe36Cr Max + MD + Variance'!$G$187:$G$235</c:f>
              <c:numCache>
                <c:formatCode>0.00</c:formatCode>
                <c:ptCount val="49"/>
                <c:pt idx="0">
                  <c:v>2912.63</c:v>
                </c:pt>
                <c:pt idx="1">
                  <c:v>2918.54</c:v>
                </c:pt>
                <c:pt idx="2">
                  <c:v>2883.85</c:v>
                </c:pt>
                <c:pt idx="3">
                  <c:v>2833.31</c:v>
                </c:pt>
                <c:pt idx="4">
                  <c:v>2782.36</c:v>
                </c:pt>
                <c:pt idx="5">
                  <c:v>2739.77</c:v>
                </c:pt>
                <c:pt idx="6">
                  <c:v>2705.83</c:v>
                </c:pt>
                <c:pt idx="7">
                  <c:v>2674.53</c:v>
                </c:pt>
                <c:pt idx="8">
                  <c:v>2649.28</c:v>
                </c:pt>
                <c:pt idx="9">
                  <c:v>2668.04</c:v>
                </c:pt>
                <c:pt idx="10">
                  <c:v>2673.74</c:v>
                </c:pt>
                <c:pt idx="11">
                  <c:v>2703.25</c:v>
                </c:pt>
                <c:pt idx="12">
                  <c:v>2738.57</c:v>
                </c:pt>
                <c:pt idx="13">
                  <c:v>2714.81</c:v>
                </c:pt>
                <c:pt idx="14">
                  <c:v>2797.16</c:v>
                </c:pt>
                <c:pt idx="15">
                  <c:v>2874.37</c:v>
                </c:pt>
                <c:pt idx="16">
                  <c:v>2915.04</c:v>
                </c:pt>
                <c:pt idx="17">
                  <c:v>2938.32</c:v>
                </c:pt>
                <c:pt idx="18">
                  <c:v>2897.89</c:v>
                </c:pt>
                <c:pt idx="19">
                  <c:v>2775.79</c:v>
                </c:pt>
                <c:pt idx="20">
                  <c:v>3325.78</c:v>
                </c:pt>
                <c:pt idx="21">
                  <c:v>3332.4</c:v>
                </c:pt>
                <c:pt idx="22">
                  <c:v>3212.53</c:v>
                </c:pt>
                <c:pt idx="23">
                  <c:v>3401.34</c:v>
                </c:pt>
                <c:pt idx="24">
                  <c:v>3463.72</c:v>
                </c:pt>
                <c:pt idx="25">
                  <c:v>3482.44</c:v>
                </c:pt>
                <c:pt idx="26">
                  <c:v>3561.59</c:v>
                </c:pt>
                <c:pt idx="27">
                  <c:v>3541.41</c:v>
                </c:pt>
                <c:pt idx="28">
                  <c:v>2933.84</c:v>
                </c:pt>
                <c:pt idx="29">
                  <c:v>2991.48</c:v>
                </c:pt>
                <c:pt idx="30">
                  <c:v>3024.97</c:v>
                </c:pt>
                <c:pt idx="31">
                  <c:v>3031.79</c:v>
                </c:pt>
                <c:pt idx="32">
                  <c:v>3009.79</c:v>
                </c:pt>
                <c:pt idx="33">
                  <c:v>2984.62</c:v>
                </c:pt>
                <c:pt idx="34">
                  <c:v>2919.69</c:v>
                </c:pt>
                <c:pt idx="35">
                  <c:v>2903.62</c:v>
                </c:pt>
                <c:pt idx="36">
                  <c:v>2815.94</c:v>
                </c:pt>
                <c:pt idx="37">
                  <c:v>2784.22</c:v>
                </c:pt>
                <c:pt idx="38">
                  <c:v>2755.88</c:v>
                </c:pt>
                <c:pt idx="39">
                  <c:v>2727.17</c:v>
                </c:pt>
                <c:pt idx="40">
                  <c:v>2734.55</c:v>
                </c:pt>
                <c:pt idx="41">
                  <c:v>2746.06</c:v>
                </c:pt>
                <c:pt idx="42">
                  <c:v>2770.3</c:v>
                </c:pt>
                <c:pt idx="43">
                  <c:v>2816.48</c:v>
                </c:pt>
                <c:pt idx="44">
                  <c:v>2863.26</c:v>
                </c:pt>
                <c:pt idx="45">
                  <c:v>2915.02</c:v>
                </c:pt>
                <c:pt idx="46">
                  <c:v>2918.5</c:v>
                </c:pt>
                <c:pt idx="47">
                  <c:v>2877.57</c:v>
                </c:pt>
                <c:pt idx="48">
                  <c:v>2824.06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18-AB4C-8A0A-6B0E2AB84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Relative Surface Angle [degrees]</a:t>
                </a:r>
              </a:p>
            </c:rich>
          </c:tx>
          <c:layout>
            <c:manualLayout>
              <c:xMode val="edge"/>
              <c:yMode val="edge"/>
              <c:x val="0.33838425892873036"/>
              <c:y val="0.894924754817805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</c:valAx>
      <c:valAx>
        <c:axId val="1791294527"/>
        <c:scaling>
          <c:orientation val="minMax"/>
          <c:max val="3550"/>
          <c:min val="2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2.9157658795603811E-2"/>
              <c:y val="0.1337271052204790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layout>
        <c:manualLayout>
          <c:xMode val="edge"/>
          <c:yMode val="edge"/>
          <c:x val="0.65291553443891037"/>
          <c:y val="0.15736424285258113"/>
          <c:w val="0.34708446556108957"/>
          <c:h val="0.26148910249819124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u="sng"/>
            </a:pPr>
            <a:r>
              <a:rPr lang="en-US" u="sng"/>
              <a:t>Fe-36Cr Alloy </a:t>
            </a:r>
          </a:p>
        </c:rich>
      </c:tx>
      <c:layout>
        <c:manualLayout>
          <c:xMode val="edge"/>
          <c:yMode val="edge"/>
          <c:x val="0.43990417099357082"/>
          <c:y val="2.36333283523457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90705845506367"/>
          <c:y val="0.13959753946852924"/>
          <c:w val="0.45555990617223929"/>
          <c:h val="0.65810123734533188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+ MD + Variance'!$E$10:$E$55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 + Variance'!$H$10:$H$55</c:f>
              <c:numCache>
                <c:formatCode>General</c:formatCode>
                <c:ptCount val="46"/>
                <c:pt idx="0">
                  <c:v>0.81208308815134733</c:v>
                </c:pt>
                <c:pt idx="1">
                  <c:v>0.79880241868339641</c:v>
                </c:pt>
                <c:pt idx="2">
                  <c:v>0.81288715781032017</c:v>
                </c:pt>
                <c:pt idx="3">
                  <c:v>0.80274580990808109</c:v>
                </c:pt>
                <c:pt idx="4">
                  <c:v>0.78833344360257396</c:v>
                </c:pt>
                <c:pt idx="5">
                  <c:v>0.7753787308455925</c:v>
                </c:pt>
                <c:pt idx="6">
                  <c:v>0.76328563353298751</c:v>
                </c:pt>
                <c:pt idx="7">
                  <c:v>0.75602396323244814</c:v>
                </c:pt>
                <c:pt idx="8">
                  <c:v>0.75339720261416065</c:v>
                </c:pt>
                <c:pt idx="9">
                  <c:v>0.75283581717582659</c:v>
                </c:pt>
                <c:pt idx="10">
                  <c:v>0.7510345591040346</c:v>
                </c:pt>
                <c:pt idx="11">
                  <c:v>0</c:v>
                </c:pt>
                <c:pt idx="12">
                  <c:v>0.76381627501594174</c:v>
                </c:pt>
                <c:pt idx="13">
                  <c:v>0.77117106657644641</c:v>
                </c:pt>
                <c:pt idx="14">
                  <c:v>0.78670781547166557</c:v>
                </c:pt>
                <c:pt idx="15">
                  <c:v>0.79952611765950754</c:v>
                </c:pt>
                <c:pt idx="16">
                  <c:v>0.81835961166292137</c:v>
                </c:pt>
                <c:pt idx="17">
                  <c:v>0.81070073512827157</c:v>
                </c:pt>
                <c:pt idx="18">
                  <c:v>0.82196860306136377</c:v>
                </c:pt>
                <c:pt idx="19">
                  <c:v>0.81060413593190039</c:v>
                </c:pt>
                <c:pt idx="20">
                  <c:v>0.76890814795013374</c:v>
                </c:pt>
                <c:pt idx="21">
                  <c:v>0.94298006939165357</c:v>
                </c:pt>
                <c:pt idx="22">
                  <c:v>0.74765931733315505</c:v>
                </c:pt>
                <c:pt idx="23">
                  <c:v>0.95562722425032232</c:v>
                </c:pt>
                <c:pt idx="24">
                  <c:v>0.96180076882165055</c:v>
                </c:pt>
                <c:pt idx="25">
                  <c:v>0.9775199350636693</c:v>
                </c:pt>
                <c:pt idx="26">
                  <c:v>0.98110683502217921</c:v>
                </c:pt>
                <c:pt idx="27">
                  <c:v>0.98049017963304852</c:v>
                </c:pt>
                <c:pt idx="28">
                  <c:v>0.81558160870570084</c:v>
                </c:pt>
                <c:pt idx="29">
                  <c:v>0.83362632538893566</c:v>
                </c:pt>
                <c:pt idx="30">
                  <c:v>0.84512529788010171</c:v>
                </c:pt>
                <c:pt idx="31">
                  <c:v>0.85322749769576267</c:v>
                </c:pt>
                <c:pt idx="32">
                  <c:v>0.85182985567538516</c:v>
                </c:pt>
                <c:pt idx="33">
                  <c:v>0.83816366266522979</c:v>
                </c:pt>
                <c:pt idx="34">
                  <c:v>0.82314454069798204</c:v>
                </c:pt>
                <c:pt idx="35">
                  <c:v>0.81029199434173993</c:v>
                </c:pt>
                <c:pt idx="36">
                  <c:v>0.79857124729547979</c:v>
                </c:pt>
                <c:pt idx="37">
                  <c:v>0.78870023975206127</c:v>
                </c:pt>
                <c:pt idx="38">
                  <c:v>0.7755846525265857</c:v>
                </c:pt>
                <c:pt idx="39">
                  <c:v>0.76783113908682588</c:v>
                </c:pt>
                <c:pt idx="40">
                  <c:v>0.76808299208344821</c:v>
                </c:pt>
                <c:pt idx="41">
                  <c:v>0.77165163440734463</c:v>
                </c:pt>
                <c:pt idx="42">
                  <c:v>0.77698155217879206</c:v>
                </c:pt>
                <c:pt idx="43">
                  <c:v>0.78574529726749487</c:v>
                </c:pt>
                <c:pt idx="44">
                  <c:v>0.79666655222056071</c:v>
                </c:pt>
                <c:pt idx="45">
                  <c:v>0.81139086408202243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24-8941-93DE-D8FE94FAF13D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'Fe36Cr Max + MD + Variance'!$E$56:$E$103</c:f>
              <c:numCache>
                <c:formatCode>0</c:formatCode>
                <c:ptCount val="48"/>
                <c:pt idx="0">
                  <c:v>-8</c:v>
                </c:pt>
                <c:pt idx="1">
                  <c:v>-4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52</c:v>
                </c:pt>
                <c:pt idx="16">
                  <c:v>56</c:v>
                </c:pt>
                <c:pt idx="17">
                  <c:v>60</c:v>
                </c:pt>
                <c:pt idx="18">
                  <c:v>64</c:v>
                </c:pt>
                <c:pt idx="19">
                  <c:v>68</c:v>
                </c:pt>
                <c:pt idx="20">
                  <c:v>72</c:v>
                </c:pt>
                <c:pt idx="21">
                  <c:v>76</c:v>
                </c:pt>
                <c:pt idx="22">
                  <c:v>80</c:v>
                </c:pt>
                <c:pt idx="23">
                  <c:v>84</c:v>
                </c:pt>
                <c:pt idx="24">
                  <c:v>88</c:v>
                </c:pt>
                <c:pt idx="25">
                  <c:v>92</c:v>
                </c:pt>
                <c:pt idx="26">
                  <c:v>96</c:v>
                </c:pt>
                <c:pt idx="27">
                  <c:v>100</c:v>
                </c:pt>
                <c:pt idx="28">
                  <c:v>104</c:v>
                </c:pt>
                <c:pt idx="29">
                  <c:v>108</c:v>
                </c:pt>
                <c:pt idx="30">
                  <c:v>112</c:v>
                </c:pt>
                <c:pt idx="31">
                  <c:v>116</c:v>
                </c:pt>
                <c:pt idx="32">
                  <c:v>120</c:v>
                </c:pt>
                <c:pt idx="33">
                  <c:v>124</c:v>
                </c:pt>
                <c:pt idx="34">
                  <c:v>128</c:v>
                </c:pt>
                <c:pt idx="35">
                  <c:v>132</c:v>
                </c:pt>
                <c:pt idx="36">
                  <c:v>136</c:v>
                </c:pt>
                <c:pt idx="37">
                  <c:v>140</c:v>
                </c:pt>
                <c:pt idx="38">
                  <c:v>144</c:v>
                </c:pt>
                <c:pt idx="39">
                  <c:v>148</c:v>
                </c:pt>
                <c:pt idx="40">
                  <c:v>152</c:v>
                </c:pt>
                <c:pt idx="41">
                  <c:v>156</c:v>
                </c:pt>
                <c:pt idx="42">
                  <c:v>160</c:v>
                </c:pt>
                <c:pt idx="43">
                  <c:v>164</c:v>
                </c:pt>
                <c:pt idx="44">
                  <c:v>168</c:v>
                </c:pt>
                <c:pt idx="45">
                  <c:v>172</c:v>
                </c:pt>
                <c:pt idx="46">
                  <c:v>176</c:v>
                </c:pt>
                <c:pt idx="47">
                  <c:v>180</c:v>
                </c:pt>
              </c:numCache>
            </c:numRef>
          </c:xVal>
          <c:yVal>
            <c:numRef>
              <c:f>'Fe36Cr Max + MD + Variance'!$H$56:$H$103</c:f>
              <c:numCache>
                <c:formatCode>General</c:formatCode>
                <c:ptCount val="48"/>
                <c:pt idx="0">
                  <c:v>0.79152708975526354</c:v>
                </c:pt>
                <c:pt idx="1">
                  <c:v>0.80621573230192611</c:v>
                </c:pt>
                <c:pt idx="2">
                  <c:v>0.81383433438868791</c:v>
                </c:pt>
                <c:pt idx="3">
                  <c:v>0.82457166247587865</c:v>
                </c:pt>
                <c:pt idx="4">
                  <c:v>0.81698647531054991</c:v>
                </c:pt>
                <c:pt idx="5">
                  <c:v>0.80989137365957431</c:v>
                </c:pt>
                <c:pt idx="6">
                  <c:v>0.79578192308442008</c:v>
                </c:pt>
                <c:pt idx="7">
                  <c:v>0.78443477268107409</c:v>
                </c:pt>
                <c:pt idx="8">
                  <c:v>0.77097969765065255</c:v>
                </c:pt>
                <c:pt idx="9">
                  <c:v>0.76517942420521223</c:v>
                </c:pt>
                <c:pt idx="10">
                  <c:v>0.75983582135269168</c:v>
                </c:pt>
                <c:pt idx="11">
                  <c:v>0.75393808771973791</c:v>
                </c:pt>
                <c:pt idx="12">
                  <c:v>0.76000568053664364</c:v>
                </c:pt>
                <c:pt idx="13">
                  <c:v>0.76149821369399162</c:v>
                </c:pt>
                <c:pt idx="14">
                  <c:v>0.77379212020461063</c:v>
                </c:pt>
                <c:pt idx="15">
                  <c:v>0.78664572664923527</c:v>
                </c:pt>
                <c:pt idx="16">
                  <c:v>0.79936567340812703</c:v>
                </c:pt>
                <c:pt idx="17">
                  <c:v>0.81178488587412045</c:v>
                </c:pt>
                <c:pt idx="18">
                  <c:v>0.82425422072226351</c:v>
                </c:pt>
                <c:pt idx="19">
                  <c:v>0.82869840527287464</c:v>
                </c:pt>
                <c:pt idx="20">
                  <c:v>0.82417346799546676</c:v>
                </c:pt>
                <c:pt idx="21">
                  <c:v>0.81146465954371916</c:v>
                </c:pt>
                <c:pt idx="22">
                  <c:v>0.79868066751874711</c:v>
                </c:pt>
                <c:pt idx="23">
                  <c:v>0.78051408856624915</c:v>
                </c:pt>
                <c:pt idx="24">
                  <c:v>0.96744829737052407</c:v>
                </c:pt>
                <c:pt idx="25">
                  <c:v>0.97784869166659705</c:v>
                </c:pt>
                <c:pt idx="26">
                  <c:v>0.98965808181643522</c:v>
                </c:pt>
                <c:pt idx="27">
                  <c:v>1</c:v>
                </c:pt>
                <c:pt idx="28">
                  <c:v>0.97484413331439812</c:v>
                </c:pt>
                <c:pt idx="29">
                  <c:v>0.8028491789675346</c:v>
                </c:pt>
                <c:pt idx="30">
                  <c:v>0.81816992044464121</c:v>
                </c:pt>
                <c:pt idx="31">
                  <c:v>0.82295939251672834</c:v>
                </c:pt>
                <c:pt idx="32">
                  <c:v>0.85232553930290911</c:v>
                </c:pt>
                <c:pt idx="33">
                  <c:v>0.85519922254616121</c:v>
                </c:pt>
                <c:pt idx="34">
                  <c:v>0.85223921742254005</c:v>
                </c:pt>
                <c:pt idx="35">
                  <c:v>0.84143784406926914</c:v>
                </c:pt>
                <c:pt idx="36">
                  <c:v>0.82770431136023792</c:v>
                </c:pt>
                <c:pt idx="37">
                  <c:v>0.81317160511359676</c:v>
                </c:pt>
                <c:pt idx="38">
                  <c:v>0.80121463239409552</c:v>
                </c:pt>
                <c:pt idx="39">
                  <c:v>0.78827748864588809</c:v>
                </c:pt>
                <c:pt idx="40">
                  <c:v>0.77913850763391734</c:v>
                </c:pt>
                <c:pt idx="41">
                  <c:v>0.77518162402087321</c:v>
                </c:pt>
                <c:pt idx="42">
                  <c:v>0.7751871931744454</c:v>
                </c:pt>
                <c:pt idx="43">
                  <c:v>0.77568563241915678</c:v>
                </c:pt>
                <c:pt idx="44">
                  <c:v>0.78463804678645921</c:v>
                </c:pt>
                <c:pt idx="45">
                  <c:v>0.79595735142194413</c:v>
                </c:pt>
                <c:pt idx="46">
                  <c:v>0.80778344903249877</c:v>
                </c:pt>
                <c:pt idx="47">
                  <c:v>0.81757680558920254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24-8941-93DE-D8FE94FAF13D}"/>
            </c:ext>
          </c:extLst>
        </c:ser>
        <c:ser>
          <c:idx val="2"/>
          <c:order val="2"/>
          <c:tx>
            <c:v>500C 10hr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 + Variance'!$C$104:$C$137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 + Variance'!$H$104:$H$137</c:f>
              <c:numCache>
                <c:formatCode>General</c:formatCode>
                <c:ptCount val="34"/>
                <c:pt idx="0">
                  <c:v>0.80012864744751766</c:v>
                </c:pt>
                <c:pt idx="1">
                  <c:v>0.82050339579139064</c:v>
                </c:pt>
                <c:pt idx="2">
                  <c:v>0.82638163738684178</c:v>
                </c:pt>
                <c:pt idx="3">
                  <c:v>0.8245326784008733</c:v>
                </c:pt>
                <c:pt idx="4">
                  <c:v>0.81039816663464403</c:v>
                </c:pt>
                <c:pt idx="5">
                  <c:v>0.80186622336204239</c:v>
                </c:pt>
                <c:pt idx="6">
                  <c:v>0.79010138644078176</c:v>
                </c:pt>
                <c:pt idx="7">
                  <c:v>0.77441864998148258</c:v>
                </c:pt>
                <c:pt idx="8">
                  <c:v>0.77022786191840642</c:v>
                </c:pt>
                <c:pt idx="9">
                  <c:v>0.76838168750922398</c:v>
                </c:pt>
                <c:pt idx="10">
                  <c:v>0.76779414180735739</c:v>
                </c:pt>
                <c:pt idx="11">
                  <c:v>0.77510644044764865</c:v>
                </c:pt>
                <c:pt idx="12">
                  <c:v>0.78090392931630281</c:v>
                </c:pt>
                <c:pt idx="13">
                  <c:v>0.7915187360249053</c:v>
                </c:pt>
                <c:pt idx="14">
                  <c:v>0.79202552899997491</c:v>
                </c:pt>
                <c:pt idx="15">
                  <c:v>0.81349740059757014</c:v>
                </c:pt>
                <c:pt idx="16">
                  <c:v>0.82753166759949992</c:v>
                </c:pt>
                <c:pt idx="17">
                  <c:v>0.83144678256075255</c:v>
                </c:pt>
                <c:pt idx="18">
                  <c:v>0.82897964752827036</c:v>
                </c:pt>
                <c:pt idx="19">
                  <c:v>0.81725657925880135</c:v>
                </c:pt>
                <c:pt idx="20">
                  <c:v>0.80272108843537404</c:v>
                </c:pt>
                <c:pt idx="21">
                  <c:v>0.9511835843629306</c:v>
                </c:pt>
                <c:pt idx="22">
                  <c:v>0.95925328788904018</c:v>
                </c:pt>
                <c:pt idx="23">
                  <c:v>0.96419591168436269</c:v>
                </c:pt>
                <c:pt idx="24">
                  <c:v>0.97551521631984772</c:v>
                </c:pt>
                <c:pt idx="25">
                  <c:v>0.97549850885913103</c:v>
                </c:pt>
                <c:pt idx="26">
                  <c:v>0.98157167082960906</c:v>
                </c:pt>
                <c:pt idx="27">
                  <c:v>0.9932557550240726</c:v>
                </c:pt>
                <c:pt idx="28">
                  <c:v>0.81031741390784717</c:v>
                </c:pt>
                <c:pt idx="29">
                  <c:v>0.83074785378744209</c:v>
                </c:pt>
                <c:pt idx="30">
                  <c:v>0.8328112251859402</c:v>
                </c:pt>
                <c:pt idx="31">
                  <c:v>0.84972474458469427</c:v>
                </c:pt>
                <c:pt idx="32">
                  <c:v>0.85557514041228444</c:v>
                </c:pt>
                <c:pt idx="33">
                  <c:v>0.85600396523734346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24-8941-93DE-D8FE94FAF13D}"/>
            </c:ext>
          </c:extLst>
        </c:ser>
        <c:ser>
          <c:idx val="4"/>
          <c:order val="3"/>
          <c:tx>
            <c:v>Re-homogenization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 + Variance'!$E$187:$E$235</c:f>
              <c:numCache>
                <c:formatCode>General</c:formatCode>
                <c:ptCount val="49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40</c:v>
                </c:pt>
                <c:pt idx="10">
                  <c:v>44</c:v>
                </c:pt>
                <c:pt idx="11">
                  <c:v>48</c:v>
                </c:pt>
                <c:pt idx="12">
                  <c:v>52</c:v>
                </c:pt>
                <c:pt idx="13">
                  <c:v>56</c:v>
                </c:pt>
                <c:pt idx="14">
                  <c:v>60</c:v>
                </c:pt>
                <c:pt idx="15">
                  <c:v>64</c:v>
                </c:pt>
                <c:pt idx="16">
                  <c:v>68</c:v>
                </c:pt>
                <c:pt idx="17">
                  <c:v>72</c:v>
                </c:pt>
                <c:pt idx="18">
                  <c:v>76</c:v>
                </c:pt>
                <c:pt idx="19">
                  <c:v>80</c:v>
                </c:pt>
                <c:pt idx="20">
                  <c:v>84</c:v>
                </c:pt>
                <c:pt idx="21">
                  <c:v>88</c:v>
                </c:pt>
                <c:pt idx="22">
                  <c:v>92</c:v>
                </c:pt>
                <c:pt idx="23">
                  <c:v>96</c:v>
                </c:pt>
                <c:pt idx="24">
                  <c:v>100</c:v>
                </c:pt>
                <c:pt idx="25">
                  <c:v>104</c:v>
                </c:pt>
                <c:pt idx="26">
                  <c:v>108</c:v>
                </c:pt>
                <c:pt idx="27">
                  <c:v>112</c:v>
                </c:pt>
                <c:pt idx="28">
                  <c:v>116</c:v>
                </c:pt>
                <c:pt idx="29">
                  <c:v>120</c:v>
                </c:pt>
                <c:pt idx="30">
                  <c:v>124</c:v>
                </c:pt>
                <c:pt idx="31">
                  <c:v>128</c:v>
                </c:pt>
                <c:pt idx="32">
                  <c:v>132</c:v>
                </c:pt>
                <c:pt idx="33">
                  <c:v>136</c:v>
                </c:pt>
                <c:pt idx="34">
                  <c:v>140</c:v>
                </c:pt>
                <c:pt idx="35">
                  <c:v>144</c:v>
                </c:pt>
                <c:pt idx="36">
                  <c:v>148</c:v>
                </c:pt>
                <c:pt idx="37">
                  <c:v>152</c:v>
                </c:pt>
                <c:pt idx="38">
                  <c:v>156</c:v>
                </c:pt>
                <c:pt idx="39">
                  <c:v>160</c:v>
                </c:pt>
                <c:pt idx="40">
                  <c:v>164</c:v>
                </c:pt>
                <c:pt idx="41">
                  <c:v>168</c:v>
                </c:pt>
                <c:pt idx="42">
                  <c:v>172</c:v>
                </c:pt>
                <c:pt idx="43">
                  <c:v>176</c:v>
                </c:pt>
                <c:pt idx="44">
                  <c:v>180</c:v>
                </c:pt>
                <c:pt idx="45">
                  <c:v>184</c:v>
                </c:pt>
                <c:pt idx="46">
                  <c:v>188</c:v>
                </c:pt>
                <c:pt idx="47">
                  <c:v>192</c:v>
                </c:pt>
                <c:pt idx="48">
                  <c:v>196</c:v>
                </c:pt>
              </c:numCache>
            </c:numRef>
          </c:xVal>
          <c:yVal>
            <c:numRef>
              <c:f>'Fe36Cr Max + MD + Variance'!$H$187:$H$235</c:f>
              <c:numCache>
                <c:formatCode>General</c:formatCode>
                <c:ptCount val="49"/>
                <c:pt idx="0">
                  <c:v>0.8110441884490186</c:v>
                </c:pt>
                <c:pt idx="1">
                  <c:v>0.81268987332960196</c:v>
                </c:pt>
                <c:pt idx="2">
                  <c:v>0.80303017645863095</c:v>
                </c:pt>
                <c:pt idx="3">
                  <c:v>0.78895692538169582</c:v>
                </c:pt>
                <c:pt idx="4">
                  <c:v>0.77476950665653088</c:v>
                </c:pt>
                <c:pt idx="5">
                  <c:v>0.76290999412454297</c:v>
                </c:pt>
                <c:pt idx="6">
                  <c:v>0.75345914051252916</c:v>
                </c:pt>
                <c:pt idx="7">
                  <c:v>0.74474341517204512</c:v>
                </c:pt>
                <c:pt idx="8">
                  <c:v>0.7377123587871498</c:v>
                </c:pt>
                <c:pt idx="9">
                  <c:v>0.74293622483786803</c:v>
                </c:pt>
                <c:pt idx="10">
                  <c:v>0.74452343360594331</c:v>
                </c:pt>
                <c:pt idx="11">
                  <c:v>0.75274071970171608</c:v>
                </c:pt>
                <c:pt idx="12">
                  <c:v>0.76257584491021135</c:v>
                </c:pt>
                <c:pt idx="13">
                  <c:v>0.7559596904664444</c:v>
                </c:pt>
                <c:pt idx="14">
                  <c:v>0.77889068029995456</c:v>
                </c:pt>
                <c:pt idx="15">
                  <c:v>0.80039039766541076</c:v>
                </c:pt>
                <c:pt idx="16">
                  <c:v>0.81171527145446798</c:v>
                </c:pt>
                <c:pt idx="17">
                  <c:v>0.81819776621250218</c:v>
                </c:pt>
                <c:pt idx="18">
                  <c:v>0.80693972226631128</c:v>
                </c:pt>
                <c:pt idx="19">
                  <c:v>0.77294003970806491</c:v>
                </c:pt>
                <c:pt idx="20">
                  <c:v>0.92608897836662296</c:v>
                </c:pt>
                <c:pt idx="21">
                  <c:v>0.92793236819901925</c:v>
                </c:pt>
                <c:pt idx="22">
                  <c:v>0.89455364626407263</c:v>
                </c:pt>
                <c:pt idx="23">
                  <c:v>0.94712924056237313</c:v>
                </c:pt>
                <c:pt idx="24">
                  <c:v>0.96449943055404719</c:v>
                </c:pt>
                <c:pt idx="25">
                  <c:v>0.96971215829762114</c:v>
                </c:pt>
                <c:pt idx="26">
                  <c:v>0.99175208355958022</c:v>
                </c:pt>
                <c:pt idx="27">
                  <c:v>0.98613280760523603</c:v>
                </c:pt>
                <c:pt idx="28">
                  <c:v>0.81695027581233071</c:v>
                </c:pt>
                <c:pt idx="29">
                  <c:v>0.83300057640739467</c:v>
                </c:pt>
                <c:pt idx="30">
                  <c:v>0.84232612406403407</c:v>
                </c:pt>
                <c:pt idx="31">
                  <c:v>0.8442252054321524</c:v>
                </c:pt>
                <c:pt idx="32">
                  <c:v>0.8380991365027386</c:v>
                </c:pt>
                <c:pt idx="33">
                  <c:v>0.83109035673213205</c:v>
                </c:pt>
                <c:pt idx="34">
                  <c:v>0.81301009966000315</c:v>
                </c:pt>
                <c:pt idx="35">
                  <c:v>0.80853528476474501</c:v>
                </c:pt>
                <c:pt idx="36">
                  <c:v>0.7841201155042451</c:v>
                </c:pt>
                <c:pt idx="37">
                  <c:v>0.77528743793874477</c:v>
                </c:pt>
                <c:pt idx="38">
                  <c:v>0.76739594732694549</c:v>
                </c:pt>
                <c:pt idx="39">
                  <c:v>0.75940142737406058</c:v>
                </c:pt>
                <c:pt idx="40">
                  <c:v>0.76145644504220034</c:v>
                </c:pt>
                <c:pt idx="41">
                  <c:v>0.76466149292299812</c:v>
                </c:pt>
                <c:pt idx="42">
                  <c:v>0.77141130705249772</c:v>
                </c:pt>
                <c:pt idx="43">
                  <c:v>0.78427048265069432</c:v>
                </c:pt>
                <c:pt idx="44">
                  <c:v>0.79729673285605696</c:v>
                </c:pt>
                <c:pt idx="45">
                  <c:v>0.81170970230089579</c:v>
                </c:pt>
                <c:pt idx="46">
                  <c:v>0.81267873502245758</c:v>
                </c:pt>
                <c:pt idx="47">
                  <c:v>0.80128146223696195</c:v>
                </c:pt>
                <c:pt idx="48">
                  <c:v>0.78638119185455602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24-8941-93DE-D8FE94FAF13D}"/>
            </c:ext>
          </c:extLst>
        </c:ser>
        <c:ser>
          <c:idx val="3"/>
          <c:order val="4"/>
          <c:tx>
            <c:strRef>
              <c:f>'Fe36Cr Max + MD + Variance'!$A$286</c:f>
              <c:strCache>
                <c:ptCount val="1"/>
                <c:pt idx="0">
                  <c:v>Random Solid Solution SAW</c:v>
                </c:pt>
              </c:strCache>
            </c:strRef>
          </c:tx>
          <c:spPr>
            <a:ln w="19050">
              <a:noFill/>
            </a:ln>
          </c:spPr>
          <c:xVal>
            <c:numRef>
              <c:f>'Fe36Cr Max + MD + Variance'!$C$286:$C$647</c:f>
              <c:numCache>
                <c:formatCode>General</c:formatCode>
                <c:ptCount val="36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0</c:v>
                </c:pt>
                <c:pt idx="182">
                  <c:v>1</c:v>
                </c:pt>
                <c:pt idx="183">
                  <c:v>2</c:v>
                </c:pt>
                <c:pt idx="184">
                  <c:v>3</c:v>
                </c:pt>
                <c:pt idx="185">
                  <c:v>4</c:v>
                </c:pt>
                <c:pt idx="186">
                  <c:v>5</c:v>
                </c:pt>
                <c:pt idx="187">
                  <c:v>6</c:v>
                </c:pt>
                <c:pt idx="188">
                  <c:v>7</c:v>
                </c:pt>
                <c:pt idx="189">
                  <c:v>8</c:v>
                </c:pt>
                <c:pt idx="190">
                  <c:v>9</c:v>
                </c:pt>
                <c:pt idx="191">
                  <c:v>10</c:v>
                </c:pt>
                <c:pt idx="192">
                  <c:v>11</c:v>
                </c:pt>
                <c:pt idx="193">
                  <c:v>12</c:v>
                </c:pt>
                <c:pt idx="194">
                  <c:v>13</c:v>
                </c:pt>
                <c:pt idx="195">
                  <c:v>14</c:v>
                </c:pt>
                <c:pt idx="196">
                  <c:v>15</c:v>
                </c:pt>
                <c:pt idx="197">
                  <c:v>16</c:v>
                </c:pt>
                <c:pt idx="198">
                  <c:v>17</c:v>
                </c:pt>
                <c:pt idx="199">
                  <c:v>18</c:v>
                </c:pt>
                <c:pt idx="200">
                  <c:v>19</c:v>
                </c:pt>
                <c:pt idx="201">
                  <c:v>20</c:v>
                </c:pt>
                <c:pt idx="202">
                  <c:v>21</c:v>
                </c:pt>
                <c:pt idx="203">
                  <c:v>22</c:v>
                </c:pt>
                <c:pt idx="204">
                  <c:v>23</c:v>
                </c:pt>
                <c:pt idx="205">
                  <c:v>24</c:v>
                </c:pt>
                <c:pt idx="206">
                  <c:v>25</c:v>
                </c:pt>
                <c:pt idx="207">
                  <c:v>26</c:v>
                </c:pt>
                <c:pt idx="208">
                  <c:v>27</c:v>
                </c:pt>
                <c:pt idx="209">
                  <c:v>28</c:v>
                </c:pt>
                <c:pt idx="210">
                  <c:v>29</c:v>
                </c:pt>
                <c:pt idx="211">
                  <c:v>30</c:v>
                </c:pt>
                <c:pt idx="212">
                  <c:v>31</c:v>
                </c:pt>
                <c:pt idx="213">
                  <c:v>32</c:v>
                </c:pt>
                <c:pt idx="214">
                  <c:v>33</c:v>
                </c:pt>
                <c:pt idx="215">
                  <c:v>34</c:v>
                </c:pt>
                <c:pt idx="216">
                  <c:v>35</c:v>
                </c:pt>
                <c:pt idx="217">
                  <c:v>36</c:v>
                </c:pt>
                <c:pt idx="218">
                  <c:v>37</c:v>
                </c:pt>
                <c:pt idx="219">
                  <c:v>38</c:v>
                </c:pt>
                <c:pt idx="220">
                  <c:v>39</c:v>
                </c:pt>
                <c:pt idx="221">
                  <c:v>40</c:v>
                </c:pt>
                <c:pt idx="222">
                  <c:v>41</c:v>
                </c:pt>
                <c:pt idx="223">
                  <c:v>42</c:v>
                </c:pt>
                <c:pt idx="224">
                  <c:v>43</c:v>
                </c:pt>
                <c:pt idx="225">
                  <c:v>44</c:v>
                </c:pt>
                <c:pt idx="226">
                  <c:v>45</c:v>
                </c:pt>
                <c:pt idx="227">
                  <c:v>46</c:v>
                </c:pt>
                <c:pt idx="228">
                  <c:v>47</c:v>
                </c:pt>
                <c:pt idx="229">
                  <c:v>48</c:v>
                </c:pt>
                <c:pt idx="230">
                  <c:v>49</c:v>
                </c:pt>
                <c:pt idx="231">
                  <c:v>50</c:v>
                </c:pt>
                <c:pt idx="232">
                  <c:v>51</c:v>
                </c:pt>
                <c:pt idx="233">
                  <c:v>52</c:v>
                </c:pt>
                <c:pt idx="234">
                  <c:v>53</c:v>
                </c:pt>
                <c:pt idx="235">
                  <c:v>54</c:v>
                </c:pt>
                <c:pt idx="236">
                  <c:v>55</c:v>
                </c:pt>
                <c:pt idx="237">
                  <c:v>56</c:v>
                </c:pt>
                <c:pt idx="238">
                  <c:v>57</c:v>
                </c:pt>
                <c:pt idx="239">
                  <c:v>58</c:v>
                </c:pt>
                <c:pt idx="240">
                  <c:v>59</c:v>
                </c:pt>
                <c:pt idx="241">
                  <c:v>60</c:v>
                </c:pt>
                <c:pt idx="242">
                  <c:v>61</c:v>
                </c:pt>
                <c:pt idx="243">
                  <c:v>62</c:v>
                </c:pt>
                <c:pt idx="244">
                  <c:v>63</c:v>
                </c:pt>
                <c:pt idx="245">
                  <c:v>64</c:v>
                </c:pt>
                <c:pt idx="246">
                  <c:v>65</c:v>
                </c:pt>
                <c:pt idx="247">
                  <c:v>66</c:v>
                </c:pt>
                <c:pt idx="248">
                  <c:v>67</c:v>
                </c:pt>
                <c:pt idx="249">
                  <c:v>68</c:v>
                </c:pt>
                <c:pt idx="250">
                  <c:v>69</c:v>
                </c:pt>
                <c:pt idx="251">
                  <c:v>70</c:v>
                </c:pt>
                <c:pt idx="252">
                  <c:v>71</c:v>
                </c:pt>
                <c:pt idx="253">
                  <c:v>72</c:v>
                </c:pt>
                <c:pt idx="254">
                  <c:v>73</c:v>
                </c:pt>
                <c:pt idx="255">
                  <c:v>74</c:v>
                </c:pt>
                <c:pt idx="256">
                  <c:v>75</c:v>
                </c:pt>
                <c:pt idx="257">
                  <c:v>76</c:v>
                </c:pt>
                <c:pt idx="258">
                  <c:v>77</c:v>
                </c:pt>
                <c:pt idx="259">
                  <c:v>78</c:v>
                </c:pt>
                <c:pt idx="260">
                  <c:v>79</c:v>
                </c:pt>
                <c:pt idx="261">
                  <c:v>80</c:v>
                </c:pt>
                <c:pt idx="262">
                  <c:v>81</c:v>
                </c:pt>
                <c:pt idx="263">
                  <c:v>82</c:v>
                </c:pt>
                <c:pt idx="264">
                  <c:v>83</c:v>
                </c:pt>
                <c:pt idx="265">
                  <c:v>84</c:v>
                </c:pt>
                <c:pt idx="266">
                  <c:v>85</c:v>
                </c:pt>
                <c:pt idx="267">
                  <c:v>86</c:v>
                </c:pt>
                <c:pt idx="268">
                  <c:v>87</c:v>
                </c:pt>
                <c:pt idx="269">
                  <c:v>88</c:v>
                </c:pt>
                <c:pt idx="270">
                  <c:v>89</c:v>
                </c:pt>
                <c:pt idx="271">
                  <c:v>90</c:v>
                </c:pt>
                <c:pt idx="272">
                  <c:v>91</c:v>
                </c:pt>
                <c:pt idx="273">
                  <c:v>92</c:v>
                </c:pt>
                <c:pt idx="274">
                  <c:v>93</c:v>
                </c:pt>
                <c:pt idx="275">
                  <c:v>94</c:v>
                </c:pt>
                <c:pt idx="276">
                  <c:v>95</c:v>
                </c:pt>
                <c:pt idx="277">
                  <c:v>96</c:v>
                </c:pt>
                <c:pt idx="278">
                  <c:v>97</c:v>
                </c:pt>
                <c:pt idx="279">
                  <c:v>98</c:v>
                </c:pt>
                <c:pt idx="280">
                  <c:v>99</c:v>
                </c:pt>
                <c:pt idx="281">
                  <c:v>100</c:v>
                </c:pt>
                <c:pt idx="282">
                  <c:v>101</c:v>
                </c:pt>
                <c:pt idx="283">
                  <c:v>102</c:v>
                </c:pt>
                <c:pt idx="284">
                  <c:v>103</c:v>
                </c:pt>
                <c:pt idx="285">
                  <c:v>104</c:v>
                </c:pt>
                <c:pt idx="286">
                  <c:v>105</c:v>
                </c:pt>
                <c:pt idx="287">
                  <c:v>106</c:v>
                </c:pt>
                <c:pt idx="288">
                  <c:v>107</c:v>
                </c:pt>
                <c:pt idx="289">
                  <c:v>108</c:v>
                </c:pt>
                <c:pt idx="290">
                  <c:v>109</c:v>
                </c:pt>
                <c:pt idx="291">
                  <c:v>110</c:v>
                </c:pt>
                <c:pt idx="292">
                  <c:v>111</c:v>
                </c:pt>
                <c:pt idx="293">
                  <c:v>112</c:v>
                </c:pt>
                <c:pt idx="294">
                  <c:v>113</c:v>
                </c:pt>
                <c:pt idx="295">
                  <c:v>114</c:v>
                </c:pt>
                <c:pt idx="296">
                  <c:v>115</c:v>
                </c:pt>
                <c:pt idx="297">
                  <c:v>116</c:v>
                </c:pt>
                <c:pt idx="298">
                  <c:v>117</c:v>
                </c:pt>
                <c:pt idx="299">
                  <c:v>118</c:v>
                </c:pt>
                <c:pt idx="300">
                  <c:v>119</c:v>
                </c:pt>
                <c:pt idx="301">
                  <c:v>120</c:v>
                </c:pt>
                <c:pt idx="302">
                  <c:v>121</c:v>
                </c:pt>
                <c:pt idx="303">
                  <c:v>122</c:v>
                </c:pt>
                <c:pt idx="304">
                  <c:v>123</c:v>
                </c:pt>
                <c:pt idx="305">
                  <c:v>124</c:v>
                </c:pt>
                <c:pt idx="306">
                  <c:v>125</c:v>
                </c:pt>
                <c:pt idx="307">
                  <c:v>126</c:v>
                </c:pt>
                <c:pt idx="308">
                  <c:v>127</c:v>
                </c:pt>
                <c:pt idx="309">
                  <c:v>128</c:v>
                </c:pt>
                <c:pt idx="310">
                  <c:v>129</c:v>
                </c:pt>
                <c:pt idx="311">
                  <c:v>130</c:v>
                </c:pt>
                <c:pt idx="312">
                  <c:v>131</c:v>
                </c:pt>
                <c:pt idx="313">
                  <c:v>132</c:v>
                </c:pt>
                <c:pt idx="314">
                  <c:v>133</c:v>
                </c:pt>
                <c:pt idx="315">
                  <c:v>134</c:v>
                </c:pt>
                <c:pt idx="316">
                  <c:v>135</c:v>
                </c:pt>
                <c:pt idx="317">
                  <c:v>136</c:v>
                </c:pt>
                <c:pt idx="318">
                  <c:v>137</c:v>
                </c:pt>
                <c:pt idx="319">
                  <c:v>138</c:v>
                </c:pt>
                <c:pt idx="320">
                  <c:v>139</c:v>
                </c:pt>
                <c:pt idx="321">
                  <c:v>140</c:v>
                </c:pt>
                <c:pt idx="322">
                  <c:v>141</c:v>
                </c:pt>
                <c:pt idx="323">
                  <c:v>142</c:v>
                </c:pt>
                <c:pt idx="324">
                  <c:v>143</c:v>
                </c:pt>
                <c:pt idx="325">
                  <c:v>144</c:v>
                </c:pt>
                <c:pt idx="326">
                  <c:v>145</c:v>
                </c:pt>
                <c:pt idx="327">
                  <c:v>146</c:v>
                </c:pt>
                <c:pt idx="328">
                  <c:v>147</c:v>
                </c:pt>
                <c:pt idx="329">
                  <c:v>148</c:v>
                </c:pt>
                <c:pt idx="330">
                  <c:v>149</c:v>
                </c:pt>
                <c:pt idx="331">
                  <c:v>150</c:v>
                </c:pt>
                <c:pt idx="332">
                  <c:v>151</c:v>
                </c:pt>
                <c:pt idx="333">
                  <c:v>152</c:v>
                </c:pt>
                <c:pt idx="334">
                  <c:v>153</c:v>
                </c:pt>
                <c:pt idx="335">
                  <c:v>154</c:v>
                </c:pt>
                <c:pt idx="336">
                  <c:v>155</c:v>
                </c:pt>
                <c:pt idx="337">
                  <c:v>156</c:v>
                </c:pt>
                <c:pt idx="338">
                  <c:v>157</c:v>
                </c:pt>
                <c:pt idx="339">
                  <c:v>158</c:v>
                </c:pt>
                <c:pt idx="340">
                  <c:v>159</c:v>
                </c:pt>
                <c:pt idx="341">
                  <c:v>160</c:v>
                </c:pt>
                <c:pt idx="342">
                  <c:v>161</c:v>
                </c:pt>
                <c:pt idx="343">
                  <c:v>162</c:v>
                </c:pt>
                <c:pt idx="344">
                  <c:v>163</c:v>
                </c:pt>
                <c:pt idx="345">
                  <c:v>164</c:v>
                </c:pt>
                <c:pt idx="346">
                  <c:v>165</c:v>
                </c:pt>
                <c:pt idx="347">
                  <c:v>166</c:v>
                </c:pt>
                <c:pt idx="348">
                  <c:v>167</c:v>
                </c:pt>
                <c:pt idx="349">
                  <c:v>168</c:v>
                </c:pt>
                <c:pt idx="350">
                  <c:v>169</c:v>
                </c:pt>
                <c:pt idx="351">
                  <c:v>170</c:v>
                </c:pt>
                <c:pt idx="352">
                  <c:v>171</c:v>
                </c:pt>
                <c:pt idx="353">
                  <c:v>172</c:v>
                </c:pt>
                <c:pt idx="354">
                  <c:v>173</c:v>
                </c:pt>
                <c:pt idx="355">
                  <c:v>174</c:v>
                </c:pt>
                <c:pt idx="356">
                  <c:v>175</c:v>
                </c:pt>
                <c:pt idx="357">
                  <c:v>176</c:v>
                </c:pt>
                <c:pt idx="358">
                  <c:v>177</c:v>
                </c:pt>
                <c:pt idx="359">
                  <c:v>178</c:v>
                </c:pt>
                <c:pt idx="360">
                  <c:v>179</c:v>
                </c:pt>
                <c:pt idx="361">
                  <c:v>180</c:v>
                </c:pt>
              </c:numCache>
            </c:numRef>
          </c:xVal>
          <c:yVal>
            <c:numRef>
              <c:f>'Fe36Cr Max + MD + Variance'!$H$286:$H$647</c:f>
              <c:numCache>
                <c:formatCode>General</c:formatCode>
                <c:ptCount val="362"/>
                <c:pt idx="0">
                  <c:v>0.78127286027798271</c:v>
                </c:pt>
                <c:pt idx="1">
                  <c:v>0.7784256559766789</c:v>
                </c:pt>
                <c:pt idx="2">
                  <c:v>0.77503628447024853</c:v>
                </c:pt>
                <c:pt idx="3">
                  <c:v>0.77167630057803682</c:v>
                </c:pt>
                <c:pt idx="4">
                  <c:v>0.76889848812095141</c:v>
                </c:pt>
                <c:pt idx="5">
                  <c:v>0.76559139784946262</c:v>
                </c:pt>
                <c:pt idx="6">
                  <c:v>0.7628571428571439</c:v>
                </c:pt>
                <c:pt idx="7">
                  <c:v>0.75960170697012974</c:v>
                </c:pt>
                <c:pt idx="8">
                  <c:v>0.7569099929128299</c:v>
                </c:pt>
                <c:pt idx="9">
                  <c:v>0.75423728813559465</c:v>
                </c:pt>
                <c:pt idx="10">
                  <c:v>0.75211267605634025</c:v>
                </c:pt>
                <c:pt idx="11">
                  <c:v>0.7494736842105264</c:v>
                </c:pt>
                <c:pt idx="12">
                  <c:v>0.74737578726382192</c:v>
                </c:pt>
                <c:pt idx="13">
                  <c:v>0.74528960223307739</c:v>
                </c:pt>
                <c:pt idx="14">
                  <c:v>0.74373259052924923</c:v>
                </c:pt>
                <c:pt idx="15">
                  <c:v>0.74218207088255916</c:v>
                </c:pt>
                <c:pt idx="16">
                  <c:v>0.74063800277392688</c:v>
                </c:pt>
                <c:pt idx="17">
                  <c:v>0.7396121883656519</c:v>
                </c:pt>
                <c:pt idx="18">
                  <c:v>0.73858921161825697</c:v>
                </c:pt>
                <c:pt idx="19">
                  <c:v>0.73756906077348028</c:v>
                </c:pt>
                <c:pt idx="20">
                  <c:v>0.73706004140786918</c:v>
                </c:pt>
                <c:pt idx="21">
                  <c:v>0.73706004140786918</c:v>
                </c:pt>
                <c:pt idx="22">
                  <c:v>0.73706004140786918</c:v>
                </c:pt>
                <c:pt idx="23">
                  <c:v>0.73706004140786918</c:v>
                </c:pt>
                <c:pt idx="24">
                  <c:v>0.73756906077348028</c:v>
                </c:pt>
                <c:pt idx="25">
                  <c:v>0.7380787836903957</c:v>
                </c:pt>
                <c:pt idx="26">
                  <c:v>0.73858921161825697</c:v>
                </c:pt>
                <c:pt idx="27">
                  <c:v>0.7396121883656519</c:v>
                </c:pt>
                <c:pt idx="28">
                  <c:v>0.74115197779319963</c:v>
                </c:pt>
                <c:pt idx="29">
                  <c:v>0.74269819193324182</c:v>
                </c:pt>
                <c:pt idx="30">
                  <c:v>0.74425087108013965</c:v>
                </c:pt>
                <c:pt idx="31">
                  <c:v>0.74581005586592275</c:v>
                </c:pt>
                <c:pt idx="32">
                  <c:v>0.74789915966386566</c:v>
                </c:pt>
                <c:pt idx="33">
                  <c:v>0.75000000000000233</c:v>
                </c:pt>
                <c:pt idx="34">
                  <c:v>0.75264270613108053</c:v>
                </c:pt>
                <c:pt idx="35">
                  <c:v>0.75477031802120309</c:v>
                </c:pt>
                <c:pt idx="36">
                  <c:v>0.75744680851063961</c:v>
                </c:pt>
                <c:pt idx="37">
                  <c:v>0.76068376068376087</c:v>
                </c:pt>
                <c:pt idx="38">
                  <c:v>0.76340243030736399</c:v>
                </c:pt>
                <c:pt idx="39">
                  <c:v>0.76614060258249617</c:v>
                </c:pt>
                <c:pt idx="40">
                  <c:v>0.76945244956772563</c:v>
                </c:pt>
                <c:pt idx="41">
                  <c:v>0.77279305354558625</c:v>
                </c:pt>
                <c:pt idx="42">
                  <c:v>0.77559912854030666</c:v>
                </c:pt>
                <c:pt idx="43">
                  <c:v>0.77899343544858002</c:v>
                </c:pt>
                <c:pt idx="44">
                  <c:v>0.78184480234260589</c:v>
                </c:pt>
                <c:pt idx="45">
                  <c:v>0.78529411764706114</c:v>
                </c:pt>
                <c:pt idx="46">
                  <c:v>0.7881918819188195</c:v>
                </c:pt>
                <c:pt idx="47">
                  <c:v>0.79111111111111132</c:v>
                </c:pt>
                <c:pt idx="48">
                  <c:v>0.79405204460966783</c:v>
                </c:pt>
                <c:pt idx="49">
                  <c:v>0.79642058165548235</c:v>
                </c:pt>
                <c:pt idx="50">
                  <c:v>0.79880329094988933</c:v>
                </c:pt>
                <c:pt idx="51">
                  <c:v>0.80059970014992643</c:v>
                </c:pt>
                <c:pt idx="52">
                  <c:v>0.8018018018018036</c:v>
                </c:pt>
                <c:pt idx="53">
                  <c:v>0.80300751879699317</c:v>
                </c:pt>
                <c:pt idx="54">
                  <c:v>0.80361173814898679</c:v>
                </c:pt>
                <c:pt idx="55">
                  <c:v>0.80361173814898679</c:v>
                </c:pt>
                <c:pt idx="56">
                  <c:v>0.80300751879699317</c:v>
                </c:pt>
                <c:pt idx="57">
                  <c:v>0.8018018018018036</c:v>
                </c:pt>
                <c:pt idx="58">
                  <c:v>0.80000000000000182</c:v>
                </c:pt>
                <c:pt idx="59">
                  <c:v>0.79761015683345993</c:v>
                </c:pt>
                <c:pt idx="60">
                  <c:v>0.79464285714285932</c:v>
                </c:pt>
                <c:pt idx="61">
                  <c:v>0.79169755374351347</c:v>
                </c:pt>
                <c:pt idx="62">
                  <c:v>0.78877400295421074</c:v>
                </c:pt>
                <c:pt idx="63">
                  <c:v>0.78529411764706114</c:v>
                </c:pt>
                <c:pt idx="64">
                  <c:v>0.78184480234260589</c:v>
                </c:pt>
                <c:pt idx="65">
                  <c:v>0.77785870356882947</c:v>
                </c:pt>
                <c:pt idx="66">
                  <c:v>0.77447425670776093</c:v>
                </c:pt>
                <c:pt idx="67">
                  <c:v>0.77111913357400885</c:v>
                </c:pt>
                <c:pt idx="68">
                  <c:v>0.76779295470884512</c:v>
                </c:pt>
                <c:pt idx="69">
                  <c:v>0.76504297994269588</c:v>
                </c:pt>
                <c:pt idx="91">
                  <c:v>0.76834532374100784</c:v>
                </c:pt>
                <c:pt idx="92">
                  <c:v>0.77167630057803682</c:v>
                </c:pt>
                <c:pt idx="93">
                  <c:v>0.77503628447024853</c:v>
                </c:pt>
                <c:pt idx="94">
                  <c:v>0.77899343544858002</c:v>
                </c:pt>
                <c:pt idx="95">
                  <c:v>0.78299120234604136</c:v>
                </c:pt>
                <c:pt idx="96">
                  <c:v>0.78703021370670723</c:v>
                </c:pt>
                <c:pt idx="97">
                  <c:v>0.79111111111111132</c:v>
                </c:pt>
                <c:pt idx="98">
                  <c:v>0.79464285714285932</c:v>
                </c:pt>
                <c:pt idx="99">
                  <c:v>0.79880329094988933</c:v>
                </c:pt>
                <c:pt idx="100">
                  <c:v>0.80300751879699317</c:v>
                </c:pt>
                <c:pt idx="101">
                  <c:v>0.80664652567975814</c:v>
                </c:pt>
                <c:pt idx="102">
                  <c:v>0.8103186646433993</c:v>
                </c:pt>
                <c:pt idx="103">
                  <c:v>0.81402439024390405</c:v>
                </c:pt>
                <c:pt idx="104">
                  <c:v>0.81713848508033726</c:v>
                </c:pt>
                <c:pt idx="105">
                  <c:v>0.82027649769585276</c:v>
                </c:pt>
                <c:pt idx="106">
                  <c:v>0.82280431432973777</c:v>
                </c:pt>
                <c:pt idx="107">
                  <c:v>0.82534775888717349</c:v>
                </c:pt>
                <c:pt idx="108">
                  <c:v>0.82726568551510526</c:v>
                </c:pt>
                <c:pt idx="109">
                  <c:v>0.82854926299457199</c:v>
                </c:pt>
                <c:pt idx="110">
                  <c:v>0.82983682983683116</c:v>
                </c:pt>
                <c:pt idx="111">
                  <c:v>0.83048211508553837</c:v>
                </c:pt>
                <c:pt idx="112">
                  <c:v>0.83048211508553837</c:v>
                </c:pt>
                <c:pt idx="113">
                  <c:v>0.82983682983683116</c:v>
                </c:pt>
                <c:pt idx="114">
                  <c:v>0.82919254658385322</c:v>
                </c:pt>
                <c:pt idx="115">
                  <c:v>0.82726568551510526</c:v>
                </c:pt>
                <c:pt idx="116">
                  <c:v>0.82598607888631115</c:v>
                </c:pt>
                <c:pt idx="117">
                  <c:v>0.82343870470316149</c:v>
                </c:pt>
                <c:pt idx="118">
                  <c:v>0.82090699461952399</c:v>
                </c:pt>
                <c:pt idx="119">
                  <c:v>0.81839080459770197</c:v>
                </c:pt>
                <c:pt idx="120">
                  <c:v>0.81526717557252026</c:v>
                </c:pt>
                <c:pt idx="121">
                  <c:v>0.81216730038023077</c:v>
                </c:pt>
                <c:pt idx="122">
                  <c:v>0.8084784254352787</c:v>
                </c:pt>
                <c:pt idx="123">
                  <c:v>0.80542986425339524</c:v>
                </c:pt>
                <c:pt idx="124">
                  <c:v>0.8018018018018036</c:v>
                </c:pt>
                <c:pt idx="125">
                  <c:v>0.79820627802690836</c:v>
                </c:pt>
                <c:pt idx="126">
                  <c:v>0.79405204460966783</c:v>
                </c:pt>
                <c:pt idx="127">
                  <c:v>0.79052553663952618</c:v>
                </c:pt>
                <c:pt idx="128">
                  <c:v>0.78703021370670723</c:v>
                </c:pt>
                <c:pt idx="129">
                  <c:v>0.78356566397652383</c:v>
                </c:pt>
                <c:pt idx="130">
                  <c:v>0.78013148283418565</c:v>
                </c:pt>
                <c:pt idx="131">
                  <c:v>0.77672727272727515</c:v>
                </c:pt>
                <c:pt idx="132">
                  <c:v>0.77335264301231232</c:v>
                </c:pt>
                <c:pt idx="133">
                  <c:v>0.77000720980533577</c:v>
                </c:pt>
                <c:pt idx="134">
                  <c:v>0.76724137931034464</c:v>
                </c:pt>
                <c:pt idx="135">
                  <c:v>0.76449534717251344</c:v>
                </c:pt>
                <c:pt idx="136">
                  <c:v>0.76231263383297709</c:v>
                </c:pt>
                <c:pt idx="137">
                  <c:v>0.76014234875445086</c:v>
                </c:pt>
                <c:pt idx="138">
                  <c:v>0.7579843860894262</c:v>
                </c:pt>
                <c:pt idx="139">
                  <c:v>0.75583864118896182</c:v>
                </c:pt>
                <c:pt idx="140">
                  <c:v>0.75477031802120309</c:v>
                </c:pt>
                <c:pt idx="141">
                  <c:v>0.75317348377997217</c:v>
                </c:pt>
                <c:pt idx="142">
                  <c:v>0.75211267605634025</c:v>
                </c:pt>
                <c:pt idx="143">
                  <c:v>0.75158339197748225</c:v>
                </c:pt>
                <c:pt idx="144">
                  <c:v>0.75105485232067737</c:v>
                </c:pt>
                <c:pt idx="145">
                  <c:v>0.75105485232067737</c:v>
                </c:pt>
                <c:pt idx="146">
                  <c:v>0.75105485232067737</c:v>
                </c:pt>
                <c:pt idx="147">
                  <c:v>0.75158339197748225</c:v>
                </c:pt>
                <c:pt idx="148">
                  <c:v>0.75211267605634025</c:v>
                </c:pt>
                <c:pt idx="149">
                  <c:v>0.75317348377997217</c:v>
                </c:pt>
                <c:pt idx="150">
                  <c:v>0.75423728813559465</c:v>
                </c:pt>
                <c:pt idx="151">
                  <c:v>0.75583864118896182</c:v>
                </c:pt>
                <c:pt idx="152">
                  <c:v>0.7579843860894262</c:v>
                </c:pt>
                <c:pt idx="153">
                  <c:v>0.75960170697012974</c:v>
                </c:pt>
                <c:pt idx="154">
                  <c:v>0.76231263383297709</c:v>
                </c:pt>
                <c:pt idx="155">
                  <c:v>0.76449534717251344</c:v>
                </c:pt>
                <c:pt idx="156">
                  <c:v>0.76724137931034464</c:v>
                </c:pt>
                <c:pt idx="157">
                  <c:v>0.77000720980533577</c:v>
                </c:pt>
                <c:pt idx="158">
                  <c:v>0.77335264301231232</c:v>
                </c:pt>
                <c:pt idx="159">
                  <c:v>0.77616279069767524</c:v>
                </c:pt>
                <c:pt idx="160">
                  <c:v>0.77956204379562288</c:v>
                </c:pt>
                <c:pt idx="161">
                  <c:v>0.78299120234604136</c:v>
                </c:pt>
                <c:pt idx="162">
                  <c:v>0.78587196467991283</c:v>
                </c:pt>
                <c:pt idx="163">
                  <c:v>0.78935698447893543</c:v>
                </c:pt>
                <c:pt idx="164">
                  <c:v>0.79228486646884499</c:v>
                </c:pt>
                <c:pt idx="165">
                  <c:v>0.79523454951600892</c:v>
                </c:pt>
                <c:pt idx="166">
                  <c:v>0.79761015683345993</c:v>
                </c:pt>
                <c:pt idx="251">
                  <c:v>0.91910499139414792</c:v>
                </c:pt>
                <c:pt idx="252">
                  <c:v>0.92307692307692379</c:v>
                </c:pt>
                <c:pt idx="253">
                  <c:v>0.92708333333333315</c:v>
                </c:pt>
                <c:pt idx="254">
                  <c:v>0.93031358885017612</c:v>
                </c:pt>
                <c:pt idx="255">
                  <c:v>0.93438320209973824</c:v>
                </c:pt>
                <c:pt idx="256">
                  <c:v>0.93848857644991235</c:v>
                </c:pt>
                <c:pt idx="257">
                  <c:v>0.94263018534863174</c:v>
                </c:pt>
                <c:pt idx="258">
                  <c:v>0.94680851063829796</c:v>
                </c:pt>
                <c:pt idx="259">
                  <c:v>0.95102404274265562</c:v>
                </c:pt>
                <c:pt idx="260">
                  <c:v>0.9552772808586788</c:v>
                </c:pt>
                <c:pt idx="261">
                  <c:v>0.95956873315363866</c:v>
                </c:pt>
                <c:pt idx="262">
                  <c:v>0.96389891696751018</c:v>
                </c:pt>
                <c:pt idx="263">
                  <c:v>0.96826835902085417</c:v>
                </c:pt>
                <c:pt idx="264">
                  <c:v>0.97179253867152138</c:v>
                </c:pt>
                <c:pt idx="265">
                  <c:v>0.97623400365630841</c:v>
                </c:pt>
                <c:pt idx="266">
                  <c:v>0.97981651376147028</c:v>
                </c:pt>
                <c:pt idx="267">
                  <c:v>0.98342541436464137</c:v>
                </c:pt>
                <c:pt idx="268">
                  <c:v>0.98706099815157278</c:v>
                </c:pt>
                <c:pt idx="269">
                  <c:v>0.98980537534754554</c:v>
                </c:pt>
                <c:pt idx="270">
                  <c:v>0.99256505576208331</c:v>
                </c:pt>
                <c:pt idx="271">
                  <c:v>0.99441340782123122</c:v>
                </c:pt>
                <c:pt idx="272">
                  <c:v>0.99626865671641973</c:v>
                </c:pt>
                <c:pt idx="273">
                  <c:v>0.99813084112149741</c:v>
                </c:pt>
                <c:pt idx="274">
                  <c:v>0.999064546304958</c:v>
                </c:pt>
                <c:pt idx="27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24-8941-93DE-D8FE94FAF13D}"/>
            </c:ext>
          </c:extLst>
        </c:ser>
        <c:ser>
          <c:idx val="5"/>
          <c:order val="5"/>
          <c:tx>
            <c:strRef>
              <c:f>'Fe36Cr Max + MD + Variance'!$A$648</c:f>
              <c:strCache>
                <c:ptCount val="1"/>
                <c:pt idx="0">
                  <c:v>Thermally Equilibrated SAW</c:v>
                </c:pt>
              </c:strCache>
            </c:strRef>
          </c:tx>
          <c:spPr>
            <a:ln w="19050">
              <a:noFill/>
            </a:ln>
          </c:spPr>
          <c:xVal>
            <c:numRef>
              <c:f>'Fe36Cr Max + MD + Variance'!$C$648:$C$1009</c:f>
              <c:numCache>
                <c:formatCode>General</c:formatCode>
                <c:ptCount val="36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0</c:v>
                </c:pt>
                <c:pt idx="182">
                  <c:v>1</c:v>
                </c:pt>
                <c:pt idx="183">
                  <c:v>2</c:v>
                </c:pt>
                <c:pt idx="184">
                  <c:v>3</c:v>
                </c:pt>
                <c:pt idx="185">
                  <c:v>4</c:v>
                </c:pt>
                <c:pt idx="186">
                  <c:v>5</c:v>
                </c:pt>
                <c:pt idx="187">
                  <c:v>6</c:v>
                </c:pt>
                <c:pt idx="188">
                  <c:v>7</c:v>
                </c:pt>
                <c:pt idx="189">
                  <c:v>8</c:v>
                </c:pt>
                <c:pt idx="190">
                  <c:v>9</c:v>
                </c:pt>
                <c:pt idx="191">
                  <c:v>10</c:v>
                </c:pt>
                <c:pt idx="192">
                  <c:v>11</c:v>
                </c:pt>
                <c:pt idx="193">
                  <c:v>12</c:v>
                </c:pt>
                <c:pt idx="194">
                  <c:v>13</c:v>
                </c:pt>
                <c:pt idx="195">
                  <c:v>14</c:v>
                </c:pt>
                <c:pt idx="196">
                  <c:v>15</c:v>
                </c:pt>
                <c:pt idx="197">
                  <c:v>16</c:v>
                </c:pt>
                <c:pt idx="198">
                  <c:v>17</c:v>
                </c:pt>
                <c:pt idx="199">
                  <c:v>18</c:v>
                </c:pt>
                <c:pt idx="200">
                  <c:v>19</c:v>
                </c:pt>
                <c:pt idx="201">
                  <c:v>20</c:v>
                </c:pt>
                <c:pt idx="202">
                  <c:v>21</c:v>
                </c:pt>
                <c:pt idx="203">
                  <c:v>22</c:v>
                </c:pt>
                <c:pt idx="204">
                  <c:v>23</c:v>
                </c:pt>
                <c:pt idx="205">
                  <c:v>24</c:v>
                </c:pt>
                <c:pt idx="206">
                  <c:v>25</c:v>
                </c:pt>
                <c:pt idx="207">
                  <c:v>26</c:v>
                </c:pt>
                <c:pt idx="208">
                  <c:v>27</c:v>
                </c:pt>
                <c:pt idx="209">
                  <c:v>28</c:v>
                </c:pt>
                <c:pt idx="210">
                  <c:v>29</c:v>
                </c:pt>
                <c:pt idx="211">
                  <c:v>30</c:v>
                </c:pt>
                <c:pt idx="212">
                  <c:v>31</c:v>
                </c:pt>
                <c:pt idx="213">
                  <c:v>32</c:v>
                </c:pt>
                <c:pt idx="214">
                  <c:v>33</c:v>
                </c:pt>
                <c:pt idx="215">
                  <c:v>34</c:v>
                </c:pt>
                <c:pt idx="216">
                  <c:v>35</c:v>
                </c:pt>
                <c:pt idx="217">
                  <c:v>36</c:v>
                </c:pt>
                <c:pt idx="218">
                  <c:v>37</c:v>
                </c:pt>
                <c:pt idx="219">
                  <c:v>38</c:v>
                </c:pt>
                <c:pt idx="220">
                  <c:v>39</c:v>
                </c:pt>
                <c:pt idx="221">
                  <c:v>40</c:v>
                </c:pt>
                <c:pt idx="222">
                  <c:v>41</c:v>
                </c:pt>
                <c:pt idx="223">
                  <c:v>42</c:v>
                </c:pt>
                <c:pt idx="224">
                  <c:v>43</c:v>
                </c:pt>
                <c:pt idx="225">
                  <c:v>44</c:v>
                </c:pt>
                <c:pt idx="226">
                  <c:v>45</c:v>
                </c:pt>
                <c:pt idx="227">
                  <c:v>46</c:v>
                </c:pt>
                <c:pt idx="228">
                  <c:v>47</c:v>
                </c:pt>
                <c:pt idx="229">
                  <c:v>48</c:v>
                </c:pt>
                <c:pt idx="230">
                  <c:v>49</c:v>
                </c:pt>
                <c:pt idx="231">
                  <c:v>50</c:v>
                </c:pt>
                <c:pt idx="232">
                  <c:v>51</c:v>
                </c:pt>
                <c:pt idx="233">
                  <c:v>52</c:v>
                </c:pt>
                <c:pt idx="234">
                  <c:v>53</c:v>
                </c:pt>
                <c:pt idx="235">
                  <c:v>54</c:v>
                </c:pt>
                <c:pt idx="236">
                  <c:v>55</c:v>
                </c:pt>
                <c:pt idx="237">
                  <c:v>56</c:v>
                </c:pt>
                <c:pt idx="238">
                  <c:v>57</c:v>
                </c:pt>
                <c:pt idx="239">
                  <c:v>58</c:v>
                </c:pt>
                <c:pt idx="240">
                  <c:v>59</c:v>
                </c:pt>
                <c:pt idx="241">
                  <c:v>60</c:v>
                </c:pt>
                <c:pt idx="242">
                  <c:v>61</c:v>
                </c:pt>
                <c:pt idx="243">
                  <c:v>62</c:v>
                </c:pt>
                <c:pt idx="244">
                  <c:v>63</c:v>
                </c:pt>
                <c:pt idx="245">
                  <c:v>64</c:v>
                </c:pt>
                <c:pt idx="246">
                  <c:v>65</c:v>
                </c:pt>
                <c:pt idx="247">
                  <c:v>66</c:v>
                </c:pt>
                <c:pt idx="248">
                  <c:v>67</c:v>
                </c:pt>
                <c:pt idx="249">
                  <c:v>68</c:v>
                </c:pt>
                <c:pt idx="250">
                  <c:v>69</c:v>
                </c:pt>
                <c:pt idx="251">
                  <c:v>70</c:v>
                </c:pt>
                <c:pt idx="252">
                  <c:v>71</c:v>
                </c:pt>
                <c:pt idx="253">
                  <c:v>72</c:v>
                </c:pt>
                <c:pt idx="254">
                  <c:v>73</c:v>
                </c:pt>
                <c:pt idx="255">
                  <c:v>74</c:v>
                </c:pt>
                <c:pt idx="256">
                  <c:v>75</c:v>
                </c:pt>
                <c:pt idx="257">
                  <c:v>76</c:v>
                </c:pt>
                <c:pt idx="258">
                  <c:v>77</c:v>
                </c:pt>
                <c:pt idx="259">
                  <c:v>78</c:v>
                </c:pt>
                <c:pt idx="260">
                  <c:v>79</c:v>
                </c:pt>
                <c:pt idx="261">
                  <c:v>80</c:v>
                </c:pt>
                <c:pt idx="262">
                  <c:v>81</c:v>
                </c:pt>
                <c:pt idx="263">
                  <c:v>82</c:v>
                </c:pt>
                <c:pt idx="264">
                  <c:v>83</c:v>
                </c:pt>
                <c:pt idx="265">
                  <c:v>84</c:v>
                </c:pt>
                <c:pt idx="266">
                  <c:v>85</c:v>
                </c:pt>
                <c:pt idx="267">
                  <c:v>86</c:v>
                </c:pt>
                <c:pt idx="268">
                  <c:v>87</c:v>
                </c:pt>
                <c:pt idx="269">
                  <c:v>88</c:v>
                </c:pt>
                <c:pt idx="270">
                  <c:v>89</c:v>
                </c:pt>
                <c:pt idx="271">
                  <c:v>90</c:v>
                </c:pt>
                <c:pt idx="272">
                  <c:v>91</c:v>
                </c:pt>
                <c:pt idx="273">
                  <c:v>92</c:v>
                </c:pt>
                <c:pt idx="274">
                  <c:v>93</c:v>
                </c:pt>
                <c:pt idx="275">
                  <c:v>94</c:v>
                </c:pt>
                <c:pt idx="276">
                  <c:v>95</c:v>
                </c:pt>
                <c:pt idx="277">
                  <c:v>96</c:v>
                </c:pt>
                <c:pt idx="278">
                  <c:v>97</c:v>
                </c:pt>
                <c:pt idx="279">
                  <c:v>98</c:v>
                </c:pt>
                <c:pt idx="280">
                  <c:v>99</c:v>
                </c:pt>
                <c:pt idx="281">
                  <c:v>100</c:v>
                </c:pt>
                <c:pt idx="282">
                  <c:v>101</c:v>
                </c:pt>
                <c:pt idx="283">
                  <c:v>102</c:v>
                </c:pt>
                <c:pt idx="284">
                  <c:v>103</c:v>
                </c:pt>
                <c:pt idx="285">
                  <c:v>104</c:v>
                </c:pt>
                <c:pt idx="286">
                  <c:v>105</c:v>
                </c:pt>
                <c:pt idx="287">
                  <c:v>106</c:v>
                </c:pt>
                <c:pt idx="288">
                  <c:v>107</c:v>
                </c:pt>
                <c:pt idx="289">
                  <c:v>108</c:v>
                </c:pt>
                <c:pt idx="290">
                  <c:v>109</c:v>
                </c:pt>
                <c:pt idx="291">
                  <c:v>110</c:v>
                </c:pt>
                <c:pt idx="292">
                  <c:v>111</c:v>
                </c:pt>
                <c:pt idx="293">
                  <c:v>112</c:v>
                </c:pt>
                <c:pt idx="294">
                  <c:v>113</c:v>
                </c:pt>
                <c:pt idx="295">
                  <c:v>114</c:v>
                </c:pt>
                <c:pt idx="296">
                  <c:v>115</c:v>
                </c:pt>
                <c:pt idx="297">
                  <c:v>116</c:v>
                </c:pt>
                <c:pt idx="298">
                  <c:v>117</c:v>
                </c:pt>
                <c:pt idx="299">
                  <c:v>118</c:v>
                </c:pt>
                <c:pt idx="300">
                  <c:v>119</c:v>
                </c:pt>
                <c:pt idx="301">
                  <c:v>120</c:v>
                </c:pt>
                <c:pt idx="302">
                  <c:v>121</c:v>
                </c:pt>
                <c:pt idx="303">
                  <c:v>122</c:v>
                </c:pt>
                <c:pt idx="304">
                  <c:v>123</c:v>
                </c:pt>
                <c:pt idx="305">
                  <c:v>124</c:v>
                </c:pt>
                <c:pt idx="306">
                  <c:v>125</c:v>
                </c:pt>
                <c:pt idx="307">
                  <c:v>126</c:v>
                </c:pt>
                <c:pt idx="308">
                  <c:v>127</c:v>
                </c:pt>
                <c:pt idx="309">
                  <c:v>128</c:v>
                </c:pt>
                <c:pt idx="310">
                  <c:v>129</c:v>
                </c:pt>
                <c:pt idx="311">
                  <c:v>130</c:v>
                </c:pt>
                <c:pt idx="312">
                  <c:v>131</c:v>
                </c:pt>
                <c:pt idx="313">
                  <c:v>132</c:v>
                </c:pt>
                <c:pt idx="314">
                  <c:v>133</c:v>
                </c:pt>
                <c:pt idx="315">
                  <c:v>134</c:v>
                </c:pt>
                <c:pt idx="316">
                  <c:v>135</c:v>
                </c:pt>
                <c:pt idx="317">
                  <c:v>136</c:v>
                </c:pt>
                <c:pt idx="318">
                  <c:v>137</c:v>
                </c:pt>
                <c:pt idx="319">
                  <c:v>138</c:v>
                </c:pt>
                <c:pt idx="320">
                  <c:v>139</c:v>
                </c:pt>
                <c:pt idx="321">
                  <c:v>140</c:v>
                </c:pt>
                <c:pt idx="322">
                  <c:v>141</c:v>
                </c:pt>
                <c:pt idx="323">
                  <c:v>142</c:v>
                </c:pt>
                <c:pt idx="324">
                  <c:v>143</c:v>
                </c:pt>
                <c:pt idx="325">
                  <c:v>144</c:v>
                </c:pt>
                <c:pt idx="326">
                  <c:v>145</c:v>
                </c:pt>
                <c:pt idx="327">
                  <c:v>146</c:v>
                </c:pt>
                <c:pt idx="328">
                  <c:v>147</c:v>
                </c:pt>
                <c:pt idx="329">
                  <c:v>148</c:v>
                </c:pt>
                <c:pt idx="330">
                  <c:v>149</c:v>
                </c:pt>
                <c:pt idx="331">
                  <c:v>150</c:v>
                </c:pt>
                <c:pt idx="332">
                  <c:v>151</c:v>
                </c:pt>
                <c:pt idx="333">
                  <c:v>152</c:v>
                </c:pt>
                <c:pt idx="334">
                  <c:v>153</c:v>
                </c:pt>
                <c:pt idx="335">
                  <c:v>154</c:v>
                </c:pt>
                <c:pt idx="336">
                  <c:v>155</c:v>
                </c:pt>
                <c:pt idx="337">
                  <c:v>156</c:v>
                </c:pt>
                <c:pt idx="338">
                  <c:v>157</c:v>
                </c:pt>
                <c:pt idx="339">
                  <c:v>158</c:v>
                </c:pt>
                <c:pt idx="340">
                  <c:v>159</c:v>
                </c:pt>
                <c:pt idx="341">
                  <c:v>160</c:v>
                </c:pt>
                <c:pt idx="342">
                  <c:v>161</c:v>
                </c:pt>
                <c:pt idx="343">
                  <c:v>162</c:v>
                </c:pt>
                <c:pt idx="344">
                  <c:v>163</c:v>
                </c:pt>
                <c:pt idx="345">
                  <c:v>164</c:v>
                </c:pt>
                <c:pt idx="346">
                  <c:v>165</c:v>
                </c:pt>
                <c:pt idx="347">
                  <c:v>166</c:v>
                </c:pt>
                <c:pt idx="348">
                  <c:v>167</c:v>
                </c:pt>
                <c:pt idx="349">
                  <c:v>168</c:v>
                </c:pt>
                <c:pt idx="350">
                  <c:v>169</c:v>
                </c:pt>
                <c:pt idx="351">
                  <c:v>170</c:v>
                </c:pt>
                <c:pt idx="352">
                  <c:v>171</c:v>
                </c:pt>
                <c:pt idx="353">
                  <c:v>172</c:v>
                </c:pt>
                <c:pt idx="354">
                  <c:v>173</c:v>
                </c:pt>
                <c:pt idx="355">
                  <c:v>174</c:v>
                </c:pt>
                <c:pt idx="356">
                  <c:v>175</c:v>
                </c:pt>
                <c:pt idx="357">
                  <c:v>176</c:v>
                </c:pt>
                <c:pt idx="358">
                  <c:v>177</c:v>
                </c:pt>
                <c:pt idx="359">
                  <c:v>178</c:v>
                </c:pt>
                <c:pt idx="360">
                  <c:v>179</c:v>
                </c:pt>
                <c:pt idx="361">
                  <c:v>180</c:v>
                </c:pt>
              </c:numCache>
            </c:numRef>
          </c:xVal>
          <c:yVal>
            <c:numRef>
              <c:f>'Fe36Cr Max + MD + Variance'!$H$648:$H$1009</c:f>
              <c:numCache>
                <c:formatCode>General</c:formatCode>
                <c:ptCount val="362"/>
                <c:pt idx="0">
                  <c:v>0.75744680851063961</c:v>
                </c:pt>
                <c:pt idx="1">
                  <c:v>0.75423728813559465</c:v>
                </c:pt>
                <c:pt idx="2">
                  <c:v>0.75052705551651466</c:v>
                </c:pt>
                <c:pt idx="3">
                  <c:v>0.74737578726382192</c:v>
                </c:pt>
                <c:pt idx="4">
                  <c:v>0.74425087108013965</c:v>
                </c:pt>
                <c:pt idx="5">
                  <c:v>0.74063800277392688</c:v>
                </c:pt>
                <c:pt idx="6">
                  <c:v>0.73756906077348028</c:v>
                </c:pt>
                <c:pt idx="7">
                  <c:v>0.73452544704264322</c:v>
                </c:pt>
                <c:pt idx="8">
                  <c:v>0.7315068493150686</c:v>
                </c:pt>
                <c:pt idx="9">
                  <c:v>0.72851296043656255</c:v>
                </c:pt>
                <c:pt idx="10">
                  <c:v>0.72603670972127932</c:v>
                </c:pt>
                <c:pt idx="11">
                  <c:v>0.72357723577235955</c:v>
                </c:pt>
                <c:pt idx="12">
                  <c:v>0.72113436866981884</c:v>
                </c:pt>
                <c:pt idx="13">
                  <c:v>0.71919191919192116</c:v>
                </c:pt>
                <c:pt idx="14">
                  <c:v>0.7172599059771656</c:v>
                </c:pt>
                <c:pt idx="15">
                  <c:v>0.71581769436997489</c:v>
                </c:pt>
                <c:pt idx="16">
                  <c:v>0.71438127090301118</c:v>
                </c:pt>
                <c:pt idx="17">
                  <c:v>0.71295060080106865</c:v>
                </c:pt>
                <c:pt idx="18">
                  <c:v>0.71199999999999986</c:v>
                </c:pt>
                <c:pt idx="19">
                  <c:v>0.71105193075898876</c:v>
                </c:pt>
                <c:pt idx="20">
                  <c:v>0.7105788423153695</c:v>
                </c:pt>
                <c:pt idx="21">
                  <c:v>0.71010638297872486</c:v>
                </c:pt>
                <c:pt idx="22">
                  <c:v>0.71010638297872486</c:v>
                </c:pt>
                <c:pt idx="23">
                  <c:v>0.71010638297872486</c:v>
                </c:pt>
                <c:pt idx="24">
                  <c:v>0.7105788423153695</c:v>
                </c:pt>
                <c:pt idx="25">
                  <c:v>0.71105193075898876</c:v>
                </c:pt>
                <c:pt idx="26">
                  <c:v>0.71199999999999986</c:v>
                </c:pt>
                <c:pt idx="27">
                  <c:v>0.71295060080106865</c:v>
                </c:pt>
                <c:pt idx="28">
                  <c:v>0.71438127090301118</c:v>
                </c:pt>
                <c:pt idx="29">
                  <c:v>0.71581769436997489</c:v>
                </c:pt>
                <c:pt idx="30">
                  <c:v>0.71774193548387233</c:v>
                </c:pt>
                <c:pt idx="31">
                  <c:v>0.71967654986523133</c:v>
                </c:pt>
                <c:pt idx="32">
                  <c:v>0.72162162162162413</c:v>
                </c:pt>
                <c:pt idx="33">
                  <c:v>0.72406779661016951</c:v>
                </c:pt>
                <c:pt idx="34">
                  <c:v>0.72653061224489857</c:v>
                </c:pt>
                <c:pt idx="35">
                  <c:v>0.72901023890785233</c:v>
                </c:pt>
                <c:pt idx="36">
                  <c:v>0.73200822481151517</c:v>
                </c:pt>
                <c:pt idx="37">
                  <c:v>0.73503097040605692</c:v>
                </c:pt>
                <c:pt idx="38">
                  <c:v>0.7380787836903957</c:v>
                </c:pt>
                <c:pt idx="39">
                  <c:v>0.74115197779319963</c:v>
                </c:pt>
                <c:pt idx="40">
                  <c:v>0.74425087108013965</c:v>
                </c:pt>
                <c:pt idx="41">
                  <c:v>0.74789915966386566</c:v>
                </c:pt>
                <c:pt idx="42">
                  <c:v>0.75105485232067737</c:v>
                </c:pt>
                <c:pt idx="43">
                  <c:v>0.75477031802120309</c:v>
                </c:pt>
                <c:pt idx="44">
                  <c:v>0.7579843860894262</c:v>
                </c:pt>
                <c:pt idx="45">
                  <c:v>0.76122594440484836</c:v>
                </c:pt>
                <c:pt idx="46">
                  <c:v>0.76449534717251344</c:v>
                </c:pt>
                <c:pt idx="47">
                  <c:v>0.76779295470884512</c:v>
                </c:pt>
                <c:pt idx="48">
                  <c:v>0.77056277056277001</c:v>
                </c:pt>
                <c:pt idx="49">
                  <c:v>0.77335264301231232</c:v>
                </c:pt>
                <c:pt idx="50">
                  <c:v>0.77559912854030666</c:v>
                </c:pt>
                <c:pt idx="51">
                  <c:v>0.77785870356882947</c:v>
                </c:pt>
                <c:pt idx="52">
                  <c:v>0.77899343544858002</c:v>
                </c:pt>
                <c:pt idx="53">
                  <c:v>0.78013148283418565</c:v>
                </c:pt>
                <c:pt idx="54">
                  <c:v>0.78070175438596512</c:v>
                </c:pt>
                <c:pt idx="55">
                  <c:v>0.78070175438596512</c:v>
                </c:pt>
                <c:pt idx="56">
                  <c:v>0.78013148283418565</c:v>
                </c:pt>
                <c:pt idx="57">
                  <c:v>0.7784256559766789</c:v>
                </c:pt>
                <c:pt idx="58">
                  <c:v>0.77616279069767524</c:v>
                </c:pt>
                <c:pt idx="59">
                  <c:v>0.77391304347826162</c:v>
                </c:pt>
                <c:pt idx="60">
                  <c:v>0.77111913357400885</c:v>
                </c:pt>
                <c:pt idx="61">
                  <c:v>0.76779295470884512</c:v>
                </c:pt>
                <c:pt idx="62">
                  <c:v>0.7639484978540777</c:v>
                </c:pt>
                <c:pt idx="63">
                  <c:v>0.76068376068376087</c:v>
                </c:pt>
                <c:pt idx="64">
                  <c:v>0.7569099929128299</c:v>
                </c:pt>
                <c:pt idx="65">
                  <c:v>0.75264270613108053</c:v>
                </c:pt>
                <c:pt idx="66">
                  <c:v>0.74894810659186783</c:v>
                </c:pt>
                <c:pt idx="67">
                  <c:v>0.74528960223307739</c:v>
                </c:pt>
                <c:pt idx="68">
                  <c:v>0.74218207088255916</c:v>
                </c:pt>
                <c:pt idx="69">
                  <c:v>0.73858921161825697</c:v>
                </c:pt>
                <c:pt idx="91">
                  <c:v>0.74166666666666903</c:v>
                </c:pt>
                <c:pt idx="92">
                  <c:v>0.74528960223307739</c:v>
                </c:pt>
                <c:pt idx="93">
                  <c:v>0.74894810659186783</c:v>
                </c:pt>
                <c:pt idx="94">
                  <c:v>0.75317348377997217</c:v>
                </c:pt>
                <c:pt idx="95">
                  <c:v>0.7569099929128299</c:v>
                </c:pt>
                <c:pt idx="96">
                  <c:v>0.76122594440484836</c:v>
                </c:pt>
                <c:pt idx="97">
                  <c:v>0.76559139784946262</c:v>
                </c:pt>
                <c:pt idx="98">
                  <c:v>0.77000720980533577</c:v>
                </c:pt>
                <c:pt idx="99">
                  <c:v>0.77391304347826162</c:v>
                </c:pt>
                <c:pt idx="100">
                  <c:v>0.7784256559766789</c:v>
                </c:pt>
                <c:pt idx="101">
                  <c:v>0.78241758241758219</c:v>
                </c:pt>
                <c:pt idx="102">
                  <c:v>0.78645066273932485</c:v>
                </c:pt>
                <c:pt idx="103">
                  <c:v>0.79052553663952618</c:v>
                </c:pt>
                <c:pt idx="104">
                  <c:v>0.79405204460966783</c:v>
                </c:pt>
                <c:pt idx="105">
                  <c:v>0.79701492537313456</c:v>
                </c:pt>
                <c:pt idx="106">
                  <c:v>0.80000000000000182</c:v>
                </c:pt>
                <c:pt idx="107">
                  <c:v>0.80240420736288542</c:v>
                </c:pt>
                <c:pt idx="108">
                  <c:v>0.80482290881688168</c:v>
                </c:pt>
                <c:pt idx="109">
                  <c:v>0.80603773584905647</c:v>
                </c:pt>
                <c:pt idx="110">
                  <c:v>0.80725623582766681</c:v>
                </c:pt>
                <c:pt idx="111">
                  <c:v>0.80786686838124155</c:v>
                </c:pt>
                <c:pt idx="112">
                  <c:v>0.80786686838124155</c:v>
                </c:pt>
                <c:pt idx="113">
                  <c:v>0.80725623582766681</c:v>
                </c:pt>
                <c:pt idx="114">
                  <c:v>0.80603773584905647</c:v>
                </c:pt>
                <c:pt idx="115">
                  <c:v>0.80482290881688168</c:v>
                </c:pt>
                <c:pt idx="116">
                  <c:v>0.80300751879699317</c:v>
                </c:pt>
                <c:pt idx="117">
                  <c:v>0.80059970014992643</c:v>
                </c:pt>
                <c:pt idx="118">
                  <c:v>0.79820627802690836</c:v>
                </c:pt>
                <c:pt idx="119">
                  <c:v>0.79464285714285932</c:v>
                </c:pt>
                <c:pt idx="120">
                  <c:v>0.79169755374351347</c:v>
                </c:pt>
                <c:pt idx="121">
                  <c:v>0.7881918819188195</c:v>
                </c:pt>
                <c:pt idx="122">
                  <c:v>0.78471711976487957</c:v>
                </c:pt>
                <c:pt idx="123">
                  <c:v>0.78070175438596512</c:v>
                </c:pt>
                <c:pt idx="124">
                  <c:v>0.77672727272727515</c:v>
                </c:pt>
                <c:pt idx="125">
                  <c:v>0.77279305354558625</c:v>
                </c:pt>
                <c:pt idx="126">
                  <c:v>0.76889848812095141</c:v>
                </c:pt>
                <c:pt idx="127">
                  <c:v>0.76504297994269588</c:v>
                </c:pt>
                <c:pt idx="128">
                  <c:v>0.76122594440484836</c:v>
                </c:pt>
                <c:pt idx="129">
                  <c:v>0.75744680851063961</c:v>
                </c:pt>
                <c:pt idx="130">
                  <c:v>0.75370501058574535</c:v>
                </c:pt>
                <c:pt idx="131">
                  <c:v>0.75052705551651466</c:v>
                </c:pt>
                <c:pt idx="132">
                  <c:v>0.74685314685314852</c:v>
                </c:pt>
                <c:pt idx="133">
                  <c:v>0.74373259052924923</c:v>
                </c:pt>
                <c:pt idx="134">
                  <c:v>0.74063800277392688</c:v>
                </c:pt>
                <c:pt idx="135">
                  <c:v>0.73756906077348028</c:v>
                </c:pt>
                <c:pt idx="136">
                  <c:v>0.73503097040605692</c:v>
                </c:pt>
                <c:pt idx="137">
                  <c:v>0.73301304049416716</c:v>
                </c:pt>
                <c:pt idx="138">
                  <c:v>0.73050615595075186</c:v>
                </c:pt>
                <c:pt idx="139">
                  <c:v>0.72901023890785233</c:v>
                </c:pt>
                <c:pt idx="140">
                  <c:v>0.72702518720218046</c:v>
                </c:pt>
                <c:pt idx="141">
                  <c:v>0.72603670972127932</c:v>
                </c:pt>
                <c:pt idx="142">
                  <c:v>0.72505091649694542</c:v>
                </c:pt>
                <c:pt idx="143">
                  <c:v>0.72406779661016951</c:v>
                </c:pt>
                <c:pt idx="144">
                  <c:v>0.72357723577235955</c:v>
                </c:pt>
                <c:pt idx="145">
                  <c:v>0.72357723577235955</c:v>
                </c:pt>
                <c:pt idx="146">
                  <c:v>0.72357723577235955</c:v>
                </c:pt>
                <c:pt idx="147">
                  <c:v>0.72406779661016951</c:v>
                </c:pt>
                <c:pt idx="148">
                  <c:v>0.72505091649694542</c:v>
                </c:pt>
                <c:pt idx="149">
                  <c:v>0.72603670972127932</c:v>
                </c:pt>
                <c:pt idx="150">
                  <c:v>0.72752043596730231</c:v>
                </c:pt>
                <c:pt idx="151">
                  <c:v>0.72901023890785233</c:v>
                </c:pt>
                <c:pt idx="152">
                  <c:v>0.73100616016427244</c:v>
                </c:pt>
                <c:pt idx="153">
                  <c:v>0.73351648351648335</c:v>
                </c:pt>
                <c:pt idx="154">
                  <c:v>0.73604410751206217</c:v>
                </c:pt>
                <c:pt idx="155">
                  <c:v>0.73858921161825697</c:v>
                </c:pt>
                <c:pt idx="156">
                  <c:v>0.74166666666666903</c:v>
                </c:pt>
                <c:pt idx="157">
                  <c:v>0.74476987447698717</c:v>
                </c:pt>
                <c:pt idx="158">
                  <c:v>0.74789915966386566</c:v>
                </c:pt>
                <c:pt idx="159">
                  <c:v>0.75105485232067737</c:v>
                </c:pt>
                <c:pt idx="160">
                  <c:v>0.75477031802120309</c:v>
                </c:pt>
                <c:pt idx="161">
                  <c:v>0.7579843860894262</c:v>
                </c:pt>
                <c:pt idx="162">
                  <c:v>0.76176890156918919</c:v>
                </c:pt>
                <c:pt idx="163">
                  <c:v>0.76504297994269588</c:v>
                </c:pt>
                <c:pt idx="164">
                  <c:v>0.76834532374100784</c:v>
                </c:pt>
                <c:pt idx="165">
                  <c:v>0.77167630057803682</c:v>
                </c:pt>
                <c:pt idx="166">
                  <c:v>0.77447425670776093</c:v>
                </c:pt>
                <c:pt idx="167">
                  <c:v>0.77672727272727515</c:v>
                </c:pt>
                <c:pt idx="168">
                  <c:v>0.7784256559766789</c:v>
                </c:pt>
                <c:pt idx="169">
                  <c:v>0.77956204379562288</c:v>
                </c:pt>
                <c:pt idx="170">
                  <c:v>0.78013148283418565</c:v>
                </c:pt>
                <c:pt idx="171">
                  <c:v>0.77956204379562288</c:v>
                </c:pt>
                <c:pt idx="172">
                  <c:v>0.77899343544858002</c:v>
                </c:pt>
                <c:pt idx="173">
                  <c:v>0.77729257641921479</c:v>
                </c:pt>
                <c:pt idx="174">
                  <c:v>0.77559912854030666</c:v>
                </c:pt>
                <c:pt idx="175">
                  <c:v>0.77279305354558625</c:v>
                </c:pt>
                <c:pt idx="176">
                  <c:v>0.77056277056277001</c:v>
                </c:pt>
                <c:pt idx="177">
                  <c:v>0.76724137931034464</c:v>
                </c:pt>
                <c:pt idx="178">
                  <c:v>0.7639484978540777</c:v>
                </c:pt>
                <c:pt idx="179">
                  <c:v>0.76068376068376087</c:v>
                </c:pt>
                <c:pt idx="180">
                  <c:v>0.75744680851063961</c:v>
                </c:pt>
                <c:pt idx="251">
                  <c:v>0.89447236180904721</c:v>
                </c:pt>
                <c:pt idx="252">
                  <c:v>0.89823380992430613</c:v>
                </c:pt>
                <c:pt idx="253">
                  <c:v>0.90202702702702786</c:v>
                </c:pt>
                <c:pt idx="254">
                  <c:v>0.90662139219015381</c:v>
                </c:pt>
                <c:pt idx="255">
                  <c:v>0.91048593350383777</c:v>
                </c:pt>
                <c:pt idx="256">
                  <c:v>0.91438356164383583</c:v>
                </c:pt>
                <c:pt idx="257">
                  <c:v>0.91910499139414792</c:v>
                </c:pt>
                <c:pt idx="258">
                  <c:v>0.92307692307692379</c:v>
                </c:pt>
                <c:pt idx="259">
                  <c:v>0.92788879235447486</c:v>
                </c:pt>
                <c:pt idx="260">
                  <c:v>0.93193717277487087</c:v>
                </c:pt>
                <c:pt idx="261">
                  <c:v>0.93684210526315881</c:v>
                </c:pt>
                <c:pt idx="262">
                  <c:v>0.94096916299559474</c:v>
                </c:pt>
                <c:pt idx="263">
                  <c:v>0.94596988485385547</c:v>
                </c:pt>
                <c:pt idx="264">
                  <c:v>0.9501779359430621</c:v>
                </c:pt>
                <c:pt idx="265">
                  <c:v>0.95442359249329978</c:v>
                </c:pt>
                <c:pt idx="266">
                  <c:v>0.95870736086175934</c:v>
                </c:pt>
                <c:pt idx="267">
                  <c:v>0.96216216216216244</c:v>
                </c:pt>
                <c:pt idx="268">
                  <c:v>0.96564195298372746</c:v>
                </c:pt>
                <c:pt idx="269">
                  <c:v>0.96914700544464616</c:v>
                </c:pt>
                <c:pt idx="270">
                  <c:v>0.97267759562841705</c:v>
                </c:pt>
                <c:pt idx="271">
                  <c:v>0.97445255474452785</c:v>
                </c:pt>
                <c:pt idx="272">
                  <c:v>0.97712717291857487</c:v>
                </c:pt>
                <c:pt idx="273">
                  <c:v>0.97891842346471314</c:v>
                </c:pt>
                <c:pt idx="274">
                  <c:v>0.97981651376147028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24-8941-93DE-D8FE94FAF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Relative Surface Angle [degrees]</a:t>
                </a:r>
              </a:p>
            </c:rich>
          </c:tx>
          <c:layout>
            <c:manualLayout>
              <c:xMode val="edge"/>
              <c:yMode val="edge"/>
              <c:x val="0.33838425892873036"/>
              <c:y val="0.894924754817805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</c:valAx>
      <c:valAx>
        <c:axId val="1791294527"/>
        <c:scaling>
          <c:orientation val="minMax"/>
          <c:max val="1"/>
          <c:min val="0.65000000000000013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2.9157658795603811E-2"/>
              <c:y val="0.1337271052204790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5.000000000000001E-2"/>
      </c:valAx>
    </c:plotArea>
    <c:legend>
      <c:legendPos val="t"/>
      <c:layout>
        <c:manualLayout>
          <c:xMode val="edge"/>
          <c:yMode val="edge"/>
          <c:x val="0.65291553443891037"/>
          <c:y val="0.15736424285258113"/>
          <c:w val="0.34708447627996075"/>
          <c:h val="0.32163306085306259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u="sng"/>
            </a:pPr>
            <a:r>
              <a:rPr lang="en-US" u="sng"/>
              <a:t>Fe-36Cr Alloy </a:t>
            </a:r>
          </a:p>
        </c:rich>
      </c:tx>
      <c:layout>
        <c:manualLayout>
          <c:xMode val="edge"/>
          <c:yMode val="edge"/>
          <c:x val="0.43990417099357082"/>
          <c:y val="2.36333283523457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90705845506367"/>
          <c:y val="0.13959753946852924"/>
          <c:w val="0.45555990617223929"/>
          <c:h val="0.65810123734533188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+ MD + Variance'!$E$10:$E$55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 + Variance'!$H$10:$H$55</c:f>
              <c:numCache>
                <c:formatCode>General</c:formatCode>
                <c:ptCount val="46"/>
                <c:pt idx="0">
                  <c:v>0.81208308815134733</c:v>
                </c:pt>
                <c:pt idx="1">
                  <c:v>0.79880241868339641</c:v>
                </c:pt>
                <c:pt idx="2">
                  <c:v>0.81288715781032017</c:v>
                </c:pt>
                <c:pt idx="3">
                  <c:v>0.80274580990808109</c:v>
                </c:pt>
                <c:pt idx="4">
                  <c:v>0.78833344360257396</c:v>
                </c:pt>
                <c:pt idx="5">
                  <c:v>0.7753787308455925</c:v>
                </c:pt>
                <c:pt idx="6">
                  <c:v>0.76328563353298751</c:v>
                </c:pt>
                <c:pt idx="7">
                  <c:v>0.75602396323244814</c:v>
                </c:pt>
                <c:pt idx="8">
                  <c:v>0.75339720261416065</c:v>
                </c:pt>
                <c:pt idx="9">
                  <c:v>0.75283581717582659</c:v>
                </c:pt>
                <c:pt idx="10">
                  <c:v>0.7510345591040346</c:v>
                </c:pt>
                <c:pt idx="11">
                  <c:v>0</c:v>
                </c:pt>
                <c:pt idx="12">
                  <c:v>0.76381627501594174</c:v>
                </c:pt>
                <c:pt idx="13">
                  <c:v>0.77117106657644641</c:v>
                </c:pt>
                <c:pt idx="14">
                  <c:v>0.78670781547166557</c:v>
                </c:pt>
                <c:pt idx="15">
                  <c:v>0.79952611765950754</c:v>
                </c:pt>
                <c:pt idx="16">
                  <c:v>0.81835961166292137</c:v>
                </c:pt>
                <c:pt idx="17">
                  <c:v>0.81070073512827157</c:v>
                </c:pt>
                <c:pt idx="18">
                  <c:v>0.82196860306136377</c:v>
                </c:pt>
                <c:pt idx="19">
                  <c:v>0.81060413593190039</c:v>
                </c:pt>
                <c:pt idx="20">
                  <c:v>0.76890814795013374</c:v>
                </c:pt>
                <c:pt idx="21">
                  <c:v>0.94298006939165357</c:v>
                </c:pt>
                <c:pt idx="22">
                  <c:v>0.74765931733315505</c:v>
                </c:pt>
                <c:pt idx="23">
                  <c:v>0.95562722425032232</c:v>
                </c:pt>
                <c:pt idx="24">
                  <c:v>0.96180076882165055</c:v>
                </c:pt>
                <c:pt idx="25">
                  <c:v>0.9775199350636693</c:v>
                </c:pt>
                <c:pt idx="26">
                  <c:v>0.98110683502217921</c:v>
                </c:pt>
                <c:pt idx="27">
                  <c:v>0.98049017963304852</c:v>
                </c:pt>
                <c:pt idx="28">
                  <c:v>0.81558160870570084</c:v>
                </c:pt>
                <c:pt idx="29">
                  <c:v>0.83362632538893566</c:v>
                </c:pt>
                <c:pt idx="30">
                  <c:v>0.84512529788010171</c:v>
                </c:pt>
                <c:pt idx="31">
                  <c:v>0.85322749769576267</c:v>
                </c:pt>
                <c:pt idx="32">
                  <c:v>0.85182985567538516</c:v>
                </c:pt>
                <c:pt idx="33">
                  <c:v>0.83816366266522979</c:v>
                </c:pt>
                <c:pt idx="34">
                  <c:v>0.82314454069798204</c:v>
                </c:pt>
                <c:pt idx="35">
                  <c:v>0.81029199434173993</c:v>
                </c:pt>
                <c:pt idx="36">
                  <c:v>0.79857124729547979</c:v>
                </c:pt>
                <c:pt idx="37">
                  <c:v>0.78870023975206127</c:v>
                </c:pt>
                <c:pt idx="38">
                  <c:v>0.7755846525265857</c:v>
                </c:pt>
                <c:pt idx="39">
                  <c:v>0.76783113908682588</c:v>
                </c:pt>
                <c:pt idx="40">
                  <c:v>0.76808299208344821</c:v>
                </c:pt>
                <c:pt idx="41">
                  <c:v>0.77165163440734463</c:v>
                </c:pt>
                <c:pt idx="42">
                  <c:v>0.77698155217879206</c:v>
                </c:pt>
                <c:pt idx="43">
                  <c:v>0.78574529726749487</c:v>
                </c:pt>
                <c:pt idx="44">
                  <c:v>0.79666655222056071</c:v>
                </c:pt>
                <c:pt idx="45">
                  <c:v>0.81139086408202243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A6-1641-9FBA-61209DF20467}"/>
            </c:ext>
          </c:extLst>
        </c:ser>
        <c:ser>
          <c:idx val="2"/>
          <c:order val="1"/>
          <c:tx>
            <c:v>500C 10hr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 + Variance'!$C$104:$C$137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 + Variance'!$H$104:$H$137</c:f>
              <c:numCache>
                <c:formatCode>General</c:formatCode>
                <c:ptCount val="34"/>
                <c:pt idx="0">
                  <c:v>0.80012864744751766</c:v>
                </c:pt>
                <c:pt idx="1">
                  <c:v>0.82050339579139064</c:v>
                </c:pt>
                <c:pt idx="2">
                  <c:v>0.82638163738684178</c:v>
                </c:pt>
                <c:pt idx="3">
                  <c:v>0.8245326784008733</c:v>
                </c:pt>
                <c:pt idx="4">
                  <c:v>0.81039816663464403</c:v>
                </c:pt>
                <c:pt idx="5">
                  <c:v>0.80186622336204239</c:v>
                </c:pt>
                <c:pt idx="6">
                  <c:v>0.79010138644078176</c:v>
                </c:pt>
                <c:pt idx="7">
                  <c:v>0.77441864998148258</c:v>
                </c:pt>
                <c:pt idx="8">
                  <c:v>0.77022786191840642</c:v>
                </c:pt>
                <c:pt idx="9">
                  <c:v>0.76838168750922398</c:v>
                </c:pt>
                <c:pt idx="10">
                  <c:v>0.76779414180735739</c:v>
                </c:pt>
                <c:pt idx="11">
                  <c:v>0.77510644044764865</c:v>
                </c:pt>
                <c:pt idx="12">
                  <c:v>0.78090392931630281</c:v>
                </c:pt>
                <c:pt idx="13">
                  <c:v>0.7915187360249053</c:v>
                </c:pt>
                <c:pt idx="14">
                  <c:v>0.79202552899997491</c:v>
                </c:pt>
                <c:pt idx="15">
                  <c:v>0.81349740059757014</c:v>
                </c:pt>
                <c:pt idx="16">
                  <c:v>0.82753166759949992</c:v>
                </c:pt>
                <c:pt idx="17">
                  <c:v>0.83144678256075255</c:v>
                </c:pt>
                <c:pt idx="18">
                  <c:v>0.82897964752827036</c:v>
                </c:pt>
                <c:pt idx="19">
                  <c:v>0.81725657925880135</c:v>
                </c:pt>
                <c:pt idx="20">
                  <c:v>0.80272108843537404</c:v>
                </c:pt>
                <c:pt idx="21">
                  <c:v>0.9511835843629306</c:v>
                </c:pt>
                <c:pt idx="22">
                  <c:v>0.95925328788904018</c:v>
                </c:pt>
                <c:pt idx="23">
                  <c:v>0.96419591168436269</c:v>
                </c:pt>
                <c:pt idx="24">
                  <c:v>0.97551521631984772</c:v>
                </c:pt>
                <c:pt idx="25">
                  <c:v>0.97549850885913103</c:v>
                </c:pt>
                <c:pt idx="26">
                  <c:v>0.98157167082960906</c:v>
                </c:pt>
                <c:pt idx="27">
                  <c:v>0.9932557550240726</c:v>
                </c:pt>
                <c:pt idx="28">
                  <c:v>0.81031741390784717</c:v>
                </c:pt>
                <c:pt idx="29">
                  <c:v>0.83074785378744209</c:v>
                </c:pt>
                <c:pt idx="30">
                  <c:v>0.8328112251859402</c:v>
                </c:pt>
                <c:pt idx="31">
                  <c:v>0.84972474458469427</c:v>
                </c:pt>
                <c:pt idx="32">
                  <c:v>0.85557514041228444</c:v>
                </c:pt>
                <c:pt idx="33">
                  <c:v>0.85600396523734346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A6-1641-9FBA-61209DF20467}"/>
            </c:ext>
          </c:extLst>
        </c:ser>
        <c:ser>
          <c:idx val="3"/>
          <c:order val="2"/>
          <c:tx>
            <c:strRef>
              <c:f>'Fe36Cr Max + MD + Variance'!$A$286</c:f>
              <c:strCache>
                <c:ptCount val="1"/>
                <c:pt idx="0">
                  <c:v>Random Solid Solution SAW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 + Variance'!$D$286:$D$647</c:f>
              <c:numCache>
                <c:formatCode>General</c:formatCode>
                <c:ptCount val="362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  <c:pt idx="37">
                  <c:v>51</c:v>
                </c:pt>
                <c:pt idx="38">
                  <c:v>52</c:v>
                </c:pt>
                <c:pt idx="39">
                  <c:v>53</c:v>
                </c:pt>
                <c:pt idx="40">
                  <c:v>54</c:v>
                </c:pt>
                <c:pt idx="41">
                  <c:v>55</c:v>
                </c:pt>
                <c:pt idx="42">
                  <c:v>56</c:v>
                </c:pt>
                <c:pt idx="43">
                  <c:v>57</c:v>
                </c:pt>
                <c:pt idx="44">
                  <c:v>58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62</c:v>
                </c:pt>
                <c:pt idx="49">
                  <c:v>63</c:v>
                </c:pt>
                <c:pt idx="50">
                  <c:v>64</c:v>
                </c:pt>
                <c:pt idx="51">
                  <c:v>65</c:v>
                </c:pt>
                <c:pt idx="52">
                  <c:v>66</c:v>
                </c:pt>
                <c:pt idx="53">
                  <c:v>67</c:v>
                </c:pt>
                <c:pt idx="54">
                  <c:v>68</c:v>
                </c:pt>
                <c:pt idx="55">
                  <c:v>69</c:v>
                </c:pt>
                <c:pt idx="56">
                  <c:v>70</c:v>
                </c:pt>
                <c:pt idx="57">
                  <c:v>71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88</c:v>
                </c:pt>
                <c:pt idx="75">
                  <c:v>89</c:v>
                </c:pt>
                <c:pt idx="76">
                  <c:v>90</c:v>
                </c:pt>
                <c:pt idx="77">
                  <c:v>91</c:v>
                </c:pt>
                <c:pt idx="78">
                  <c:v>92</c:v>
                </c:pt>
                <c:pt idx="79">
                  <c:v>93</c:v>
                </c:pt>
                <c:pt idx="80">
                  <c:v>94</c:v>
                </c:pt>
                <c:pt idx="81">
                  <c:v>95</c:v>
                </c:pt>
                <c:pt idx="82">
                  <c:v>96</c:v>
                </c:pt>
                <c:pt idx="83">
                  <c:v>97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108</c:v>
                </c:pt>
                <c:pt idx="95">
                  <c:v>109</c:v>
                </c:pt>
                <c:pt idx="96">
                  <c:v>110</c:v>
                </c:pt>
                <c:pt idx="97">
                  <c:v>111</c:v>
                </c:pt>
                <c:pt idx="98">
                  <c:v>112</c:v>
                </c:pt>
                <c:pt idx="99">
                  <c:v>113</c:v>
                </c:pt>
                <c:pt idx="100">
                  <c:v>114</c:v>
                </c:pt>
                <c:pt idx="101">
                  <c:v>115</c:v>
                </c:pt>
                <c:pt idx="102">
                  <c:v>116</c:v>
                </c:pt>
                <c:pt idx="103">
                  <c:v>117</c:v>
                </c:pt>
                <c:pt idx="104">
                  <c:v>118</c:v>
                </c:pt>
                <c:pt idx="105">
                  <c:v>119</c:v>
                </c:pt>
                <c:pt idx="106">
                  <c:v>120</c:v>
                </c:pt>
                <c:pt idx="107">
                  <c:v>121</c:v>
                </c:pt>
                <c:pt idx="108">
                  <c:v>122</c:v>
                </c:pt>
                <c:pt idx="109">
                  <c:v>123</c:v>
                </c:pt>
                <c:pt idx="110">
                  <c:v>124</c:v>
                </c:pt>
                <c:pt idx="111">
                  <c:v>125</c:v>
                </c:pt>
                <c:pt idx="112">
                  <c:v>126</c:v>
                </c:pt>
                <c:pt idx="113">
                  <c:v>127</c:v>
                </c:pt>
                <c:pt idx="114">
                  <c:v>128</c:v>
                </c:pt>
                <c:pt idx="115">
                  <c:v>129</c:v>
                </c:pt>
                <c:pt idx="116">
                  <c:v>130</c:v>
                </c:pt>
                <c:pt idx="117">
                  <c:v>131</c:v>
                </c:pt>
                <c:pt idx="118">
                  <c:v>132</c:v>
                </c:pt>
                <c:pt idx="119">
                  <c:v>133</c:v>
                </c:pt>
                <c:pt idx="120">
                  <c:v>134</c:v>
                </c:pt>
                <c:pt idx="121">
                  <c:v>135</c:v>
                </c:pt>
                <c:pt idx="122">
                  <c:v>136</c:v>
                </c:pt>
                <c:pt idx="123">
                  <c:v>137</c:v>
                </c:pt>
                <c:pt idx="124">
                  <c:v>138</c:v>
                </c:pt>
                <c:pt idx="125">
                  <c:v>139</c:v>
                </c:pt>
                <c:pt idx="126">
                  <c:v>140</c:v>
                </c:pt>
                <c:pt idx="127">
                  <c:v>141</c:v>
                </c:pt>
                <c:pt idx="128">
                  <c:v>142</c:v>
                </c:pt>
                <c:pt idx="129">
                  <c:v>143</c:v>
                </c:pt>
                <c:pt idx="130">
                  <c:v>144</c:v>
                </c:pt>
                <c:pt idx="131">
                  <c:v>145</c:v>
                </c:pt>
                <c:pt idx="132">
                  <c:v>146</c:v>
                </c:pt>
                <c:pt idx="133">
                  <c:v>147</c:v>
                </c:pt>
                <c:pt idx="134">
                  <c:v>148</c:v>
                </c:pt>
                <c:pt idx="135">
                  <c:v>149</c:v>
                </c:pt>
                <c:pt idx="136">
                  <c:v>150</c:v>
                </c:pt>
                <c:pt idx="137">
                  <c:v>151</c:v>
                </c:pt>
                <c:pt idx="138">
                  <c:v>152</c:v>
                </c:pt>
                <c:pt idx="139">
                  <c:v>153</c:v>
                </c:pt>
                <c:pt idx="140">
                  <c:v>154</c:v>
                </c:pt>
                <c:pt idx="141">
                  <c:v>155</c:v>
                </c:pt>
                <c:pt idx="142">
                  <c:v>156</c:v>
                </c:pt>
                <c:pt idx="143">
                  <c:v>157</c:v>
                </c:pt>
                <c:pt idx="144">
                  <c:v>158</c:v>
                </c:pt>
                <c:pt idx="145">
                  <c:v>159</c:v>
                </c:pt>
                <c:pt idx="146">
                  <c:v>160</c:v>
                </c:pt>
                <c:pt idx="147">
                  <c:v>161</c:v>
                </c:pt>
                <c:pt idx="148">
                  <c:v>162</c:v>
                </c:pt>
                <c:pt idx="149">
                  <c:v>163</c:v>
                </c:pt>
                <c:pt idx="150">
                  <c:v>164</c:v>
                </c:pt>
                <c:pt idx="151">
                  <c:v>165</c:v>
                </c:pt>
                <c:pt idx="152">
                  <c:v>166</c:v>
                </c:pt>
                <c:pt idx="153">
                  <c:v>167</c:v>
                </c:pt>
                <c:pt idx="154">
                  <c:v>168</c:v>
                </c:pt>
                <c:pt idx="155">
                  <c:v>169</c:v>
                </c:pt>
                <c:pt idx="156">
                  <c:v>170</c:v>
                </c:pt>
                <c:pt idx="157">
                  <c:v>171</c:v>
                </c:pt>
                <c:pt idx="158">
                  <c:v>172</c:v>
                </c:pt>
                <c:pt idx="159">
                  <c:v>173</c:v>
                </c:pt>
                <c:pt idx="160">
                  <c:v>174</c:v>
                </c:pt>
                <c:pt idx="161">
                  <c:v>175</c:v>
                </c:pt>
                <c:pt idx="162">
                  <c:v>176</c:v>
                </c:pt>
                <c:pt idx="163">
                  <c:v>177</c:v>
                </c:pt>
                <c:pt idx="164">
                  <c:v>178</c:v>
                </c:pt>
                <c:pt idx="165">
                  <c:v>179</c:v>
                </c:pt>
                <c:pt idx="166">
                  <c:v>180</c:v>
                </c:pt>
                <c:pt idx="167">
                  <c:v>0</c:v>
                </c:pt>
                <c:pt idx="168">
                  <c:v>1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5</c:v>
                </c:pt>
                <c:pt idx="173">
                  <c:v>6</c:v>
                </c:pt>
                <c:pt idx="174">
                  <c:v>7</c:v>
                </c:pt>
                <c:pt idx="175">
                  <c:v>8</c:v>
                </c:pt>
                <c:pt idx="176">
                  <c:v>9</c:v>
                </c:pt>
                <c:pt idx="177">
                  <c:v>10</c:v>
                </c:pt>
                <c:pt idx="178">
                  <c:v>11</c:v>
                </c:pt>
                <c:pt idx="179">
                  <c:v>12</c:v>
                </c:pt>
                <c:pt idx="180">
                  <c:v>13</c:v>
                </c:pt>
                <c:pt idx="181">
                  <c:v>14</c:v>
                </c:pt>
                <c:pt idx="182">
                  <c:v>15</c:v>
                </c:pt>
                <c:pt idx="183">
                  <c:v>16</c:v>
                </c:pt>
                <c:pt idx="184">
                  <c:v>17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21</c:v>
                </c:pt>
                <c:pt idx="189">
                  <c:v>22</c:v>
                </c:pt>
                <c:pt idx="190">
                  <c:v>23</c:v>
                </c:pt>
                <c:pt idx="191">
                  <c:v>24</c:v>
                </c:pt>
                <c:pt idx="192">
                  <c:v>25</c:v>
                </c:pt>
                <c:pt idx="193">
                  <c:v>26</c:v>
                </c:pt>
                <c:pt idx="194">
                  <c:v>27</c:v>
                </c:pt>
                <c:pt idx="195">
                  <c:v>28</c:v>
                </c:pt>
                <c:pt idx="196">
                  <c:v>29</c:v>
                </c:pt>
                <c:pt idx="197">
                  <c:v>30</c:v>
                </c:pt>
                <c:pt idx="198">
                  <c:v>31</c:v>
                </c:pt>
                <c:pt idx="199">
                  <c:v>32</c:v>
                </c:pt>
                <c:pt idx="200">
                  <c:v>33</c:v>
                </c:pt>
                <c:pt idx="201">
                  <c:v>34</c:v>
                </c:pt>
                <c:pt idx="202">
                  <c:v>35</c:v>
                </c:pt>
                <c:pt idx="203">
                  <c:v>36</c:v>
                </c:pt>
                <c:pt idx="204">
                  <c:v>37</c:v>
                </c:pt>
                <c:pt idx="205">
                  <c:v>38</c:v>
                </c:pt>
                <c:pt idx="206">
                  <c:v>39</c:v>
                </c:pt>
                <c:pt idx="207">
                  <c:v>40</c:v>
                </c:pt>
                <c:pt idx="208">
                  <c:v>41</c:v>
                </c:pt>
                <c:pt idx="209">
                  <c:v>42</c:v>
                </c:pt>
                <c:pt idx="210">
                  <c:v>43</c:v>
                </c:pt>
                <c:pt idx="211">
                  <c:v>44</c:v>
                </c:pt>
                <c:pt idx="212">
                  <c:v>45</c:v>
                </c:pt>
                <c:pt idx="213">
                  <c:v>46</c:v>
                </c:pt>
                <c:pt idx="214">
                  <c:v>47</c:v>
                </c:pt>
                <c:pt idx="215">
                  <c:v>48</c:v>
                </c:pt>
                <c:pt idx="216">
                  <c:v>49</c:v>
                </c:pt>
                <c:pt idx="217">
                  <c:v>50</c:v>
                </c:pt>
                <c:pt idx="218">
                  <c:v>51</c:v>
                </c:pt>
                <c:pt idx="219">
                  <c:v>52</c:v>
                </c:pt>
                <c:pt idx="220">
                  <c:v>53</c:v>
                </c:pt>
                <c:pt idx="221">
                  <c:v>54</c:v>
                </c:pt>
                <c:pt idx="222">
                  <c:v>55</c:v>
                </c:pt>
                <c:pt idx="223">
                  <c:v>56</c:v>
                </c:pt>
                <c:pt idx="224">
                  <c:v>57</c:v>
                </c:pt>
                <c:pt idx="225">
                  <c:v>58</c:v>
                </c:pt>
                <c:pt idx="226">
                  <c:v>59</c:v>
                </c:pt>
                <c:pt idx="227">
                  <c:v>60</c:v>
                </c:pt>
                <c:pt idx="228">
                  <c:v>61</c:v>
                </c:pt>
                <c:pt idx="229">
                  <c:v>62</c:v>
                </c:pt>
                <c:pt idx="230">
                  <c:v>63</c:v>
                </c:pt>
                <c:pt idx="231">
                  <c:v>64</c:v>
                </c:pt>
                <c:pt idx="232">
                  <c:v>65</c:v>
                </c:pt>
                <c:pt idx="233">
                  <c:v>66</c:v>
                </c:pt>
                <c:pt idx="234">
                  <c:v>67</c:v>
                </c:pt>
                <c:pt idx="235">
                  <c:v>68</c:v>
                </c:pt>
                <c:pt idx="236">
                  <c:v>69</c:v>
                </c:pt>
                <c:pt idx="237">
                  <c:v>70</c:v>
                </c:pt>
                <c:pt idx="238">
                  <c:v>71</c:v>
                </c:pt>
                <c:pt idx="239">
                  <c:v>72</c:v>
                </c:pt>
                <c:pt idx="240">
                  <c:v>73</c:v>
                </c:pt>
                <c:pt idx="241">
                  <c:v>74</c:v>
                </c:pt>
                <c:pt idx="242">
                  <c:v>75</c:v>
                </c:pt>
                <c:pt idx="243">
                  <c:v>76</c:v>
                </c:pt>
                <c:pt idx="244">
                  <c:v>77</c:v>
                </c:pt>
                <c:pt idx="245">
                  <c:v>78</c:v>
                </c:pt>
                <c:pt idx="246">
                  <c:v>79</c:v>
                </c:pt>
                <c:pt idx="247">
                  <c:v>80</c:v>
                </c:pt>
                <c:pt idx="248">
                  <c:v>81</c:v>
                </c:pt>
                <c:pt idx="249">
                  <c:v>82</c:v>
                </c:pt>
                <c:pt idx="250">
                  <c:v>83</c:v>
                </c:pt>
                <c:pt idx="251">
                  <c:v>84</c:v>
                </c:pt>
                <c:pt idx="252">
                  <c:v>85</c:v>
                </c:pt>
                <c:pt idx="253">
                  <c:v>86</c:v>
                </c:pt>
                <c:pt idx="254">
                  <c:v>87</c:v>
                </c:pt>
                <c:pt idx="255">
                  <c:v>88</c:v>
                </c:pt>
                <c:pt idx="256">
                  <c:v>89</c:v>
                </c:pt>
                <c:pt idx="257">
                  <c:v>90</c:v>
                </c:pt>
                <c:pt idx="258">
                  <c:v>91</c:v>
                </c:pt>
                <c:pt idx="259">
                  <c:v>92</c:v>
                </c:pt>
                <c:pt idx="260">
                  <c:v>93</c:v>
                </c:pt>
                <c:pt idx="261">
                  <c:v>94</c:v>
                </c:pt>
                <c:pt idx="262">
                  <c:v>95</c:v>
                </c:pt>
                <c:pt idx="263">
                  <c:v>96</c:v>
                </c:pt>
                <c:pt idx="264">
                  <c:v>97</c:v>
                </c:pt>
                <c:pt idx="265">
                  <c:v>98</c:v>
                </c:pt>
                <c:pt idx="266">
                  <c:v>99</c:v>
                </c:pt>
                <c:pt idx="267">
                  <c:v>100</c:v>
                </c:pt>
                <c:pt idx="268">
                  <c:v>101</c:v>
                </c:pt>
                <c:pt idx="269">
                  <c:v>102</c:v>
                </c:pt>
                <c:pt idx="270">
                  <c:v>103</c:v>
                </c:pt>
                <c:pt idx="271">
                  <c:v>104</c:v>
                </c:pt>
                <c:pt idx="272">
                  <c:v>105</c:v>
                </c:pt>
                <c:pt idx="273">
                  <c:v>106</c:v>
                </c:pt>
                <c:pt idx="274">
                  <c:v>107</c:v>
                </c:pt>
                <c:pt idx="275">
                  <c:v>108</c:v>
                </c:pt>
                <c:pt idx="276">
                  <c:v>109</c:v>
                </c:pt>
                <c:pt idx="277">
                  <c:v>110</c:v>
                </c:pt>
                <c:pt idx="278">
                  <c:v>111</c:v>
                </c:pt>
                <c:pt idx="279">
                  <c:v>112</c:v>
                </c:pt>
                <c:pt idx="280">
                  <c:v>113</c:v>
                </c:pt>
                <c:pt idx="281">
                  <c:v>114</c:v>
                </c:pt>
                <c:pt idx="282">
                  <c:v>115</c:v>
                </c:pt>
                <c:pt idx="283">
                  <c:v>116</c:v>
                </c:pt>
                <c:pt idx="284">
                  <c:v>117</c:v>
                </c:pt>
                <c:pt idx="285">
                  <c:v>118</c:v>
                </c:pt>
                <c:pt idx="286">
                  <c:v>119</c:v>
                </c:pt>
                <c:pt idx="287">
                  <c:v>120</c:v>
                </c:pt>
                <c:pt idx="288">
                  <c:v>121</c:v>
                </c:pt>
                <c:pt idx="289">
                  <c:v>122</c:v>
                </c:pt>
                <c:pt idx="290">
                  <c:v>123</c:v>
                </c:pt>
                <c:pt idx="291">
                  <c:v>124</c:v>
                </c:pt>
                <c:pt idx="292">
                  <c:v>125</c:v>
                </c:pt>
                <c:pt idx="293">
                  <c:v>126</c:v>
                </c:pt>
                <c:pt idx="294">
                  <c:v>127</c:v>
                </c:pt>
                <c:pt idx="295">
                  <c:v>128</c:v>
                </c:pt>
                <c:pt idx="296">
                  <c:v>129</c:v>
                </c:pt>
                <c:pt idx="297">
                  <c:v>130</c:v>
                </c:pt>
                <c:pt idx="298">
                  <c:v>131</c:v>
                </c:pt>
                <c:pt idx="299">
                  <c:v>132</c:v>
                </c:pt>
                <c:pt idx="300">
                  <c:v>133</c:v>
                </c:pt>
                <c:pt idx="301">
                  <c:v>134</c:v>
                </c:pt>
                <c:pt idx="302">
                  <c:v>135</c:v>
                </c:pt>
                <c:pt idx="303">
                  <c:v>136</c:v>
                </c:pt>
                <c:pt idx="304">
                  <c:v>137</c:v>
                </c:pt>
                <c:pt idx="305">
                  <c:v>138</c:v>
                </c:pt>
                <c:pt idx="306">
                  <c:v>139</c:v>
                </c:pt>
                <c:pt idx="307">
                  <c:v>140</c:v>
                </c:pt>
                <c:pt idx="308">
                  <c:v>141</c:v>
                </c:pt>
                <c:pt idx="309">
                  <c:v>142</c:v>
                </c:pt>
                <c:pt idx="310">
                  <c:v>143</c:v>
                </c:pt>
                <c:pt idx="311">
                  <c:v>144</c:v>
                </c:pt>
                <c:pt idx="312">
                  <c:v>145</c:v>
                </c:pt>
                <c:pt idx="313">
                  <c:v>146</c:v>
                </c:pt>
                <c:pt idx="314">
                  <c:v>147</c:v>
                </c:pt>
                <c:pt idx="315">
                  <c:v>148</c:v>
                </c:pt>
                <c:pt idx="316">
                  <c:v>149</c:v>
                </c:pt>
                <c:pt idx="317">
                  <c:v>150</c:v>
                </c:pt>
                <c:pt idx="318">
                  <c:v>151</c:v>
                </c:pt>
                <c:pt idx="319">
                  <c:v>152</c:v>
                </c:pt>
                <c:pt idx="320">
                  <c:v>153</c:v>
                </c:pt>
                <c:pt idx="321">
                  <c:v>154</c:v>
                </c:pt>
                <c:pt idx="322">
                  <c:v>155</c:v>
                </c:pt>
                <c:pt idx="323">
                  <c:v>156</c:v>
                </c:pt>
                <c:pt idx="324">
                  <c:v>157</c:v>
                </c:pt>
                <c:pt idx="325">
                  <c:v>158</c:v>
                </c:pt>
                <c:pt idx="326">
                  <c:v>159</c:v>
                </c:pt>
                <c:pt idx="327">
                  <c:v>160</c:v>
                </c:pt>
                <c:pt idx="328">
                  <c:v>161</c:v>
                </c:pt>
                <c:pt idx="329">
                  <c:v>162</c:v>
                </c:pt>
                <c:pt idx="330">
                  <c:v>163</c:v>
                </c:pt>
                <c:pt idx="331">
                  <c:v>164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  <c:pt idx="335">
                  <c:v>168</c:v>
                </c:pt>
                <c:pt idx="336">
                  <c:v>169</c:v>
                </c:pt>
                <c:pt idx="337">
                  <c:v>170</c:v>
                </c:pt>
                <c:pt idx="338">
                  <c:v>171</c:v>
                </c:pt>
                <c:pt idx="339">
                  <c:v>172</c:v>
                </c:pt>
                <c:pt idx="340">
                  <c:v>173</c:v>
                </c:pt>
                <c:pt idx="341">
                  <c:v>174</c:v>
                </c:pt>
                <c:pt idx="342">
                  <c:v>175</c:v>
                </c:pt>
                <c:pt idx="343">
                  <c:v>176</c:v>
                </c:pt>
                <c:pt idx="344">
                  <c:v>177</c:v>
                </c:pt>
                <c:pt idx="345">
                  <c:v>178</c:v>
                </c:pt>
                <c:pt idx="346">
                  <c:v>179</c:v>
                </c:pt>
                <c:pt idx="347">
                  <c:v>180</c:v>
                </c:pt>
                <c:pt idx="348">
                  <c:v>0</c:v>
                </c:pt>
                <c:pt idx="349">
                  <c:v>1</c:v>
                </c:pt>
                <c:pt idx="350">
                  <c:v>2</c:v>
                </c:pt>
                <c:pt idx="351">
                  <c:v>3</c:v>
                </c:pt>
                <c:pt idx="352">
                  <c:v>4</c:v>
                </c:pt>
                <c:pt idx="353">
                  <c:v>5</c:v>
                </c:pt>
                <c:pt idx="354">
                  <c:v>6</c:v>
                </c:pt>
                <c:pt idx="355">
                  <c:v>7</c:v>
                </c:pt>
                <c:pt idx="356">
                  <c:v>8</c:v>
                </c:pt>
                <c:pt idx="357">
                  <c:v>9</c:v>
                </c:pt>
                <c:pt idx="358">
                  <c:v>10</c:v>
                </c:pt>
                <c:pt idx="359">
                  <c:v>11</c:v>
                </c:pt>
                <c:pt idx="360">
                  <c:v>12</c:v>
                </c:pt>
                <c:pt idx="361">
                  <c:v>13</c:v>
                </c:pt>
              </c:numCache>
            </c:numRef>
          </c:xVal>
          <c:yVal>
            <c:numRef>
              <c:f>'Fe36Cr Max + MD + Variance'!$H$286:$H$647</c:f>
              <c:numCache>
                <c:formatCode>General</c:formatCode>
                <c:ptCount val="362"/>
                <c:pt idx="0">
                  <c:v>0.78127286027798271</c:v>
                </c:pt>
                <c:pt idx="1">
                  <c:v>0.7784256559766789</c:v>
                </c:pt>
                <c:pt idx="2">
                  <c:v>0.77503628447024853</c:v>
                </c:pt>
                <c:pt idx="3">
                  <c:v>0.77167630057803682</c:v>
                </c:pt>
                <c:pt idx="4">
                  <c:v>0.76889848812095141</c:v>
                </c:pt>
                <c:pt idx="5">
                  <c:v>0.76559139784946262</c:v>
                </c:pt>
                <c:pt idx="6">
                  <c:v>0.7628571428571439</c:v>
                </c:pt>
                <c:pt idx="7">
                  <c:v>0.75960170697012974</c:v>
                </c:pt>
                <c:pt idx="8">
                  <c:v>0.7569099929128299</c:v>
                </c:pt>
                <c:pt idx="9">
                  <c:v>0.75423728813559465</c:v>
                </c:pt>
                <c:pt idx="10">
                  <c:v>0.75211267605634025</c:v>
                </c:pt>
                <c:pt idx="11">
                  <c:v>0.7494736842105264</c:v>
                </c:pt>
                <c:pt idx="12">
                  <c:v>0.74737578726382192</c:v>
                </c:pt>
                <c:pt idx="13">
                  <c:v>0.74528960223307739</c:v>
                </c:pt>
                <c:pt idx="14">
                  <c:v>0.74373259052924923</c:v>
                </c:pt>
                <c:pt idx="15">
                  <c:v>0.74218207088255916</c:v>
                </c:pt>
                <c:pt idx="16">
                  <c:v>0.74063800277392688</c:v>
                </c:pt>
                <c:pt idx="17">
                  <c:v>0.7396121883656519</c:v>
                </c:pt>
                <c:pt idx="18">
                  <c:v>0.73858921161825697</c:v>
                </c:pt>
                <c:pt idx="19">
                  <c:v>0.73756906077348028</c:v>
                </c:pt>
                <c:pt idx="20">
                  <c:v>0.73706004140786918</c:v>
                </c:pt>
                <c:pt idx="21">
                  <c:v>0.73706004140786918</c:v>
                </c:pt>
                <c:pt idx="22">
                  <c:v>0.73706004140786918</c:v>
                </c:pt>
                <c:pt idx="23">
                  <c:v>0.73706004140786918</c:v>
                </c:pt>
                <c:pt idx="24">
                  <c:v>0.73756906077348028</c:v>
                </c:pt>
                <c:pt idx="25">
                  <c:v>0.7380787836903957</c:v>
                </c:pt>
                <c:pt idx="26">
                  <c:v>0.73858921161825697</c:v>
                </c:pt>
                <c:pt idx="27">
                  <c:v>0.7396121883656519</c:v>
                </c:pt>
                <c:pt idx="28">
                  <c:v>0.74115197779319963</c:v>
                </c:pt>
                <c:pt idx="29">
                  <c:v>0.74269819193324182</c:v>
                </c:pt>
                <c:pt idx="30">
                  <c:v>0.74425087108013965</c:v>
                </c:pt>
                <c:pt idx="31">
                  <c:v>0.74581005586592275</c:v>
                </c:pt>
                <c:pt idx="32">
                  <c:v>0.74789915966386566</c:v>
                </c:pt>
                <c:pt idx="33">
                  <c:v>0.75000000000000233</c:v>
                </c:pt>
                <c:pt idx="34">
                  <c:v>0.75264270613108053</c:v>
                </c:pt>
                <c:pt idx="35">
                  <c:v>0.75477031802120309</c:v>
                </c:pt>
                <c:pt idx="36">
                  <c:v>0.75744680851063961</c:v>
                </c:pt>
                <c:pt idx="37">
                  <c:v>0.76068376068376087</c:v>
                </c:pt>
                <c:pt idx="38">
                  <c:v>0.76340243030736399</c:v>
                </c:pt>
                <c:pt idx="39">
                  <c:v>0.76614060258249617</c:v>
                </c:pt>
                <c:pt idx="40">
                  <c:v>0.76945244956772563</c:v>
                </c:pt>
                <c:pt idx="41">
                  <c:v>0.77279305354558625</c:v>
                </c:pt>
                <c:pt idx="42">
                  <c:v>0.77559912854030666</c:v>
                </c:pt>
                <c:pt idx="43">
                  <c:v>0.77899343544858002</c:v>
                </c:pt>
                <c:pt idx="44">
                  <c:v>0.78184480234260589</c:v>
                </c:pt>
                <c:pt idx="45">
                  <c:v>0.78529411764706114</c:v>
                </c:pt>
                <c:pt idx="46">
                  <c:v>0.7881918819188195</c:v>
                </c:pt>
                <c:pt idx="47">
                  <c:v>0.79111111111111132</c:v>
                </c:pt>
                <c:pt idx="48">
                  <c:v>0.79405204460966783</c:v>
                </c:pt>
                <c:pt idx="49">
                  <c:v>0.79642058165548235</c:v>
                </c:pt>
                <c:pt idx="50">
                  <c:v>0.79880329094988933</c:v>
                </c:pt>
                <c:pt idx="51">
                  <c:v>0.80059970014992643</c:v>
                </c:pt>
                <c:pt idx="52">
                  <c:v>0.8018018018018036</c:v>
                </c:pt>
                <c:pt idx="53">
                  <c:v>0.80300751879699317</c:v>
                </c:pt>
                <c:pt idx="54">
                  <c:v>0.80361173814898679</c:v>
                </c:pt>
                <c:pt idx="55">
                  <c:v>0.80361173814898679</c:v>
                </c:pt>
                <c:pt idx="56">
                  <c:v>0.80300751879699317</c:v>
                </c:pt>
                <c:pt idx="57">
                  <c:v>0.8018018018018036</c:v>
                </c:pt>
                <c:pt idx="58">
                  <c:v>0.80000000000000182</c:v>
                </c:pt>
                <c:pt idx="59">
                  <c:v>0.79761015683345993</c:v>
                </c:pt>
                <c:pt idx="60">
                  <c:v>0.79464285714285932</c:v>
                </c:pt>
                <c:pt idx="61">
                  <c:v>0.79169755374351347</c:v>
                </c:pt>
                <c:pt idx="62">
                  <c:v>0.78877400295421074</c:v>
                </c:pt>
                <c:pt idx="63">
                  <c:v>0.78529411764706114</c:v>
                </c:pt>
                <c:pt idx="64">
                  <c:v>0.78184480234260589</c:v>
                </c:pt>
                <c:pt idx="65">
                  <c:v>0.77785870356882947</c:v>
                </c:pt>
                <c:pt idx="66">
                  <c:v>0.77447425670776093</c:v>
                </c:pt>
                <c:pt idx="67">
                  <c:v>0.77111913357400885</c:v>
                </c:pt>
                <c:pt idx="68">
                  <c:v>0.76779295470884512</c:v>
                </c:pt>
                <c:pt idx="69">
                  <c:v>0.76504297994269588</c:v>
                </c:pt>
                <c:pt idx="91">
                  <c:v>0.76834532374100784</c:v>
                </c:pt>
                <c:pt idx="92">
                  <c:v>0.77167630057803682</c:v>
                </c:pt>
                <c:pt idx="93">
                  <c:v>0.77503628447024853</c:v>
                </c:pt>
                <c:pt idx="94">
                  <c:v>0.77899343544858002</c:v>
                </c:pt>
                <c:pt idx="95">
                  <c:v>0.78299120234604136</c:v>
                </c:pt>
                <c:pt idx="96">
                  <c:v>0.78703021370670723</c:v>
                </c:pt>
                <c:pt idx="97">
                  <c:v>0.79111111111111132</c:v>
                </c:pt>
                <c:pt idx="98">
                  <c:v>0.79464285714285932</c:v>
                </c:pt>
                <c:pt idx="99">
                  <c:v>0.79880329094988933</c:v>
                </c:pt>
                <c:pt idx="100">
                  <c:v>0.80300751879699317</c:v>
                </c:pt>
                <c:pt idx="101">
                  <c:v>0.80664652567975814</c:v>
                </c:pt>
                <c:pt idx="102">
                  <c:v>0.8103186646433993</c:v>
                </c:pt>
                <c:pt idx="103">
                  <c:v>0.81402439024390405</c:v>
                </c:pt>
                <c:pt idx="104">
                  <c:v>0.81713848508033726</c:v>
                </c:pt>
                <c:pt idx="105">
                  <c:v>0.82027649769585276</c:v>
                </c:pt>
                <c:pt idx="106">
                  <c:v>0.82280431432973777</c:v>
                </c:pt>
                <c:pt idx="107">
                  <c:v>0.82534775888717349</c:v>
                </c:pt>
                <c:pt idx="108">
                  <c:v>0.82726568551510526</c:v>
                </c:pt>
                <c:pt idx="109">
                  <c:v>0.82854926299457199</c:v>
                </c:pt>
                <c:pt idx="110">
                  <c:v>0.82983682983683116</c:v>
                </c:pt>
                <c:pt idx="111">
                  <c:v>0.83048211508553837</c:v>
                </c:pt>
                <c:pt idx="112">
                  <c:v>0.83048211508553837</c:v>
                </c:pt>
                <c:pt idx="113">
                  <c:v>0.82983682983683116</c:v>
                </c:pt>
                <c:pt idx="114">
                  <c:v>0.82919254658385322</c:v>
                </c:pt>
                <c:pt idx="115">
                  <c:v>0.82726568551510526</c:v>
                </c:pt>
                <c:pt idx="116">
                  <c:v>0.82598607888631115</c:v>
                </c:pt>
                <c:pt idx="117">
                  <c:v>0.82343870470316149</c:v>
                </c:pt>
                <c:pt idx="118">
                  <c:v>0.82090699461952399</c:v>
                </c:pt>
                <c:pt idx="119">
                  <c:v>0.81839080459770197</c:v>
                </c:pt>
                <c:pt idx="120">
                  <c:v>0.81526717557252026</c:v>
                </c:pt>
                <c:pt idx="121">
                  <c:v>0.81216730038023077</c:v>
                </c:pt>
                <c:pt idx="122">
                  <c:v>0.8084784254352787</c:v>
                </c:pt>
                <c:pt idx="123">
                  <c:v>0.80542986425339524</c:v>
                </c:pt>
                <c:pt idx="124">
                  <c:v>0.8018018018018036</c:v>
                </c:pt>
                <c:pt idx="125">
                  <c:v>0.79820627802690836</c:v>
                </c:pt>
                <c:pt idx="126">
                  <c:v>0.79405204460966783</c:v>
                </c:pt>
                <c:pt idx="127">
                  <c:v>0.79052553663952618</c:v>
                </c:pt>
                <c:pt idx="128">
                  <c:v>0.78703021370670723</c:v>
                </c:pt>
                <c:pt idx="129">
                  <c:v>0.78356566397652383</c:v>
                </c:pt>
                <c:pt idx="130">
                  <c:v>0.78013148283418565</c:v>
                </c:pt>
                <c:pt idx="131">
                  <c:v>0.77672727272727515</c:v>
                </c:pt>
                <c:pt idx="132">
                  <c:v>0.77335264301231232</c:v>
                </c:pt>
                <c:pt idx="133">
                  <c:v>0.77000720980533577</c:v>
                </c:pt>
                <c:pt idx="134">
                  <c:v>0.76724137931034464</c:v>
                </c:pt>
                <c:pt idx="135">
                  <c:v>0.76449534717251344</c:v>
                </c:pt>
                <c:pt idx="136">
                  <c:v>0.76231263383297709</c:v>
                </c:pt>
                <c:pt idx="137">
                  <c:v>0.76014234875445086</c:v>
                </c:pt>
                <c:pt idx="138">
                  <c:v>0.7579843860894262</c:v>
                </c:pt>
                <c:pt idx="139">
                  <c:v>0.75583864118896182</c:v>
                </c:pt>
                <c:pt idx="140">
                  <c:v>0.75477031802120309</c:v>
                </c:pt>
                <c:pt idx="141">
                  <c:v>0.75317348377997217</c:v>
                </c:pt>
                <c:pt idx="142">
                  <c:v>0.75211267605634025</c:v>
                </c:pt>
                <c:pt idx="143">
                  <c:v>0.75158339197748225</c:v>
                </c:pt>
                <c:pt idx="144">
                  <c:v>0.75105485232067737</c:v>
                </c:pt>
                <c:pt idx="145">
                  <c:v>0.75105485232067737</c:v>
                </c:pt>
                <c:pt idx="146">
                  <c:v>0.75105485232067737</c:v>
                </c:pt>
                <c:pt idx="147">
                  <c:v>0.75158339197748225</c:v>
                </c:pt>
                <c:pt idx="148">
                  <c:v>0.75211267605634025</c:v>
                </c:pt>
                <c:pt idx="149">
                  <c:v>0.75317348377997217</c:v>
                </c:pt>
                <c:pt idx="150">
                  <c:v>0.75423728813559465</c:v>
                </c:pt>
                <c:pt idx="151">
                  <c:v>0.75583864118896182</c:v>
                </c:pt>
                <c:pt idx="152">
                  <c:v>0.7579843860894262</c:v>
                </c:pt>
                <c:pt idx="153">
                  <c:v>0.75960170697012974</c:v>
                </c:pt>
                <c:pt idx="154">
                  <c:v>0.76231263383297709</c:v>
                </c:pt>
                <c:pt idx="155">
                  <c:v>0.76449534717251344</c:v>
                </c:pt>
                <c:pt idx="156">
                  <c:v>0.76724137931034464</c:v>
                </c:pt>
                <c:pt idx="157">
                  <c:v>0.77000720980533577</c:v>
                </c:pt>
                <c:pt idx="158">
                  <c:v>0.77335264301231232</c:v>
                </c:pt>
                <c:pt idx="159">
                  <c:v>0.77616279069767524</c:v>
                </c:pt>
                <c:pt idx="160">
                  <c:v>0.77956204379562288</c:v>
                </c:pt>
                <c:pt idx="161">
                  <c:v>0.78299120234604136</c:v>
                </c:pt>
                <c:pt idx="162">
                  <c:v>0.78587196467991283</c:v>
                </c:pt>
                <c:pt idx="163">
                  <c:v>0.78935698447893543</c:v>
                </c:pt>
                <c:pt idx="164">
                  <c:v>0.79228486646884499</c:v>
                </c:pt>
                <c:pt idx="165">
                  <c:v>0.79523454951600892</c:v>
                </c:pt>
                <c:pt idx="166">
                  <c:v>0.79761015683345993</c:v>
                </c:pt>
                <c:pt idx="251">
                  <c:v>0.91910499139414792</c:v>
                </c:pt>
                <c:pt idx="252">
                  <c:v>0.92307692307692379</c:v>
                </c:pt>
                <c:pt idx="253">
                  <c:v>0.92708333333333315</c:v>
                </c:pt>
                <c:pt idx="254">
                  <c:v>0.93031358885017612</c:v>
                </c:pt>
                <c:pt idx="255">
                  <c:v>0.93438320209973824</c:v>
                </c:pt>
                <c:pt idx="256">
                  <c:v>0.93848857644991235</c:v>
                </c:pt>
                <c:pt idx="257">
                  <c:v>0.94263018534863174</c:v>
                </c:pt>
                <c:pt idx="258">
                  <c:v>0.94680851063829796</c:v>
                </c:pt>
                <c:pt idx="259">
                  <c:v>0.95102404274265562</c:v>
                </c:pt>
                <c:pt idx="260">
                  <c:v>0.9552772808586788</c:v>
                </c:pt>
                <c:pt idx="261">
                  <c:v>0.95956873315363866</c:v>
                </c:pt>
                <c:pt idx="262">
                  <c:v>0.96389891696751018</c:v>
                </c:pt>
                <c:pt idx="263">
                  <c:v>0.96826835902085417</c:v>
                </c:pt>
                <c:pt idx="264">
                  <c:v>0.97179253867152138</c:v>
                </c:pt>
                <c:pt idx="265">
                  <c:v>0.97623400365630841</c:v>
                </c:pt>
                <c:pt idx="266">
                  <c:v>0.97981651376147028</c:v>
                </c:pt>
                <c:pt idx="267">
                  <c:v>0.98342541436464137</c:v>
                </c:pt>
                <c:pt idx="268">
                  <c:v>0.98706099815157278</c:v>
                </c:pt>
                <c:pt idx="269">
                  <c:v>0.98980537534754554</c:v>
                </c:pt>
                <c:pt idx="270">
                  <c:v>0.99256505576208331</c:v>
                </c:pt>
                <c:pt idx="271">
                  <c:v>0.99441340782123122</c:v>
                </c:pt>
                <c:pt idx="272">
                  <c:v>0.99626865671641973</c:v>
                </c:pt>
                <c:pt idx="273">
                  <c:v>0.99813084112149741</c:v>
                </c:pt>
                <c:pt idx="274">
                  <c:v>0.999064546304958</c:v>
                </c:pt>
                <c:pt idx="27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A6-1641-9FBA-61209DF20467}"/>
            </c:ext>
          </c:extLst>
        </c:ser>
        <c:ser>
          <c:idx val="5"/>
          <c:order val="3"/>
          <c:tx>
            <c:strRef>
              <c:f>'Fe36Cr Max + MD + Variance'!$A$648</c:f>
              <c:strCache>
                <c:ptCount val="1"/>
                <c:pt idx="0">
                  <c:v>Thermally Equilibrated SAW</c:v>
                </c:pt>
              </c:strCache>
            </c:strRef>
          </c:tx>
          <c:spPr>
            <a:ln w="19050">
              <a:noFill/>
            </a:ln>
          </c:spPr>
          <c:xVal>
            <c:numRef>
              <c:f>'Fe36Cr Max + MD + Variance'!$D$648:$D$1009</c:f>
              <c:numCache>
                <c:formatCode>General</c:formatCode>
                <c:ptCount val="362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  <c:pt idx="37">
                  <c:v>51</c:v>
                </c:pt>
                <c:pt idx="38">
                  <c:v>52</c:v>
                </c:pt>
                <c:pt idx="39">
                  <c:v>53</c:v>
                </c:pt>
                <c:pt idx="40">
                  <c:v>54</c:v>
                </c:pt>
                <c:pt idx="41">
                  <c:v>55</c:v>
                </c:pt>
                <c:pt idx="42">
                  <c:v>56</c:v>
                </c:pt>
                <c:pt idx="43">
                  <c:v>57</c:v>
                </c:pt>
                <c:pt idx="44">
                  <c:v>58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62</c:v>
                </c:pt>
                <c:pt idx="49">
                  <c:v>63</c:v>
                </c:pt>
                <c:pt idx="50">
                  <c:v>64</c:v>
                </c:pt>
                <c:pt idx="51">
                  <c:v>65</c:v>
                </c:pt>
                <c:pt idx="52">
                  <c:v>66</c:v>
                </c:pt>
                <c:pt idx="53">
                  <c:v>67</c:v>
                </c:pt>
                <c:pt idx="54">
                  <c:v>68</c:v>
                </c:pt>
                <c:pt idx="55">
                  <c:v>69</c:v>
                </c:pt>
                <c:pt idx="56">
                  <c:v>70</c:v>
                </c:pt>
                <c:pt idx="57">
                  <c:v>71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88</c:v>
                </c:pt>
                <c:pt idx="75">
                  <c:v>89</c:v>
                </c:pt>
                <c:pt idx="76">
                  <c:v>90</c:v>
                </c:pt>
                <c:pt idx="77">
                  <c:v>91</c:v>
                </c:pt>
                <c:pt idx="78">
                  <c:v>92</c:v>
                </c:pt>
                <c:pt idx="79">
                  <c:v>93</c:v>
                </c:pt>
                <c:pt idx="80">
                  <c:v>94</c:v>
                </c:pt>
                <c:pt idx="81">
                  <c:v>95</c:v>
                </c:pt>
                <c:pt idx="82">
                  <c:v>96</c:v>
                </c:pt>
                <c:pt idx="83">
                  <c:v>97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108</c:v>
                </c:pt>
                <c:pt idx="95">
                  <c:v>109</c:v>
                </c:pt>
                <c:pt idx="96">
                  <c:v>110</c:v>
                </c:pt>
                <c:pt idx="97">
                  <c:v>111</c:v>
                </c:pt>
                <c:pt idx="98">
                  <c:v>112</c:v>
                </c:pt>
                <c:pt idx="99">
                  <c:v>113</c:v>
                </c:pt>
                <c:pt idx="100">
                  <c:v>114</c:v>
                </c:pt>
                <c:pt idx="101">
                  <c:v>115</c:v>
                </c:pt>
                <c:pt idx="102">
                  <c:v>116</c:v>
                </c:pt>
                <c:pt idx="103">
                  <c:v>117</c:v>
                </c:pt>
                <c:pt idx="104">
                  <c:v>118</c:v>
                </c:pt>
                <c:pt idx="105">
                  <c:v>119</c:v>
                </c:pt>
                <c:pt idx="106">
                  <c:v>120</c:v>
                </c:pt>
                <c:pt idx="107">
                  <c:v>121</c:v>
                </c:pt>
                <c:pt idx="108">
                  <c:v>122</c:v>
                </c:pt>
                <c:pt idx="109">
                  <c:v>123</c:v>
                </c:pt>
                <c:pt idx="110">
                  <c:v>124</c:v>
                </c:pt>
                <c:pt idx="111">
                  <c:v>125</c:v>
                </c:pt>
                <c:pt idx="112">
                  <c:v>126</c:v>
                </c:pt>
                <c:pt idx="113">
                  <c:v>127</c:v>
                </c:pt>
                <c:pt idx="114">
                  <c:v>128</c:v>
                </c:pt>
                <c:pt idx="115">
                  <c:v>129</c:v>
                </c:pt>
                <c:pt idx="116">
                  <c:v>130</c:v>
                </c:pt>
                <c:pt idx="117">
                  <c:v>131</c:v>
                </c:pt>
                <c:pt idx="118">
                  <c:v>132</c:v>
                </c:pt>
                <c:pt idx="119">
                  <c:v>133</c:v>
                </c:pt>
                <c:pt idx="120">
                  <c:v>134</c:v>
                </c:pt>
                <c:pt idx="121">
                  <c:v>135</c:v>
                </c:pt>
                <c:pt idx="122">
                  <c:v>136</c:v>
                </c:pt>
                <c:pt idx="123">
                  <c:v>137</c:v>
                </c:pt>
                <c:pt idx="124">
                  <c:v>138</c:v>
                </c:pt>
                <c:pt idx="125">
                  <c:v>139</c:v>
                </c:pt>
                <c:pt idx="126">
                  <c:v>140</c:v>
                </c:pt>
                <c:pt idx="127">
                  <c:v>141</c:v>
                </c:pt>
                <c:pt idx="128">
                  <c:v>142</c:v>
                </c:pt>
                <c:pt idx="129">
                  <c:v>143</c:v>
                </c:pt>
                <c:pt idx="130">
                  <c:v>144</c:v>
                </c:pt>
                <c:pt idx="131">
                  <c:v>145</c:v>
                </c:pt>
                <c:pt idx="132">
                  <c:v>146</c:v>
                </c:pt>
                <c:pt idx="133">
                  <c:v>147</c:v>
                </c:pt>
                <c:pt idx="134">
                  <c:v>148</c:v>
                </c:pt>
                <c:pt idx="135">
                  <c:v>149</c:v>
                </c:pt>
                <c:pt idx="136">
                  <c:v>150</c:v>
                </c:pt>
                <c:pt idx="137">
                  <c:v>151</c:v>
                </c:pt>
                <c:pt idx="138">
                  <c:v>152</c:v>
                </c:pt>
                <c:pt idx="139">
                  <c:v>153</c:v>
                </c:pt>
                <c:pt idx="140">
                  <c:v>154</c:v>
                </c:pt>
                <c:pt idx="141">
                  <c:v>155</c:v>
                </c:pt>
                <c:pt idx="142">
                  <c:v>156</c:v>
                </c:pt>
                <c:pt idx="143">
                  <c:v>157</c:v>
                </c:pt>
                <c:pt idx="144">
                  <c:v>158</c:v>
                </c:pt>
                <c:pt idx="145">
                  <c:v>159</c:v>
                </c:pt>
                <c:pt idx="146">
                  <c:v>160</c:v>
                </c:pt>
                <c:pt idx="147">
                  <c:v>161</c:v>
                </c:pt>
                <c:pt idx="148">
                  <c:v>162</c:v>
                </c:pt>
                <c:pt idx="149">
                  <c:v>163</c:v>
                </c:pt>
                <c:pt idx="150">
                  <c:v>164</c:v>
                </c:pt>
                <c:pt idx="151">
                  <c:v>165</c:v>
                </c:pt>
                <c:pt idx="152">
                  <c:v>166</c:v>
                </c:pt>
                <c:pt idx="153">
                  <c:v>167</c:v>
                </c:pt>
                <c:pt idx="154">
                  <c:v>168</c:v>
                </c:pt>
                <c:pt idx="155">
                  <c:v>169</c:v>
                </c:pt>
                <c:pt idx="156">
                  <c:v>170</c:v>
                </c:pt>
                <c:pt idx="157">
                  <c:v>171</c:v>
                </c:pt>
                <c:pt idx="158">
                  <c:v>172</c:v>
                </c:pt>
                <c:pt idx="159">
                  <c:v>173</c:v>
                </c:pt>
                <c:pt idx="160">
                  <c:v>174</c:v>
                </c:pt>
                <c:pt idx="161">
                  <c:v>175</c:v>
                </c:pt>
                <c:pt idx="162">
                  <c:v>176</c:v>
                </c:pt>
                <c:pt idx="163">
                  <c:v>177</c:v>
                </c:pt>
                <c:pt idx="164">
                  <c:v>178</c:v>
                </c:pt>
                <c:pt idx="165">
                  <c:v>179</c:v>
                </c:pt>
                <c:pt idx="166">
                  <c:v>180</c:v>
                </c:pt>
                <c:pt idx="167">
                  <c:v>0</c:v>
                </c:pt>
                <c:pt idx="168">
                  <c:v>1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5</c:v>
                </c:pt>
                <c:pt idx="173">
                  <c:v>6</c:v>
                </c:pt>
                <c:pt idx="174">
                  <c:v>7</c:v>
                </c:pt>
                <c:pt idx="175">
                  <c:v>8</c:v>
                </c:pt>
                <c:pt idx="176">
                  <c:v>9</c:v>
                </c:pt>
                <c:pt idx="177">
                  <c:v>10</c:v>
                </c:pt>
                <c:pt idx="178">
                  <c:v>11</c:v>
                </c:pt>
                <c:pt idx="179">
                  <c:v>12</c:v>
                </c:pt>
                <c:pt idx="180">
                  <c:v>13</c:v>
                </c:pt>
                <c:pt idx="181">
                  <c:v>14</c:v>
                </c:pt>
                <c:pt idx="182">
                  <c:v>15</c:v>
                </c:pt>
                <c:pt idx="183">
                  <c:v>16</c:v>
                </c:pt>
                <c:pt idx="184">
                  <c:v>17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21</c:v>
                </c:pt>
                <c:pt idx="189">
                  <c:v>22</c:v>
                </c:pt>
                <c:pt idx="190">
                  <c:v>23</c:v>
                </c:pt>
                <c:pt idx="191">
                  <c:v>24</c:v>
                </c:pt>
                <c:pt idx="192">
                  <c:v>25</c:v>
                </c:pt>
                <c:pt idx="193">
                  <c:v>26</c:v>
                </c:pt>
                <c:pt idx="194">
                  <c:v>27</c:v>
                </c:pt>
                <c:pt idx="195">
                  <c:v>28</c:v>
                </c:pt>
                <c:pt idx="196">
                  <c:v>29</c:v>
                </c:pt>
                <c:pt idx="197">
                  <c:v>30</c:v>
                </c:pt>
                <c:pt idx="198">
                  <c:v>31</c:v>
                </c:pt>
                <c:pt idx="199">
                  <c:v>32</c:v>
                </c:pt>
                <c:pt idx="200">
                  <c:v>33</c:v>
                </c:pt>
                <c:pt idx="201">
                  <c:v>34</c:v>
                </c:pt>
                <c:pt idx="202">
                  <c:v>35</c:v>
                </c:pt>
                <c:pt idx="203">
                  <c:v>36</c:v>
                </c:pt>
                <c:pt idx="204">
                  <c:v>37</c:v>
                </c:pt>
                <c:pt idx="205">
                  <c:v>38</c:v>
                </c:pt>
                <c:pt idx="206">
                  <c:v>39</c:v>
                </c:pt>
                <c:pt idx="207">
                  <c:v>40</c:v>
                </c:pt>
                <c:pt idx="208">
                  <c:v>41</c:v>
                </c:pt>
                <c:pt idx="209">
                  <c:v>42</c:v>
                </c:pt>
                <c:pt idx="210">
                  <c:v>43</c:v>
                </c:pt>
                <c:pt idx="211">
                  <c:v>44</c:v>
                </c:pt>
                <c:pt idx="212">
                  <c:v>45</c:v>
                </c:pt>
                <c:pt idx="213">
                  <c:v>46</c:v>
                </c:pt>
                <c:pt idx="214">
                  <c:v>47</c:v>
                </c:pt>
                <c:pt idx="215">
                  <c:v>48</c:v>
                </c:pt>
                <c:pt idx="216">
                  <c:v>49</c:v>
                </c:pt>
                <c:pt idx="217">
                  <c:v>50</c:v>
                </c:pt>
                <c:pt idx="218">
                  <c:v>51</c:v>
                </c:pt>
                <c:pt idx="219">
                  <c:v>52</c:v>
                </c:pt>
                <c:pt idx="220">
                  <c:v>53</c:v>
                </c:pt>
                <c:pt idx="221">
                  <c:v>54</c:v>
                </c:pt>
                <c:pt idx="222">
                  <c:v>55</c:v>
                </c:pt>
                <c:pt idx="223">
                  <c:v>56</c:v>
                </c:pt>
                <c:pt idx="224">
                  <c:v>57</c:v>
                </c:pt>
                <c:pt idx="225">
                  <c:v>58</c:v>
                </c:pt>
                <c:pt idx="226">
                  <c:v>59</c:v>
                </c:pt>
                <c:pt idx="227">
                  <c:v>60</c:v>
                </c:pt>
                <c:pt idx="228">
                  <c:v>61</c:v>
                </c:pt>
                <c:pt idx="229">
                  <c:v>62</c:v>
                </c:pt>
                <c:pt idx="230">
                  <c:v>63</c:v>
                </c:pt>
                <c:pt idx="231">
                  <c:v>64</c:v>
                </c:pt>
                <c:pt idx="232">
                  <c:v>65</c:v>
                </c:pt>
                <c:pt idx="233">
                  <c:v>66</c:v>
                </c:pt>
                <c:pt idx="234">
                  <c:v>67</c:v>
                </c:pt>
                <c:pt idx="235">
                  <c:v>68</c:v>
                </c:pt>
                <c:pt idx="236">
                  <c:v>69</c:v>
                </c:pt>
                <c:pt idx="237">
                  <c:v>70</c:v>
                </c:pt>
                <c:pt idx="238">
                  <c:v>71</c:v>
                </c:pt>
                <c:pt idx="239">
                  <c:v>72</c:v>
                </c:pt>
                <c:pt idx="240">
                  <c:v>73</c:v>
                </c:pt>
                <c:pt idx="241">
                  <c:v>74</c:v>
                </c:pt>
                <c:pt idx="242">
                  <c:v>75</c:v>
                </c:pt>
                <c:pt idx="243">
                  <c:v>76</c:v>
                </c:pt>
                <c:pt idx="244">
                  <c:v>77</c:v>
                </c:pt>
                <c:pt idx="245">
                  <c:v>78</c:v>
                </c:pt>
                <c:pt idx="246">
                  <c:v>79</c:v>
                </c:pt>
                <c:pt idx="247">
                  <c:v>80</c:v>
                </c:pt>
                <c:pt idx="248">
                  <c:v>81</c:v>
                </c:pt>
                <c:pt idx="249">
                  <c:v>82</c:v>
                </c:pt>
                <c:pt idx="250">
                  <c:v>83</c:v>
                </c:pt>
                <c:pt idx="251">
                  <c:v>84</c:v>
                </c:pt>
                <c:pt idx="252">
                  <c:v>85</c:v>
                </c:pt>
                <c:pt idx="253">
                  <c:v>86</c:v>
                </c:pt>
                <c:pt idx="254">
                  <c:v>87</c:v>
                </c:pt>
                <c:pt idx="255">
                  <c:v>88</c:v>
                </c:pt>
                <c:pt idx="256">
                  <c:v>89</c:v>
                </c:pt>
                <c:pt idx="257">
                  <c:v>90</c:v>
                </c:pt>
                <c:pt idx="258">
                  <c:v>91</c:v>
                </c:pt>
                <c:pt idx="259">
                  <c:v>92</c:v>
                </c:pt>
                <c:pt idx="260">
                  <c:v>93</c:v>
                </c:pt>
                <c:pt idx="261">
                  <c:v>94</c:v>
                </c:pt>
                <c:pt idx="262">
                  <c:v>95</c:v>
                </c:pt>
                <c:pt idx="263">
                  <c:v>96</c:v>
                </c:pt>
                <c:pt idx="264">
                  <c:v>97</c:v>
                </c:pt>
                <c:pt idx="265">
                  <c:v>98</c:v>
                </c:pt>
                <c:pt idx="266">
                  <c:v>99</c:v>
                </c:pt>
                <c:pt idx="267">
                  <c:v>100</c:v>
                </c:pt>
                <c:pt idx="268">
                  <c:v>101</c:v>
                </c:pt>
                <c:pt idx="269">
                  <c:v>102</c:v>
                </c:pt>
                <c:pt idx="270">
                  <c:v>103</c:v>
                </c:pt>
                <c:pt idx="271">
                  <c:v>104</c:v>
                </c:pt>
                <c:pt idx="272">
                  <c:v>105</c:v>
                </c:pt>
                <c:pt idx="273">
                  <c:v>106</c:v>
                </c:pt>
                <c:pt idx="274">
                  <c:v>107</c:v>
                </c:pt>
                <c:pt idx="275">
                  <c:v>108</c:v>
                </c:pt>
                <c:pt idx="276">
                  <c:v>109</c:v>
                </c:pt>
                <c:pt idx="277">
                  <c:v>110</c:v>
                </c:pt>
                <c:pt idx="278">
                  <c:v>111</c:v>
                </c:pt>
                <c:pt idx="279">
                  <c:v>112</c:v>
                </c:pt>
                <c:pt idx="280">
                  <c:v>113</c:v>
                </c:pt>
                <c:pt idx="281">
                  <c:v>114</c:v>
                </c:pt>
                <c:pt idx="282">
                  <c:v>115</c:v>
                </c:pt>
                <c:pt idx="283">
                  <c:v>116</c:v>
                </c:pt>
                <c:pt idx="284">
                  <c:v>117</c:v>
                </c:pt>
                <c:pt idx="285">
                  <c:v>118</c:v>
                </c:pt>
                <c:pt idx="286">
                  <c:v>119</c:v>
                </c:pt>
                <c:pt idx="287">
                  <c:v>120</c:v>
                </c:pt>
                <c:pt idx="288">
                  <c:v>121</c:v>
                </c:pt>
                <c:pt idx="289">
                  <c:v>122</c:v>
                </c:pt>
                <c:pt idx="290">
                  <c:v>123</c:v>
                </c:pt>
                <c:pt idx="291">
                  <c:v>124</c:v>
                </c:pt>
                <c:pt idx="292">
                  <c:v>125</c:v>
                </c:pt>
                <c:pt idx="293">
                  <c:v>126</c:v>
                </c:pt>
                <c:pt idx="294">
                  <c:v>127</c:v>
                </c:pt>
                <c:pt idx="295">
                  <c:v>128</c:v>
                </c:pt>
                <c:pt idx="296">
                  <c:v>129</c:v>
                </c:pt>
                <c:pt idx="297">
                  <c:v>130</c:v>
                </c:pt>
                <c:pt idx="298">
                  <c:v>131</c:v>
                </c:pt>
                <c:pt idx="299">
                  <c:v>132</c:v>
                </c:pt>
                <c:pt idx="300">
                  <c:v>133</c:v>
                </c:pt>
                <c:pt idx="301">
                  <c:v>134</c:v>
                </c:pt>
                <c:pt idx="302">
                  <c:v>135</c:v>
                </c:pt>
                <c:pt idx="303">
                  <c:v>136</c:v>
                </c:pt>
                <c:pt idx="304">
                  <c:v>137</c:v>
                </c:pt>
                <c:pt idx="305">
                  <c:v>138</c:v>
                </c:pt>
                <c:pt idx="306">
                  <c:v>139</c:v>
                </c:pt>
                <c:pt idx="307">
                  <c:v>140</c:v>
                </c:pt>
                <c:pt idx="308">
                  <c:v>141</c:v>
                </c:pt>
                <c:pt idx="309">
                  <c:v>142</c:v>
                </c:pt>
                <c:pt idx="310">
                  <c:v>143</c:v>
                </c:pt>
                <c:pt idx="311">
                  <c:v>144</c:v>
                </c:pt>
                <c:pt idx="312">
                  <c:v>145</c:v>
                </c:pt>
                <c:pt idx="313">
                  <c:v>146</c:v>
                </c:pt>
                <c:pt idx="314">
                  <c:v>147</c:v>
                </c:pt>
                <c:pt idx="315">
                  <c:v>148</c:v>
                </c:pt>
                <c:pt idx="316">
                  <c:v>149</c:v>
                </c:pt>
                <c:pt idx="317">
                  <c:v>150</c:v>
                </c:pt>
                <c:pt idx="318">
                  <c:v>151</c:v>
                </c:pt>
                <c:pt idx="319">
                  <c:v>152</c:v>
                </c:pt>
                <c:pt idx="320">
                  <c:v>153</c:v>
                </c:pt>
                <c:pt idx="321">
                  <c:v>154</c:v>
                </c:pt>
                <c:pt idx="322">
                  <c:v>155</c:v>
                </c:pt>
                <c:pt idx="323">
                  <c:v>156</c:v>
                </c:pt>
                <c:pt idx="324">
                  <c:v>157</c:v>
                </c:pt>
                <c:pt idx="325">
                  <c:v>158</c:v>
                </c:pt>
                <c:pt idx="326">
                  <c:v>159</c:v>
                </c:pt>
                <c:pt idx="327">
                  <c:v>160</c:v>
                </c:pt>
                <c:pt idx="328">
                  <c:v>161</c:v>
                </c:pt>
                <c:pt idx="329">
                  <c:v>162</c:v>
                </c:pt>
                <c:pt idx="330">
                  <c:v>163</c:v>
                </c:pt>
                <c:pt idx="331">
                  <c:v>164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  <c:pt idx="335">
                  <c:v>168</c:v>
                </c:pt>
                <c:pt idx="336">
                  <c:v>169</c:v>
                </c:pt>
                <c:pt idx="337">
                  <c:v>170</c:v>
                </c:pt>
                <c:pt idx="338">
                  <c:v>171</c:v>
                </c:pt>
                <c:pt idx="339">
                  <c:v>172</c:v>
                </c:pt>
                <c:pt idx="340">
                  <c:v>173</c:v>
                </c:pt>
                <c:pt idx="341">
                  <c:v>174</c:v>
                </c:pt>
                <c:pt idx="342">
                  <c:v>175</c:v>
                </c:pt>
                <c:pt idx="343">
                  <c:v>176</c:v>
                </c:pt>
                <c:pt idx="344">
                  <c:v>177</c:v>
                </c:pt>
                <c:pt idx="345">
                  <c:v>178</c:v>
                </c:pt>
                <c:pt idx="346">
                  <c:v>179</c:v>
                </c:pt>
                <c:pt idx="347">
                  <c:v>180</c:v>
                </c:pt>
                <c:pt idx="348">
                  <c:v>0</c:v>
                </c:pt>
                <c:pt idx="349">
                  <c:v>1</c:v>
                </c:pt>
                <c:pt idx="350">
                  <c:v>2</c:v>
                </c:pt>
                <c:pt idx="351">
                  <c:v>3</c:v>
                </c:pt>
                <c:pt idx="352">
                  <c:v>4</c:v>
                </c:pt>
                <c:pt idx="353">
                  <c:v>5</c:v>
                </c:pt>
                <c:pt idx="354">
                  <c:v>6</c:v>
                </c:pt>
                <c:pt idx="355">
                  <c:v>7</c:v>
                </c:pt>
                <c:pt idx="356">
                  <c:v>8</c:v>
                </c:pt>
                <c:pt idx="357">
                  <c:v>9</c:v>
                </c:pt>
                <c:pt idx="358">
                  <c:v>10</c:v>
                </c:pt>
                <c:pt idx="359">
                  <c:v>11</c:v>
                </c:pt>
                <c:pt idx="360">
                  <c:v>12</c:v>
                </c:pt>
                <c:pt idx="361">
                  <c:v>13</c:v>
                </c:pt>
              </c:numCache>
            </c:numRef>
          </c:xVal>
          <c:yVal>
            <c:numRef>
              <c:f>'Fe36Cr Max + MD + Variance'!$H$648:$H$1009</c:f>
              <c:numCache>
                <c:formatCode>General</c:formatCode>
                <c:ptCount val="362"/>
                <c:pt idx="0">
                  <c:v>0.75744680851063961</c:v>
                </c:pt>
                <c:pt idx="1">
                  <c:v>0.75423728813559465</c:v>
                </c:pt>
                <c:pt idx="2">
                  <c:v>0.75052705551651466</c:v>
                </c:pt>
                <c:pt idx="3">
                  <c:v>0.74737578726382192</c:v>
                </c:pt>
                <c:pt idx="4">
                  <c:v>0.74425087108013965</c:v>
                </c:pt>
                <c:pt idx="5">
                  <c:v>0.74063800277392688</c:v>
                </c:pt>
                <c:pt idx="6">
                  <c:v>0.73756906077348028</c:v>
                </c:pt>
                <c:pt idx="7">
                  <c:v>0.73452544704264322</c:v>
                </c:pt>
                <c:pt idx="8">
                  <c:v>0.7315068493150686</c:v>
                </c:pt>
                <c:pt idx="9">
                  <c:v>0.72851296043656255</c:v>
                </c:pt>
                <c:pt idx="10">
                  <c:v>0.72603670972127932</c:v>
                </c:pt>
                <c:pt idx="11">
                  <c:v>0.72357723577235955</c:v>
                </c:pt>
                <c:pt idx="12">
                  <c:v>0.72113436866981884</c:v>
                </c:pt>
                <c:pt idx="13">
                  <c:v>0.71919191919192116</c:v>
                </c:pt>
                <c:pt idx="14">
                  <c:v>0.7172599059771656</c:v>
                </c:pt>
                <c:pt idx="15">
                  <c:v>0.71581769436997489</c:v>
                </c:pt>
                <c:pt idx="16">
                  <c:v>0.71438127090301118</c:v>
                </c:pt>
                <c:pt idx="17">
                  <c:v>0.71295060080106865</c:v>
                </c:pt>
                <c:pt idx="18">
                  <c:v>0.71199999999999986</c:v>
                </c:pt>
                <c:pt idx="19">
                  <c:v>0.71105193075898876</c:v>
                </c:pt>
                <c:pt idx="20">
                  <c:v>0.7105788423153695</c:v>
                </c:pt>
                <c:pt idx="21">
                  <c:v>0.71010638297872486</c:v>
                </c:pt>
                <c:pt idx="22">
                  <c:v>0.71010638297872486</c:v>
                </c:pt>
                <c:pt idx="23">
                  <c:v>0.71010638297872486</c:v>
                </c:pt>
                <c:pt idx="24">
                  <c:v>0.7105788423153695</c:v>
                </c:pt>
                <c:pt idx="25">
                  <c:v>0.71105193075898876</c:v>
                </c:pt>
                <c:pt idx="26">
                  <c:v>0.71199999999999986</c:v>
                </c:pt>
                <c:pt idx="27">
                  <c:v>0.71295060080106865</c:v>
                </c:pt>
                <c:pt idx="28">
                  <c:v>0.71438127090301118</c:v>
                </c:pt>
                <c:pt idx="29">
                  <c:v>0.71581769436997489</c:v>
                </c:pt>
                <c:pt idx="30">
                  <c:v>0.71774193548387233</c:v>
                </c:pt>
                <c:pt idx="31">
                  <c:v>0.71967654986523133</c:v>
                </c:pt>
                <c:pt idx="32">
                  <c:v>0.72162162162162413</c:v>
                </c:pt>
                <c:pt idx="33">
                  <c:v>0.72406779661016951</c:v>
                </c:pt>
                <c:pt idx="34">
                  <c:v>0.72653061224489857</c:v>
                </c:pt>
                <c:pt idx="35">
                  <c:v>0.72901023890785233</c:v>
                </c:pt>
                <c:pt idx="36">
                  <c:v>0.73200822481151517</c:v>
                </c:pt>
                <c:pt idx="37">
                  <c:v>0.73503097040605692</c:v>
                </c:pt>
                <c:pt idx="38">
                  <c:v>0.7380787836903957</c:v>
                </c:pt>
                <c:pt idx="39">
                  <c:v>0.74115197779319963</c:v>
                </c:pt>
                <c:pt idx="40">
                  <c:v>0.74425087108013965</c:v>
                </c:pt>
                <c:pt idx="41">
                  <c:v>0.74789915966386566</c:v>
                </c:pt>
                <c:pt idx="42">
                  <c:v>0.75105485232067737</c:v>
                </c:pt>
                <c:pt idx="43">
                  <c:v>0.75477031802120309</c:v>
                </c:pt>
                <c:pt idx="44">
                  <c:v>0.7579843860894262</c:v>
                </c:pt>
                <c:pt idx="45">
                  <c:v>0.76122594440484836</c:v>
                </c:pt>
                <c:pt idx="46">
                  <c:v>0.76449534717251344</c:v>
                </c:pt>
                <c:pt idx="47">
                  <c:v>0.76779295470884512</c:v>
                </c:pt>
                <c:pt idx="48">
                  <c:v>0.77056277056277001</c:v>
                </c:pt>
                <c:pt idx="49">
                  <c:v>0.77335264301231232</c:v>
                </c:pt>
                <c:pt idx="50">
                  <c:v>0.77559912854030666</c:v>
                </c:pt>
                <c:pt idx="51">
                  <c:v>0.77785870356882947</c:v>
                </c:pt>
                <c:pt idx="52">
                  <c:v>0.77899343544858002</c:v>
                </c:pt>
                <c:pt idx="53">
                  <c:v>0.78013148283418565</c:v>
                </c:pt>
                <c:pt idx="54">
                  <c:v>0.78070175438596512</c:v>
                </c:pt>
                <c:pt idx="55">
                  <c:v>0.78070175438596512</c:v>
                </c:pt>
                <c:pt idx="56">
                  <c:v>0.78013148283418565</c:v>
                </c:pt>
                <c:pt idx="57">
                  <c:v>0.7784256559766789</c:v>
                </c:pt>
                <c:pt idx="58">
                  <c:v>0.77616279069767524</c:v>
                </c:pt>
                <c:pt idx="59">
                  <c:v>0.77391304347826162</c:v>
                </c:pt>
                <c:pt idx="60">
                  <c:v>0.77111913357400885</c:v>
                </c:pt>
                <c:pt idx="61">
                  <c:v>0.76779295470884512</c:v>
                </c:pt>
                <c:pt idx="62">
                  <c:v>0.7639484978540777</c:v>
                </c:pt>
                <c:pt idx="63">
                  <c:v>0.76068376068376087</c:v>
                </c:pt>
                <c:pt idx="64">
                  <c:v>0.7569099929128299</c:v>
                </c:pt>
                <c:pt idx="65">
                  <c:v>0.75264270613108053</c:v>
                </c:pt>
                <c:pt idx="66">
                  <c:v>0.74894810659186783</c:v>
                </c:pt>
                <c:pt idx="67">
                  <c:v>0.74528960223307739</c:v>
                </c:pt>
                <c:pt idx="68">
                  <c:v>0.74218207088255916</c:v>
                </c:pt>
                <c:pt idx="69">
                  <c:v>0.73858921161825697</c:v>
                </c:pt>
                <c:pt idx="91">
                  <c:v>0.74166666666666903</c:v>
                </c:pt>
                <c:pt idx="92">
                  <c:v>0.74528960223307739</c:v>
                </c:pt>
                <c:pt idx="93">
                  <c:v>0.74894810659186783</c:v>
                </c:pt>
                <c:pt idx="94">
                  <c:v>0.75317348377997217</c:v>
                </c:pt>
                <c:pt idx="95">
                  <c:v>0.7569099929128299</c:v>
                </c:pt>
                <c:pt idx="96">
                  <c:v>0.76122594440484836</c:v>
                </c:pt>
                <c:pt idx="97">
                  <c:v>0.76559139784946262</c:v>
                </c:pt>
                <c:pt idx="98">
                  <c:v>0.77000720980533577</c:v>
                </c:pt>
                <c:pt idx="99">
                  <c:v>0.77391304347826162</c:v>
                </c:pt>
                <c:pt idx="100">
                  <c:v>0.7784256559766789</c:v>
                </c:pt>
                <c:pt idx="101">
                  <c:v>0.78241758241758219</c:v>
                </c:pt>
                <c:pt idx="102">
                  <c:v>0.78645066273932485</c:v>
                </c:pt>
                <c:pt idx="103">
                  <c:v>0.79052553663952618</c:v>
                </c:pt>
                <c:pt idx="104">
                  <c:v>0.79405204460966783</c:v>
                </c:pt>
                <c:pt idx="105">
                  <c:v>0.79701492537313456</c:v>
                </c:pt>
                <c:pt idx="106">
                  <c:v>0.80000000000000182</c:v>
                </c:pt>
                <c:pt idx="107">
                  <c:v>0.80240420736288542</c:v>
                </c:pt>
                <c:pt idx="108">
                  <c:v>0.80482290881688168</c:v>
                </c:pt>
                <c:pt idx="109">
                  <c:v>0.80603773584905647</c:v>
                </c:pt>
                <c:pt idx="110">
                  <c:v>0.80725623582766681</c:v>
                </c:pt>
                <c:pt idx="111">
                  <c:v>0.80786686838124155</c:v>
                </c:pt>
                <c:pt idx="112">
                  <c:v>0.80786686838124155</c:v>
                </c:pt>
                <c:pt idx="113">
                  <c:v>0.80725623582766681</c:v>
                </c:pt>
                <c:pt idx="114">
                  <c:v>0.80603773584905647</c:v>
                </c:pt>
                <c:pt idx="115">
                  <c:v>0.80482290881688168</c:v>
                </c:pt>
                <c:pt idx="116">
                  <c:v>0.80300751879699317</c:v>
                </c:pt>
                <c:pt idx="117">
                  <c:v>0.80059970014992643</c:v>
                </c:pt>
                <c:pt idx="118">
                  <c:v>0.79820627802690836</c:v>
                </c:pt>
                <c:pt idx="119">
                  <c:v>0.79464285714285932</c:v>
                </c:pt>
                <c:pt idx="120">
                  <c:v>0.79169755374351347</c:v>
                </c:pt>
                <c:pt idx="121">
                  <c:v>0.7881918819188195</c:v>
                </c:pt>
                <c:pt idx="122">
                  <c:v>0.78471711976487957</c:v>
                </c:pt>
                <c:pt idx="123">
                  <c:v>0.78070175438596512</c:v>
                </c:pt>
                <c:pt idx="124">
                  <c:v>0.77672727272727515</c:v>
                </c:pt>
                <c:pt idx="125">
                  <c:v>0.77279305354558625</c:v>
                </c:pt>
                <c:pt idx="126">
                  <c:v>0.76889848812095141</c:v>
                </c:pt>
                <c:pt idx="127">
                  <c:v>0.76504297994269588</c:v>
                </c:pt>
                <c:pt idx="128">
                  <c:v>0.76122594440484836</c:v>
                </c:pt>
                <c:pt idx="129">
                  <c:v>0.75744680851063961</c:v>
                </c:pt>
                <c:pt idx="130">
                  <c:v>0.75370501058574535</c:v>
                </c:pt>
                <c:pt idx="131">
                  <c:v>0.75052705551651466</c:v>
                </c:pt>
                <c:pt idx="132">
                  <c:v>0.74685314685314852</c:v>
                </c:pt>
                <c:pt idx="133">
                  <c:v>0.74373259052924923</c:v>
                </c:pt>
                <c:pt idx="134">
                  <c:v>0.74063800277392688</c:v>
                </c:pt>
                <c:pt idx="135">
                  <c:v>0.73756906077348028</c:v>
                </c:pt>
                <c:pt idx="136">
                  <c:v>0.73503097040605692</c:v>
                </c:pt>
                <c:pt idx="137">
                  <c:v>0.73301304049416716</c:v>
                </c:pt>
                <c:pt idx="138">
                  <c:v>0.73050615595075186</c:v>
                </c:pt>
                <c:pt idx="139">
                  <c:v>0.72901023890785233</c:v>
                </c:pt>
                <c:pt idx="140">
                  <c:v>0.72702518720218046</c:v>
                </c:pt>
                <c:pt idx="141">
                  <c:v>0.72603670972127932</c:v>
                </c:pt>
                <c:pt idx="142">
                  <c:v>0.72505091649694542</c:v>
                </c:pt>
                <c:pt idx="143">
                  <c:v>0.72406779661016951</c:v>
                </c:pt>
                <c:pt idx="144">
                  <c:v>0.72357723577235955</c:v>
                </c:pt>
                <c:pt idx="145">
                  <c:v>0.72357723577235955</c:v>
                </c:pt>
                <c:pt idx="146">
                  <c:v>0.72357723577235955</c:v>
                </c:pt>
                <c:pt idx="147">
                  <c:v>0.72406779661016951</c:v>
                </c:pt>
                <c:pt idx="148">
                  <c:v>0.72505091649694542</c:v>
                </c:pt>
                <c:pt idx="149">
                  <c:v>0.72603670972127932</c:v>
                </c:pt>
                <c:pt idx="150">
                  <c:v>0.72752043596730231</c:v>
                </c:pt>
                <c:pt idx="151">
                  <c:v>0.72901023890785233</c:v>
                </c:pt>
                <c:pt idx="152">
                  <c:v>0.73100616016427244</c:v>
                </c:pt>
                <c:pt idx="153">
                  <c:v>0.73351648351648335</c:v>
                </c:pt>
                <c:pt idx="154">
                  <c:v>0.73604410751206217</c:v>
                </c:pt>
                <c:pt idx="155">
                  <c:v>0.73858921161825697</c:v>
                </c:pt>
                <c:pt idx="156">
                  <c:v>0.74166666666666903</c:v>
                </c:pt>
                <c:pt idx="157">
                  <c:v>0.74476987447698717</c:v>
                </c:pt>
                <c:pt idx="158">
                  <c:v>0.74789915966386566</c:v>
                </c:pt>
                <c:pt idx="159">
                  <c:v>0.75105485232067737</c:v>
                </c:pt>
                <c:pt idx="160">
                  <c:v>0.75477031802120309</c:v>
                </c:pt>
                <c:pt idx="161">
                  <c:v>0.7579843860894262</c:v>
                </c:pt>
                <c:pt idx="162">
                  <c:v>0.76176890156918919</c:v>
                </c:pt>
                <c:pt idx="163">
                  <c:v>0.76504297994269588</c:v>
                </c:pt>
                <c:pt idx="164">
                  <c:v>0.76834532374100784</c:v>
                </c:pt>
                <c:pt idx="165">
                  <c:v>0.77167630057803682</c:v>
                </c:pt>
                <c:pt idx="166">
                  <c:v>0.77447425670776093</c:v>
                </c:pt>
                <c:pt idx="167">
                  <c:v>0.77672727272727515</c:v>
                </c:pt>
                <c:pt idx="168">
                  <c:v>0.7784256559766789</c:v>
                </c:pt>
                <c:pt idx="169">
                  <c:v>0.77956204379562288</c:v>
                </c:pt>
                <c:pt idx="170">
                  <c:v>0.78013148283418565</c:v>
                </c:pt>
                <c:pt idx="171">
                  <c:v>0.77956204379562288</c:v>
                </c:pt>
                <c:pt idx="172">
                  <c:v>0.77899343544858002</c:v>
                </c:pt>
                <c:pt idx="173">
                  <c:v>0.77729257641921479</c:v>
                </c:pt>
                <c:pt idx="174">
                  <c:v>0.77559912854030666</c:v>
                </c:pt>
                <c:pt idx="175">
                  <c:v>0.77279305354558625</c:v>
                </c:pt>
                <c:pt idx="176">
                  <c:v>0.77056277056277001</c:v>
                </c:pt>
                <c:pt idx="177">
                  <c:v>0.76724137931034464</c:v>
                </c:pt>
                <c:pt idx="178">
                  <c:v>0.7639484978540777</c:v>
                </c:pt>
                <c:pt idx="179">
                  <c:v>0.76068376068376087</c:v>
                </c:pt>
                <c:pt idx="180">
                  <c:v>0.75744680851063961</c:v>
                </c:pt>
                <c:pt idx="251">
                  <c:v>0.89447236180904721</c:v>
                </c:pt>
                <c:pt idx="252">
                  <c:v>0.89823380992430613</c:v>
                </c:pt>
                <c:pt idx="253">
                  <c:v>0.90202702702702786</c:v>
                </c:pt>
                <c:pt idx="254">
                  <c:v>0.90662139219015381</c:v>
                </c:pt>
                <c:pt idx="255">
                  <c:v>0.91048593350383777</c:v>
                </c:pt>
                <c:pt idx="256">
                  <c:v>0.91438356164383583</c:v>
                </c:pt>
                <c:pt idx="257">
                  <c:v>0.91910499139414792</c:v>
                </c:pt>
                <c:pt idx="258">
                  <c:v>0.92307692307692379</c:v>
                </c:pt>
                <c:pt idx="259">
                  <c:v>0.92788879235447486</c:v>
                </c:pt>
                <c:pt idx="260">
                  <c:v>0.93193717277487087</c:v>
                </c:pt>
                <c:pt idx="261">
                  <c:v>0.93684210526315881</c:v>
                </c:pt>
                <c:pt idx="262">
                  <c:v>0.94096916299559474</c:v>
                </c:pt>
                <c:pt idx="263">
                  <c:v>0.94596988485385547</c:v>
                </c:pt>
                <c:pt idx="264">
                  <c:v>0.9501779359430621</c:v>
                </c:pt>
                <c:pt idx="265">
                  <c:v>0.95442359249329978</c:v>
                </c:pt>
                <c:pt idx="266">
                  <c:v>0.95870736086175934</c:v>
                </c:pt>
                <c:pt idx="267">
                  <c:v>0.96216216216216244</c:v>
                </c:pt>
                <c:pt idx="268">
                  <c:v>0.96564195298372746</c:v>
                </c:pt>
                <c:pt idx="269">
                  <c:v>0.96914700544464616</c:v>
                </c:pt>
                <c:pt idx="270">
                  <c:v>0.97267759562841705</c:v>
                </c:pt>
                <c:pt idx="271">
                  <c:v>0.97445255474452785</c:v>
                </c:pt>
                <c:pt idx="272">
                  <c:v>0.97712717291857487</c:v>
                </c:pt>
                <c:pt idx="273">
                  <c:v>0.97891842346471314</c:v>
                </c:pt>
                <c:pt idx="274">
                  <c:v>0.97981651376147028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A6-1641-9FBA-61209DF20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Relative Surface Angle [degrees]</a:t>
                </a:r>
              </a:p>
            </c:rich>
          </c:tx>
          <c:layout>
            <c:manualLayout>
              <c:xMode val="edge"/>
              <c:yMode val="edge"/>
              <c:x val="0.33838425892873036"/>
              <c:y val="0.894924754817805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</c:valAx>
      <c:valAx>
        <c:axId val="1791294527"/>
        <c:scaling>
          <c:orientation val="minMax"/>
          <c:max val="1"/>
          <c:min val="0.65000000000000013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2.9157658795603811E-2"/>
              <c:y val="0.1337271052204790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5.000000000000001E-2"/>
      </c:valAx>
    </c:plotArea>
    <c:legend>
      <c:legendPos val="t"/>
      <c:layout>
        <c:manualLayout>
          <c:xMode val="edge"/>
          <c:yMode val="edge"/>
          <c:x val="0.65291553443891037"/>
          <c:y val="0.15736424285258113"/>
          <c:w val="0.34708447627996075"/>
          <c:h val="0.32163306085306259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4/13/24 1st Homogenization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'Fe36Cr Max + MD'!$G$9</c:f>
              <c:strCache>
                <c:ptCount val="1"/>
                <c:pt idx="0">
                  <c:v>SAW_speed[ms^-1]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+ MD'!$C$10:$C$55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B-8D43-B5A6-96F179AAC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4/27/24 1hr</a:t>
            </a:r>
            <a:r>
              <a:rPr lang="en-US" baseline="0"/>
              <a:t> 500C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+ MD'!$C$56:$C$103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+ MD'!$G$56:$G$103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'Fe36Cr Max Reformat'!#REF!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5AC-E243-ABBA-6AAA11DDE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4/28/24 10hr</a:t>
            </a:r>
            <a:r>
              <a:rPr lang="en-US" baseline="0"/>
              <a:t> 500C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+ MD'!$C$104:$C$137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'Fe36Cr Max Reformat'!#REF!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69D-2245-B530-FA2F5AC25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5/10/2024-5/19/2024 Polished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+ MD'!$C$138:$C$186</c:f>
              <c:numCache>
                <c:formatCode>0</c:formatCode>
                <c:ptCount val="49"/>
                <c:pt idx="0" formatCode="General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'Fe36Cr Max Reformat'!#REF!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67A-5940-A58F-2895C2ED4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7/11/2024 3rd Homogenization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+ MD'!$C$236:$C$285</c:f>
              <c:numCache>
                <c:formatCode>General</c:formatCode>
                <c:ptCount val="50"/>
                <c:pt idx="0">
                  <c:v>-8</c:v>
                </c:pt>
                <c:pt idx="1">
                  <c:v>-4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52</c:v>
                </c:pt>
                <c:pt idx="16">
                  <c:v>56</c:v>
                </c:pt>
                <c:pt idx="17">
                  <c:v>60</c:v>
                </c:pt>
                <c:pt idx="18">
                  <c:v>64</c:v>
                </c:pt>
                <c:pt idx="19">
                  <c:v>68</c:v>
                </c:pt>
                <c:pt idx="20">
                  <c:v>72</c:v>
                </c:pt>
                <c:pt idx="21">
                  <c:v>76</c:v>
                </c:pt>
                <c:pt idx="22">
                  <c:v>80</c:v>
                </c:pt>
                <c:pt idx="23">
                  <c:v>84</c:v>
                </c:pt>
                <c:pt idx="24">
                  <c:v>88</c:v>
                </c:pt>
                <c:pt idx="25">
                  <c:v>92</c:v>
                </c:pt>
                <c:pt idx="26">
                  <c:v>96</c:v>
                </c:pt>
                <c:pt idx="27">
                  <c:v>100</c:v>
                </c:pt>
                <c:pt idx="28">
                  <c:v>104</c:v>
                </c:pt>
                <c:pt idx="29">
                  <c:v>108</c:v>
                </c:pt>
                <c:pt idx="30">
                  <c:v>112</c:v>
                </c:pt>
                <c:pt idx="31">
                  <c:v>116</c:v>
                </c:pt>
                <c:pt idx="32">
                  <c:v>120</c:v>
                </c:pt>
                <c:pt idx="33">
                  <c:v>124</c:v>
                </c:pt>
                <c:pt idx="34">
                  <c:v>128</c:v>
                </c:pt>
                <c:pt idx="35">
                  <c:v>132</c:v>
                </c:pt>
                <c:pt idx="36">
                  <c:v>136</c:v>
                </c:pt>
                <c:pt idx="37">
                  <c:v>140</c:v>
                </c:pt>
                <c:pt idx="38">
                  <c:v>144</c:v>
                </c:pt>
                <c:pt idx="39">
                  <c:v>148</c:v>
                </c:pt>
                <c:pt idx="40">
                  <c:v>152</c:v>
                </c:pt>
                <c:pt idx="41">
                  <c:v>156</c:v>
                </c:pt>
                <c:pt idx="42">
                  <c:v>160</c:v>
                </c:pt>
                <c:pt idx="43">
                  <c:v>164</c:v>
                </c:pt>
                <c:pt idx="44">
                  <c:v>168</c:v>
                </c:pt>
                <c:pt idx="45">
                  <c:v>172</c:v>
                </c:pt>
                <c:pt idx="46">
                  <c:v>176</c:v>
                </c:pt>
                <c:pt idx="47">
                  <c:v>180</c:v>
                </c:pt>
                <c:pt idx="48">
                  <c:v>184</c:v>
                </c:pt>
                <c:pt idx="49">
                  <c:v>188</c:v>
                </c:pt>
              </c:numCache>
            </c:numRef>
          </c:xVal>
          <c:yVal>
            <c:numRef>
              <c:f>'Fe36Cr Max + MD'!$G$236:$G$285</c:f>
              <c:numCache>
                <c:formatCode>0.00</c:formatCode>
                <c:ptCount val="50"/>
                <c:pt idx="0">
                  <c:v>2801.71</c:v>
                </c:pt>
                <c:pt idx="1">
                  <c:v>2855.21</c:v>
                </c:pt>
                <c:pt idx="2">
                  <c:v>2902.28</c:v>
                </c:pt>
                <c:pt idx="3">
                  <c:v>2918.79</c:v>
                </c:pt>
                <c:pt idx="4">
                  <c:v>2885.36</c:v>
                </c:pt>
                <c:pt idx="5">
                  <c:v>2836.8</c:v>
                </c:pt>
                <c:pt idx="6">
                  <c:v>2788.31</c:v>
                </c:pt>
                <c:pt idx="7">
                  <c:v>2746.26</c:v>
                </c:pt>
                <c:pt idx="8">
                  <c:v>2707.68</c:v>
                </c:pt>
                <c:pt idx="9">
                  <c:v>2679.1</c:v>
                </c:pt>
                <c:pt idx="10">
                  <c:v>2647.64</c:v>
                </c:pt>
                <c:pt idx="11">
                  <c:v>2641.63</c:v>
                </c:pt>
                <c:pt idx="12">
                  <c:v>2645.04</c:v>
                </c:pt>
                <c:pt idx="13">
                  <c:v>2689.64</c:v>
                </c:pt>
                <c:pt idx="14">
                  <c:v>2709.99</c:v>
                </c:pt>
                <c:pt idx="15">
                  <c:v>2756.29</c:v>
                </c:pt>
                <c:pt idx="16">
                  <c:v>2606.7800000000002</c:v>
                </c:pt>
                <c:pt idx="17">
                  <c:v>2626.14</c:v>
                </c:pt>
                <c:pt idx="18">
                  <c:v>2909.63</c:v>
                </c:pt>
                <c:pt idx="19">
                  <c:v>2938.93</c:v>
                </c:pt>
                <c:pt idx="20">
                  <c:v>2927.01</c:v>
                </c:pt>
                <c:pt idx="21">
                  <c:v>2882.75</c:v>
                </c:pt>
                <c:pt idx="22">
                  <c:v>3340.73</c:v>
                </c:pt>
                <c:pt idx="23">
                  <c:v>3352.28</c:v>
                </c:pt>
                <c:pt idx="24">
                  <c:v>3381.97</c:v>
                </c:pt>
                <c:pt idx="25">
                  <c:v>3425.27</c:v>
                </c:pt>
                <c:pt idx="26">
                  <c:v>3477.5</c:v>
                </c:pt>
                <c:pt idx="27">
                  <c:v>3496.09</c:v>
                </c:pt>
                <c:pt idx="28">
                  <c:v>3545.64</c:v>
                </c:pt>
                <c:pt idx="29">
                  <c:v>3567.4</c:v>
                </c:pt>
                <c:pt idx="30">
                  <c:v>3496.81</c:v>
                </c:pt>
                <c:pt idx="31">
                  <c:v>2950.25</c:v>
                </c:pt>
                <c:pt idx="32">
                  <c:v>3009.35</c:v>
                </c:pt>
                <c:pt idx="33">
                  <c:v>3027.71</c:v>
                </c:pt>
                <c:pt idx="34">
                  <c:v>3023.74</c:v>
                </c:pt>
                <c:pt idx="35">
                  <c:v>2991.44</c:v>
                </c:pt>
                <c:pt idx="36">
                  <c:v>2952.67</c:v>
                </c:pt>
                <c:pt idx="37">
                  <c:v>2889.2</c:v>
                </c:pt>
                <c:pt idx="38">
                  <c:v>2825.65</c:v>
                </c:pt>
                <c:pt idx="39">
                  <c:v>2914.15</c:v>
                </c:pt>
                <c:pt idx="40">
                  <c:v>2754.28</c:v>
                </c:pt>
                <c:pt idx="41">
                  <c:v>2733.49</c:v>
                </c:pt>
                <c:pt idx="42">
                  <c:v>2714.5</c:v>
                </c:pt>
                <c:pt idx="43">
                  <c:v>2686.93</c:v>
                </c:pt>
                <c:pt idx="44">
                  <c:v>2728.17</c:v>
                </c:pt>
                <c:pt idx="45">
                  <c:v>2689.63</c:v>
                </c:pt>
                <c:pt idx="46">
                  <c:v>2698.6</c:v>
                </c:pt>
                <c:pt idx="47">
                  <c:v>2654.38</c:v>
                </c:pt>
                <c:pt idx="48">
                  <c:v>2662.52</c:v>
                </c:pt>
                <c:pt idx="49">
                  <c:v>2727.59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A-9C41-8CEF-18B13AEEB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5/25/2024</a:t>
            </a:r>
            <a:r>
              <a:rPr lang="en-US" baseline="0"/>
              <a:t> 2nd Homogenization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+ MD'!$C$187:$C$235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MD'!$G$187:$G$235</c:f>
              <c:numCache>
                <c:formatCode>0.00</c:formatCode>
                <c:ptCount val="49"/>
                <c:pt idx="0">
                  <c:v>2912.63</c:v>
                </c:pt>
                <c:pt idx="1">
                  <c:v>2918.54</c:v>
                </c:pt>
                <c:pt idx="2">
                  <c:v>2883.85</c:v>
                </c:pt>
                <c:pt idx="3">
                  <c:v>2833.31</c:v>
                </c:pt>
                <c:pt idx="4">
                  <c:v>2782.36</c:v>
                </c:pt>
                <c:pt idx="5">
                  <c:v>2739.77</c:v>
                </c:pt>
                <c:pt idx="6">
                  <c:v>2705.83</c:v>
                </c:pt>
                <c:pt idx="7">
                  <c:v>2674.53</c:v>
                </c:pt>
                <c:pt idx="8">
                  <c:v>2649.28</c:v>
                </c:pt>
                <c:pt idx="9">
                  <c:v>2668.04</c:v>
                </c:pt>
                <c:pt idx="10">
                  <c:v>2673.74</c:v>
                </c:pt>
                <c:pt idx="11">
                  <c:v>2703.25</c:v>
                </c:pt>
                <c:pt idx="12">
                  <c:v>2738.57</c:v>
                </c:pt>
                <c:pt idx="13">
                  <c:v>2714.81</c:v>
                </c:pt>
                <c:pt idx="14">
                  <c:v>2797.16</c:v>
                </c:pt>
                <c:pt idx="15">
                  <c:v>2874.37</c:v>
                </c:pt>
                <c:pt idx="16">
                  <c:v>2915.04</c:v>
                </c:pt>
                <c:pt idx="17">
                  <c:v>2938.32</c:v>
                </c:pt>
                <c:pt idx="18">
                  <c:v>2897.89</c:v>
                </c:pt>
                <c:pt idx="19">
                  <c:v>2775.79</c:v>
                </c:pt>
                <c:pt idx="20">
                  <c:v>3325.78</c:v>
                </c:pt>
                <c:pt idx="21">
                  <c:v>3332.4</c:v>
                </c:pt>
                <c:pt idx="22">
                  <c:v>3212.53</c:v>
                </c:pt>
                <c:pt idx="23">
                  <c:v>3401.34</c:v>
                </c:pt>
                <c:pt idx="24">
                  <c:v>3463.72</c:v>
                </c:pt>
                <c:pt idx="25">
                  <c:v>3482.44</c:v>
                </c:pt>
                <c:pt idx="26">
                  <c:v>3561.59</c:v>
                </c:pt>
                <c:pt idx="27">
                  <c:v>3541.41</c:v>
                </c:pt>
                <c:pt idx="28">
                  <c:v>2933.84</c:v>
                </c:pt>
                <c:pt idx="29">
                  <c:v>2991.48</c:v>
                </c:pt>
                <c:pt idx="30">
                  <c:v>3024.97</c:v>
                </c:pt>
                <c:pt idx="31">
                  <c:v>3031.79</c:v>
                </c:pt>
                <c:pt idx="32">
                  <c:v>3009.79</c:v>
                </c:pt>
                <c:pt idx="33">
                  <c:v>2984.62</c:v>
                </c:pt>
                <c:pt idx="34">
                  <c:v>2919.69</c:v>
                </c:pt>
                <c:pt idx="35">
                  <c:v>2903.62</c:v>
                </c:pt>
                <c:pt idx="36">
                  <c:v>2815.94</c:v>
                </c:pt>
                <c:pt idx="37">
                  <c:v>2784.22</c:v>
                </c:pt>
                <c:pt idx="38">
                  <c:v>2755.88</c:v>
                </c:pt>
                <c:pt idx="39">
                  <c:v>2727.17</c:v>
                </c:pt>
                <c:pt idx="40">
                  <c:v>2734.55</c:v>
                </c:pt>
                <c:pt idx="41">
                  <c:v>2746.06</c:v>
                </c:pt>
                <c:pt idx="42">
                  <c:v>2770.3</c:v>
                </c:pt>
                <c:pt idx="43">
                  <c:v>2816.48</c:v>
                </c:pt>
                <c:pt idx="44">
                  <c:v>2863.26</c:v>
                </c:pt>
                <c:pt idx="45">
                  <c:v>2915.02</c:v>
                </c:pt>
                <c:pt idx="46">
                  <c:v>2918.5</c:v>
                </c:pt>
                <c:pt idx="47">
                  <c:v>2877.57</c:v>
                </c:pt>
                <c:pt idx="48">
                  <c:v>2824.06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3B-D640-BE8F-F97952BF9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</a:t>
            </a:r>
            <a:r>
              <a:rPr lang="en-US" baseline="0"/>
              <a:t> of Polishing </a:t>
            </a:r>
            <a:r>
              <a:rPr lang="en-US"/>
              <a:t>SAW</a:t>
            </a:r>
            <a:r>
              <a:rPr lang="en-US" baseline="0"/>
              <a:t> Speed vs Degrees Rotation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500C 10hr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'Fe36Cr Max + MD'!$C$104:$C$137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E7-6242-A280-734EF64869AB}"/>
            </c:ext>
          </c:extLst>
        </c:ser>
        <c:ser>
          <c:idx val="3"/>
          <c:order val="1"/>
          <c:tx>
            <c:v>500C 10hr polished</c:v>
          </c:tx>
          <c:spPr>
            <a:ln w="25400">
              <a:noFill/>
            </a:ln>
          </c:spPr>
          <c:marker>
            <c:symbol val="triangle"/>
            <c:size val="7"/>
          </c:marker>
          <c:xVal>
            <c:numRef>
              <c:f>'Fe36Cr Max + MD'!$C$138:$C$186</c:f>
              <c:numCache>
                <c:formatCode>0</c:formatCode>
                <c:ptCount val="49"/>
                <c:pt idx="0" formatCode="General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E7-6242-A280-734EF6486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Fe36Cr</a:t>
            </a:r>
            <a:r>
              <a:rPr lang="en-US" baseline="0"/>
              <a:t> </a:t>
            </a:r>
            <a:r>
              <a:rPr lang="en-US"/>
              <a:t>SAW</a:t>
            </a:r>
            <a:r>
              <a:rPr lang="en-US" baseline="0"/>
              <a:t> Speed vs Degrees Rotation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xVal>
            <c:numRef>
              <c:f>'Fe36Cr Max + MD'!$C$10:$C$55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1C-E448-8484-8C0D3018E2EE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xVal>
            <c:numRef>
              <c:f>'Fe36Cr Max + MD'!$C$56:$C$103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+ MD'!$G$56:$G$103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1C-E448-8484-8C0D3018E2EE}"/>
            </c:ext>
          </c:extLst>
        </c:ser>
        <c:ser>
          <c:idx val="2"/>
          <c:order val="2"/>
          <c:tx>
            <c:v>500C 10hr</c:v>
          </c:tx>
          <c:spPr>
            <a:ln w="25400">
              <a:noFill/>
            </a:ln>
          </c:spPr>
          <c:xVal>
            <c:numRef>
              <c:f>'Fe36Cr Max + MD'!$C$104:$C$137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1C-E448-8484-8C0D3018E2EE}"/>
            </c:ext>
          </c:extLst>
        </c:ser>
        <c:ser>
          <c:idx val="4"/>
          <c:order val="3"/>
          <c:tx>
            <c:v>2nd homogenization</c:v>
          </c:tx>
          <c:spPr>
            <a:ln w="25400">
              <a:noFill/>
            </a:ln>
          </c:spPr>
          <c:xVal>
            <c:numRef>
              <c:f>'Fe36Cr Max + MD'!$C$187:$C$235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MD'!$G$187:$G$235</c:f>
              <c:numCache>
                <c:formatCode>0.00</c:formatCode>
                <c:ptCount val="49"/>
                <c:pt idx="0">
                  <c:v>2912.63</c:v>
                </c:pt>
                <c:pt idx="1">
                  <c:v>2918.54</c:v>
                </c:pt>
                <c:pt idx="2">
                  <c:v>2883.85</c:v>
                </c:pt>
                <c:pt idx="3">
                  <c:v>2833.31</c:v>
                </c:pt>
                <c:pt idx="4">
                  <c:v>2782.36</c:v>
                </c:pt>
                <c:pt idx="5">
                  <c:v>2739.77</c:v>
                </c:pt>
                <c:pt idx="6">
                  <c:v>2705.83</c:v>
                </c:pt>
                <c:pt idx="7">
                  <c:v>2674.53</c:v>
                </c:pt>
                <c:pt idx="8">
                  <c:v>2649.28</c:v>
                </c:pt>
                <c:pt idx="9">
                  <c:v>2668.04</c:v>
                </c:pt>
                <c:pt idx="10">
                  <c:v>2673.74</c:v>
                </c:pt>
                <c:pt idx="11">
                  <c:v>2703.25</c:v>
                </c:pt>
                <c:pt idx="12">
                  <c:v>2738.57</c:v>
                </c:pt>
                <c:pt idx="13">
                  <c:v>2714.81</c:v>
                </c:pt>
                <c:pt idx="14">
                  <c:v>2797.16</c:v>
                </c:pt>
                <c:pt idx="15">
                  <c:v>2874.37</c:v>
                </c:pt>
                <c:pt idx="16">
                  <c:v>2915.04</c:v>
                </c:pt>
                <c:pt idx="17">
                  <c:v>2938.32</c:v>
                </c:pt>
                <c:pt idx="18">
                  <c:v>2897.89</c:v>
                </c:pt>
                <c:pt idx="19">
                  <c:v>2775.79</c:v>
                </c:pt>
                <c:pt idx="20">
                  <c:v>3325.78</c:v>
                </c:pt>
                <c:pt idx="21">
                  <c:v>3332.4</c:v>
                </c:pt>
                <c:pt idx="22">
                  <c:v>3212.53</c:v>
                </c:pt>
                <c:pt idx="23">
                  <c:v>3401.34</c:v>
                </c:pt>
                <c:pt idx="24">
                  <c:v>3463.72</c:v>
                </c:pt>
                <c:pt idx="25">
                  <c:v>3482.44</c:v>
                </c:pt>
                <c:pt idx="26">
                  <c:v>3561.59</c:v>
                </c:pt>
                <c:pt idx="27">
                  <c:v>3541.41</c:v>
                </c:pt>
                <c:pt idx="28">
                  <c:v>2933.84</c:v>
                </c:pt>
                <c:pt idx="29">
                  <c:v>2991.48</c:v>
                </c:pt>
                <c:pt idx="30">
                  <c:v>3024.97</c:v>
                </c:pt>
                <c:pt idx="31">
                  <c:v>3031.79</c:v>
                </c:pt>
                <c:pt idx="32">
                  <c:v>3009.79</c:v>
                </c:pt>
                <c:pt idx="33">
                  <c:v>2984.62</c:v>
                </c:pt>
                <c:pt idx="34">
                  <c:v>2919.69</c:v>
                </c:pt>
                <c:pt idx="35">
                  <c:v>2903.62</c:v>
                </c:pt>
                <c:pt idx="36">
                  <c:v>2815.94</c:v>
                </c:pt>
                <c:pt idx="37">
                  <c:v>2784.22</c:v>
                </c:pt>
                <c:pt idx="38">
                  <c:v>2755.88</c:v>
                </c:pt>
                <c:pt idx="39">
                  <c:v>2727.17</c:v>
                </c:pt>
                <c:pt idx="40">
                  <c:v>2734.55</c:v>
                </c:pt>
                <c:pt idx="41">
                  <c:v>2746.06</c:v>
                </c:pt>
                <c:pt idx="42">
                  <c:v>2770.3</c:v>
                </c:pt>
                <c:pt idx="43">
                  <c:v>2816.48</c:v>
                </c:pt>
                <c:pt idx="44">
                  <c:v>2863.26</c:v>
                </c:pt>
                <c:pt idx="45">
                  <c:v>2915.02</c:v>
                </c:pt>
                <c:pt idx="46">
                  <c:v>2918.5</c:v>
                </c:pt>
                <c:pt idx="47">
                  <c:v>2877.57</c:v>
                </c:pt>
                <c:pt idx="48">
                  <c:v>2824.06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1C-E448-8484-8C0D3018E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Fe36Cr</a:t>
            </a:r>
            <a:r>
              <a:rPr lang="en-US" baseline="0"/>
              <a:t> </a:t>
            </a:r>
            <a:r>
              <a:rPr lang="en-US"/>
              <a:t>SAW</a:t>
            </a:r>
            <a:r>
              <a:rPr lang="en-US" baseline="0"/>
              <a:t> Speed vs Degrees Rotation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>
              <a:noFill/>
            </a:ln>
          </c:spPr>
          <c:xVal>
            <c:numRef>
              <c:f>'Fe36Cr Max + MD'!$C$10:$C$55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MD'!$M$10:$M$55</c:f>
              <c:numCache>
                <c:formatCode>0.00E+00</c:formatCode>
                <c:ptCount val="46"/>
                <c:pt idx="0">
                  <c:v>5.97945E-6</c:v>
                </c:pt>
                <c:pt idx="1">
                  <c:v>6.0019899999999996E-6</c:v>
                </c:pt>
                <c:pt idx="2">
                  <c:v>5.9570199999999996E-6</c:v>
                </c:pt>
                <c:pt idx="3">
                  <c:v>5.81186E-6</c:v>
                </c:pt>
                <c:pt idx="4">
                  <c:v>6.2522E-6</c:v>
                </c:pt>
                <c:pt idx="5">
                  <c:v>5.9039100000000002E-6</c:v>
                </c:pt>
                <c:pt idx="6">
                  <c:v>6.1103700000000004E-6</c:v>
                </c:pt>
                <c:pt idx="7">
                  <c:v>6.02046E-6</c:v>
                </c:pt>
                <c:pt idx="8">
                  <c:v>6.3586399999999998E-6</c:v>
                </c:pt>
                <c:pt idx="9">
                  <c:v>6.4550199999999997E-6</c:v>
                </c:pt>
                <c:pt idx="10">
                  <c:v>6.3233899999999996E-6</c:v>
                </c:pt>
                <c:pt idx="11">
                  <c:v>6.1862000000000002E-6</c:v>
                </c:pt>
                <c:pt idx="12">
                  <c:v>6.0125100000000003E-6</c:v>
                </c:pt>
                <c:pt idx="13">
                  <c:v>5.9182299999999999E-6</c:v>
                </c:pt>
                <c:pt idx="14">
                  <c:v>6.1707500000000002E-6</c:v>
                </c:pt>
                <c:pt idx="15">
                  <c:v>6.0436199999999997E-6</c:v>
                </c:pt>
                <c:pt idx="16">
                  <c:v>6.3127100000000004E-6</c:v>
                </c:pt>
                <c:pt idx="17">
                  <c:v>5.80686E-6</c:v>
                </c:pt>
                <c:pt idx="18">
                  <c:v>6.0287200000000001E-6</c:v>
                </c:pt>
                <c:pt idx="19">
                  <c:v>5.5597700000000001E-6</c:v>
                </c:pt>
                <c:pt idx="20">
                  <c:v>6.36357E-6</c:v>
                </c:pt>
                <c:pt idx="21">
                  <c:v>6.4359599999999996E-6</c:v>
                </c:pt>
                <c:pt idx="22">
                  <c:v>6.3089900000000002E-6</c:v>
                </c:pt>
                <c:pt idx="23">
                  <c:v>6.7247500000000003E-6</c:v>
                </c:pt>
                <c:pt idx="24">
                  <c:v>6.6600099999999996E-6</c:v>
                </c:pt>
                <c:pt idx="25">
                  <c:v>6.3967600000000001E-6</c:v>
                </c:pt>
                <c:pt idx="26">
                  <c:v>6.4415099999999999E-6</c:v>
                </c:pt>
                <c:pt idx="27">
                  <c:v>6.5671500000000003E-6</c:v>
                </c:pt>
                <c:pt idx="28">
                  <c:v>6.4785400000000001E-6</c:v>
                </c:pt>
                <c:pt idx="29">
                  <c:v>6.4007399999999998E-6</c:v>
                </c:pt>
                <c:pt idx="30">
                  <c:v>6.1851600000000003E-6</c:v>
                </c:pt>
                <c:pt idx="31">
                  <c:v>6.4837799999999999E-6</c:v>
                </c:pt>
                <c:pt idx="32">
                  <c:v>6.5293399999999997E-6</c:v>
                </c:pt>
                <c:pt idx="33">
                  <c:v>6.4083199999999998E-6</c:v>
                </c:pt>
                <c:pt idx="34">
                  <c:v>6.5615900000000001E-6</c:v>
                </c:pt>
                <c:pt idx="35">
                  <c:v>6.0364000000000003E-6</c:v>
                </c:pt>
                <c:pt idx="36">
                  <c:v>6.6753700000000001E-6</c:v>
                </c:pt>
                <c:pt idx="37">
                  <c:v>6.8389099999999997E-6</c:v>
                </c:pt>
                <c:pt idx="38">
                  <c:v>6.5040099999999998E-6</c:v>
                </c:pt>
                <c:pt idx="39">
                  <c:v>6.3627500000000002E-6</c:v>
                </c:pt>
                <c:pt idx="40">
                  <c:v>6.1027699999999998E-6</c:v>
                </c:pt>
                <c:pt idx="41">
                  <c:v>6.5919600000000003E-6</c:v>
                </c:pt>
                <c:pt idx="42">
                  <c:v>6.1535700000000003E-6</c:v>
                </c:pt>
                <c:pt idx="43">
                  <c:v>5.7928099999999997E-6</c:v>
                </c:pt>
                <c:pt idx="44">
                  <c:v>6.0768900000000004E-6</c:v>
                </c:pt>
                <c:pt idx="45">
                  <c:v>5.8576700000000003E-6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59-D744-B387-A9AC5C32099A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xVal>
            <c:numRef>
              <c:f>'Fe36Cr Max + MD'!$C$56:$C$103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+ MD'!$M$56:$M$103</c:f>
              <c:numCache>
                <c:formatCode>0.00E+00</c:formatCode>
                <c:ptCount val="48"/>
                <c:pt idx="0">
                  <c:v>7.1181789999999999E-6</c:v>
                </c:pt>
                <c:pt idx="1">
                  <c:v>7.1630977999999997E-6</c:v>
                </c:pt>
                <c:pt idx="2">
                  <c:v>6.9967995999999999E-6</c:v>
                </c:pt>
                <c:pt idx="3">
                  <c:v>6.5580410000000002E-6</c:v>
                </c:pt>
                <c:pt idx="4">
                  <c:v>6.6999478999999997E-6</c:v>
                </c:pt>
                <c:pt idx="5">
                  <c:v>6.9721110999999997E-6</c:v>
                </c:pt>
                <c:pt idx="6">
                  <c:v>6.6596137999999998E-6</c:v>
                </c:pt>
                <c:pt idx="7">
                  <c:v>7.1673147000000004E-6</c:v>
                </c:pt>
                <c:pt idx="8">
                  <c:v>6.9089427000000003E-6</c:v>
                </c:pt>
                <c:pt idx="9">
                  <c:v>6.892781E-6</c:v>
                </c:pt>
                <c:pt idx="10">
                  <c:v>6.9443876999999998E-6</c:v>
                </c:pt>
                <c:pt idx="11">
                  <c:v>6.8895939000000004E-6</c:v>
                </c:pt>
                <c:pt idx="12">
                  <c:v>7.0513402999999998E-6</c:v>
                </c:pt>
                <c:pt idx="13">
                  <c:v>7.0791209999999996E-6</c:v>
                </c:pt>
                <c:pt idx="14">
                  <c:v>7.1526170999999997E-6</c:v>
                </c:pt>
                <c:pt idx="15">
                  <c:v>7.3292142999999998E-6</c:v>
                </c:pt>
                <c:pt idx="16">
                  <c:v>6.9118524E-6</c:v>
                </c:pt>
                <c:pt idx="17">
                  <c:v>7.2989543999999997E-6</c:v>
                </c:pt>
                <c:pt idx="18">
                  <c:v>7.4354129999999997E-6</c:v>
                </c:pt>
                <c:pt idx="19">
                  <c:v>7.5782564000000002E-6</c:v>
                </c:pt>
                <c:pt idx="20">
                  <c:v>7.3238515000000001E-6</c:v>
                </c:pt>
                <c:pt idx="21">
                  <c:v>6.9578905999999997E-6</c:v>
                </c:pt>
                <c:pt idx="22">
                  <c:v>7.1456960999999999E-6</c:v>
                </c:pt>
                <c:pt idx="23">
                  <c:v>6.6211055000000001E-6</c:v>
                </c:pt>
                <c:pt idx="24">
                  <c:v>7.2236568E-6</c:v>
                </c:pt>
                <c:pt idx="25">
                  <c:v>7.2014765000000003E-6</c:v>
                </c:pt>
                <c:pt idx="26">
                  <c:v>7.2178312000000003E-6</c:v>
                </c:pt>
                <c:pt idx="27">
                  <c:v>7.2621835000000004E-6</c:v>
                </c:pt>
                <c:pt idx="28">
                  <c:v>7.3720887000000002E-6</c:v>
                </c:pt>
                <c:pt idx="29">
                  <c:v>7.5900572000000001E-6</c:v>
                </c:pt>
                <c:pt idx="30">
                  <c:v>7.4132407000000003E-6</c:v>
                </c:pt>
                <c:pt idx="31">
                  <c:v>7.7852394999999993E-6</c:v>
                </c:pt>
                <c:pt idx="32">
                  <c:v>7.8982571999999992E-6</c:v>
                </c:pt>
                <c:pt idx="33">
                  <c:v>7.3815718999999999E-6</c:v>
                </c:pt>
                <c:pt idx="34">
                  <c:v>7.4653826000000001E-6</c:v>
                </c:pt>
                <c:pt idx="35">
                  <c:v>7.1246404000000004E-6</c:v>
                </c:pt>
                <c:pt idx="36">
                  <c:v>7.1568670999999997E-6</c:v>
                </c:pt>
                <c:pt idx="37">
                  <c:v>7.3766801000000003E-6</c:v>
                </c:pt>
                <c:pt idx="38">
                  <c:v>6.8401222E-6</c:v>
                </c:pt>
                <c:pt idx="39">
                  <c:v>7.1727137000000001E-6</c:v>
                </c:pt>
                <c:pt idx="40">
                  <c:v>6.9521120000000002E-6</c:v>
                </c:pt>
                <c:pt idx="41">
                  <c:v>7.1128037000000002E-6</c:v>
                </c:pt>
                <c:pt idx="42">
                  <c:v>7.3611466000000002E-6</c:v>
                </c:pt>
                <c:pt idx="43">
                  <c:v>7.0282480000000004E-6</c:v>
                </c:pt>
                <c:pt idx="44">
                  <c:v>7.0689178000000004E-6</c:v>
                </c:pt>
                <c:pt idx="45">
                  <c:v>6.7711746999999998E-6</c:v>
                </c:pt>
                <c:pt idx="46">
                  <c:v>7.3183571999999998E-6</c:v>
                </c:pt>
                <c:pt idx="47">
                  <c:v>7.5918156999999997E-6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9-D744-B387-A9AC5C32099A}"/>
            </c:ext>
          </c:extLst>
        </c:ser>
        <c:ser>
          <c:idx val="2"/>
          <c:order val="2"/>
          <c:tx>
            <c:v>500C 10hr</c:v>
          </c:tx>
          <c:spPr>
            <a:ln w="19050">
              <a:noFill/>
            </a:ln>
          </c:spPr>
          <c:xVal>
            <c:numRef>
              <c:f>'Fe36Cr Max + MD'!$C$104:$C$137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MD'!$M$104:$M$137</c:f>
              <c:numCache>
                <c:formatCode>0.00E+00</c:formatCode>
                <c:ptCount val="34"/>
                <c:pt idx="0">
                  <c:v>7.7588056999999992E-6</c:v>
                </c:pt>
                <c:pt idx="1">
                  <c:v>8.1291604000000004E-6</c:v>
                </c:pt>
                <c:pt idx="2">
                  <c:v>8.2951857E-6</c:v>
                </c:pt>
                <c:pt idx="3">
                  <c:v>7.7070617000000007E-6</c:v>
                </c:pt>
                <c:pt idx="4">
                  <c:v>8.1686199999999997E-6</c:v>
                </c:pt>
                <c:pt idx="5">
                  <c:v>7.4144974999999997E-6</c:v>
                </c:pt>
                <c:pt idx="6">
                  <c:v>7.6257140999999996E-6</c:v>
                </c:pt>
                <c:pt idx="7">
                  <c:v>7.7835638999999994E-6</c:v>
                </c:pt>
                <c:pt idx="8">
                  <c:v>8.1186333000000006E-6</c:v>
                </c:pt>
                <c:pt idx="9">
                  <c:v>8.0205332000000007E-6</c:v>
                </c:pt>
                <c:pt idx="10">
                  <c:v>8.1094814000000003E-6</c:v>
                </c:pt>
                <c:pt idx="11">
                  <c:v>8.2279766000000005E-6</c:v>
                </c:pt>
                <c:pt idx="12">
                  <c:v>8.2985111000000003E-6</c:v>
                </c:pt>
                <c:pt idx="13">
                  <c:v>8.2827982000000008E-6</c:v>
                </c:pt>
                <c:pt idx="14">
                  <c:v>8.2669932999999996E-6</c:v>
                </c:pt>
                <c:pt idx="15">
                  <c:v>7.9083005999999998E-6</c:v>
                </c:pt>
                <c:pt idx="16">
                  <c:v>8.1756889000000003E-6</c:v>
                </c:pt>
                <c:pt idx="17">
                  <c:v>8.2055619999999992E-6</c:v>
                </c:pt>
                <c:pt idx="18">
                  <c:v>8.3359411999999996E-6</c:v>
                </c:pt>
                <c:pt idx="19">
                  <c:v>8.5758191000000004E-6</c:v>
                </c:pt>
                <c:pt idx="20">
                  <c:v>8.0034206999999996E-6</c:v>
                </c:pt>
                <c:pt idx="21">
                  <c:v>8.0699565E-6</c:v>
                </c:pt>
                <c:pt idx="22">
                  <c:v>8.0111176999999997E-6</c:v>
                </c:pt>
                <c:pt idx="23">
                  <c:v>8.4990354999999999E-6</c:v>
                </c:pt>
                <c:pt idx="24">
                  <c:v>7.7994736999999995E-6</c:v>
                </c:pt>
                <c:pt idx="25">
                  <c:v>7.9695969999999992E-6</c:v>
                </c:pt>
                <c:pt idx="26">
                  <c:v>7.8879037000000006E-6</c:v>
                </c:pt>
                <c:pt idx="27">
                  <c:v>8.5502840999999996E-6</c:v>
                </c:pt>
                <c:pt idx="28">
                  <c:v>7.8448021000000003E-6</c:v>
                </c:pt>
                <c:pt idx="29">
                  <c:v>8.1712408999999995E-6</c:v>
                </c:pt>
                <c:pt idx="30">
                  <c:v>7.5561336000000003E-6</c:v>
                </c:pt>
                <c:pt idx="31">
                  <c:v>7.8364095999999993E-6</c:v>
                </c:pt>
                <c:pt idx="32">
                  <c:v>8.1999184999999998E-6</c:v>
                </c:pt>
                <c:pt idx="33">
                  <c:v>7.8714251000000006E-6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59-D744-B387-A9AC5C32099A}"/>
            </c:ext>
          </c:extLst>
        </c:ser>
        <c:ser>
          <c:idx val="4"/>
          <c:order val="3"/>
          <c:tx>
            <c:v>2nd homogenization</c:v>
          </c:tx>
          <c:spPr>
            <a:ln w="19050">
              <a:noFill/>
            </a:ln>
          </c:spPr>
          <c:xVal>
            <c:numRef>
              <c:f>'Fe36Cr Max + MD'!$C$187:$C$235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MD'!$M$187:$M$235</c:f>
              <c:numCache>
                <c:formatCode>0.00E+00</c:formatCode>
                <c:ptCount val="49"/>
                <c:pt idx="0">
                  <c:v>6.3280061999999999E-6</c:v>
                </c:pt>
                <c:pt idx="1">
                  <c:v>5.9761465999999999E-6</c:v>
                </c:pt>
                <c:pt idx="2">
                  <c:v>6.4707756000000004E-6</c:v>
                </c:pt>
                <c:pt idx="3">
                  <c:v>6.1667863999999998E-6</c:v>
                </c:pt>
                <c:pt idx="4">
                  <c:v>6.4668063000000001E-6</c:v>
                </c:pt>
                <c:pt idx="5">
                  <c:v>6.2637844000000002E-6</c:v>
                </c:pt>
                <c:pt idx="6">
                  <c:v>6.170006E-6</c:v>
                </c:pt>
                <c:pt idx="7">
                  <c:v>6.5068912999999997E-6</c:v>
                </c:pt>
                <c:pt idx="8">
                  <c:v>6.6340655000000004E-6</c:v>
                </c:pt>
                <c:pt idx="9">
                  <c:v>5.9360050999999999E-6</c:v>
                </c:pt>
                <c:pt idx="10">
                  <c:v>6.2028703999999997E-6</c:v>
                </c:pt>
                <c:pt idx="11">
                  <c:v>6.4919812000000003E-6</c:v>
                </c:pt>
                <c:pt idx="12">
                  <c:v>6.3735894999999999E-6</c:v>
                </c:pt>
                <c:pt idx="13">
                  <c:v>6.2706348999999997E-6</c:v>
                </c:pt>
                <c:pt idx="14">
                  <c:v>6.2894061999999999E-6</c:v>
                </c:pt>
                <c:pt idx="15">
                  <c:v>6.5825613000000001E-6</c:v>
                </c:pt>
                <c:pt idx="16">
                  <c:v>6.8023151000000002E-6</c:v>
                </c:pt>
                <c:pt idx="17">
                  <c:v>6.3412616000000002E-6</c:v>
                </c:pt>
                <c:pt idx="18">
                  <c:v>6.7095401000000001E-6</c:v>
                </c:pt>
                <c:pt idx="19">
                  <c:v>6.9112870999999996E-6</c:v>
                </c:pt>
                <c:pt idx="20">
                  <c:v>6.6163798000000003E-6</c:v>
                </c:pt>
                <c:pt idx="21">
                  <c:v>6.4076783000000001E-6</c:v>
                </c:pt>
                <c:pt idx="22">
                  <c:v>6.7519385E-6</c:v>
                </c:pt>
                <c:pt idx="23">
                  <c:v>6.9877553000000003E-6</c:v>
                </c:pt>
                <c:pt idx="24">
                  <c:v>6.4985543999999997E-6</c:v>
                </c:pt>
                <c:pt idx="25">
                  <c:v>6.8006415999999999E-6</c:v>
                </c:pt>
                <c:pt idx="26">
                  <c:v>6.6627350999999996E-6</c:v>
                </c:pt>
                <c:pt idx="27">
                  <c:v>6.6449380000000003E-6</c:v>
                </c:pt>
                <c:pt idx="28">
                  <c:v>6.44535E-6</c:v>
                </c:pt>
                <c:pt idx="29">
                  <c:v>6.7444514000000003E-6</c:v>
                </c:pt>
                <c:pt idx="30">
                  <c:v>6.9045613999999997E-6</c:v>
                </c:pt>
                <c:pt idx="31">
                  <c:v>7.0151266999999998E-6</c:v>
                </c:pt>
                <c:pt idx="32">
                  <c:v>6.5504525000000003E-6</c:v>
                </c:pt>
                <c:pt idx="33">
                  <c:v>6.7563129999999997E-6</c:v>
                </c:pt>
                <c:pt idx="34">
                  <c:v>6.8154161000000004E-6</c:v>
                </c:pt>
                <c:pt idx="35">
                  <c:v>6.8398840999999999E-6</c:v>
                </c:pt>
                <c:pt idx="36">
                  <c:v>7.2625760999999998E-6</c:v>
                </c:pt>
                <c:pt idx="37">
                  <c:v>6.7463601999999999E-6</c:v>
                </c:pt>
                <c:pt idx="38">
                  <c:v>6.4799651999999998E-6</c:v>
                </c:pt>
                <c:pt idx="39">
                  <c:v>7.0869558999999998E-6</c:v>
                </c:pt>
                <c:pt idx="40">
                  <c:v>6.1700493999999998E-6</c:v>
                </c:pt>
                <c:pt idx="41">
                  <c:v>6.3616899999999997E-6</c:v>
                </c:pt>
                <c:pt idx="42">
                  <c:v>6.0917594E-6</c:v>
                </c:pt>
                <c:pt idx="43">
                  <c:v>6.5803735999999997E-6</c:v>
                </c:pt>
                <c:pt idx="44">
                  <c:v>6.2555873999999999E-6</c:v>
                </c:pt>
                <c:pt idx="45">
                  <c:v>6.4105016999999997E-6</c:v>
                </c:pt>
                <c:pt idx="46">
                  <c:v>5.9925357000000001E-6</c:v>
                </c:pt>
                <c:pt idx="47">
                  <c:v>6.1740682999999997E-6</c:v>
                </c:pt>
                <c:pt idx="48">
                  <c:v>6.2332585999999999E-6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59-D744-B387-A9AC5C320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ax val="1.0000000000000004E-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Fe36Cr</a:t>
            </a:r>
            <a:r>
              <a:rPr lang="en-US" baseline="0"/>
              <a:t> </a:t>
            </a:r>
            <a:r>
              <a:rPr lang="en-US"/>
              <a:t>SAW</a:t>
            </a:r>
            <a:r>
              <a:rPr lang="en-US" baseline="0"/>
              <a:t> Speed vs Degrees Rotation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>
              <a:noFill/>
            </a:ln>
          </c:spPr>
          <c:xVal>
            <c:numRef>
              <c:f>'Fe36Cr Max + MD'!$C$10:$C$55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MD'!$U$10:$U$55</c:f>
              <c:numCache>
                <c:formatCode>0.00E+00</c:formatCode>
                <c:ptCount val="46"/>
                <c:pt idx="0">
                  <c:v>3.1462400000000003E-8</c:v>
                </c:pt>
                <c:pt idx="1">
                  <c:v>2.5179599999999999E-8</c:v>
                </c:pt>
                <c:pt idx="2">
                  <c:v>2.9015900000000001E-8</c:v>
                </c:pt>
                <c:pt idx="3">
                  <c:v>2.7288599999999999E-8</c:v>
                </c:pt>
                <c:pt idx="4">
                  <c:v>2.6225000000000002E-8</c:v>
                </c:pt>
                <c:pt idx="5">
                  <c:v>2.6304100000000001E-8</c:v>
                </c:pt>
                <c:pt idx="6">
                  <c:v>3.7387100000000001E-8</c:v>
                </c:pt>
                <c:pt idx="7">
                  <c:v>3.30693E-8</c:v>
                </c:pt>
                <c:pt idx="8">
                  <c:v>3.2657900000000002E-8</c:v>
                </c:pt>
                <c:pt idx="9">
                  <c:v>3.20882E-8</c:v>
                </c:pt>
                <c:pt idx="10">
                  <c:v>3.5196699999999998E-8</c:v>
                </c:pt>
                <c:pt idx="11">
                  <c:v>1.8181400000000001E-8</c:v>
                </c:pt>
                <c:pt idx="12">
                  <c:v>3.0532099999999997E-8</c:v>
                </c:pt>
                <c:pt idx="13">
                  <c:v>2.90663E-8</c:v>
                </c:pt>
                <c:pt idx="14">
                  <c:v>2.62331E-8</c:v>
                </c:pt>
                <c:pt idx="15">
                  <c:v>2.6292300000000001E-8</c:v>
                </c:pt>
                <c:pt idx="16">
                  <c:v>2.7615700000000001E-8</c:v>
                </c:pt>
                <c:pt idx="17">
                  <c:v>2.18126E-8</c:v>
                </c:pt>
                <c:pt idx="18">
                  <c:v>2.5353100000000001E-8</c:v>
                </c:pt>
                <c:pt idx="19">
                  <c:v>2.9306000000000001E-8</c:v>
                </c:pt>
                <c:pt idx="20">
                  <c:v>1.48356E-8</c:v>
                </c:pt>
                <c:pt idx="21">
                  <c:v>3.4856999999999999E-8</c:v>
                </c:pt>
                <c:pt idx="22">
                  <c:v>1.8255E-8</c:v>
                </c:pt>
                <c:pt idx="23">
                  <c:v>2.4520000000000001E-8</c:v>
                </c:pt>
                <c:pt idx="24">
                  <c:v>2.44088E-8</c:v>
                </c:pt>
                <c:pt idx="25">
                  <c:v>2.55317E-8</c:v>
                </c:pt>
                <c:pt idx="26">
                  <c:v>2.8428300000000001E-8</c:v>
                </c:pt>
                <c:pt idx="27">
                  <c:v>2.2013E-8</c:v>
                </c:pt>
                <c:pt idx="28">
                  <c:v>3.0559399999999998E-8</c:v>
                </c:pt>
                <c:pt idx="29">
                  <c:v>2.5729600000000001E-8</c:v>
                </c:pt>
                <c:pt idx="30">
                  <c:v>2.5389399999999998E-8</c:v>
                </c:pt>
                <c:pt idx="31">
                  <c:v>2.9704900000000002E-8</c:v>
                </c:pt>
                <c:pt idx="32">
                  <c:v>2.76636E-8</c:v>
                </c:pt>
                <c:pt idx="33">
                  <c:v>3.0231600000000001E-8</c:v>
                </c:pt>
                <c:pt idx="34">
                  <c:v>2.57532E-8</c:v>
                </c:pt>
                <c:pt idx="35">
                  <c:v>2.5627799999999999E-8</c:v>
                </c:pt>
                <c:pt idx="36">
                  <c:v>2.82356E-8</c:v>
                </c:pt>
                <c:pt idx="37">
                  <c:v>3.0357300000000001E-8</c:v>
                </c:pt>
                <c:pt idx="38">
                  <c:v>3.05964E-8</c:v>
                </c:pt>
                <c:pt idx="39">
                  <c:v>2.54303E-8</c:v>
                </c:pt>
                <c:pt idx="40">
                  <c:v>3.0195699999999998E-8</c:v>
                </c:pt>
                <c:pt idx="41">
                  <c:v>2.6845E-8</c:v>
                </c:pt>
                <c:pt idx="42">
                  <c:v>3.3893999999999999E-8</c:v>
                </c:pt>
                <c:pt idx="43">
                  <c:v>3.0712599999999997E-8</c:v>
                </c:pt>
                <c:pt idx="44">
                  <c:v>2.8874999999999999E-8</c:v>
                </c:pt>
                <c:pt idx="45">
                  <c:v>2.3752E-8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9-CF4D-B297-E971521FE627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xVal>
            <c:numRef>
              <c:f>'Fe36Cr Max + MD'!$C$56:$C$103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+ MD'!$U$56:$U$103</c:f>
              <c:numCache>
                <c:formatCode>0.00E+00</c:formatCode>
                <c:ptCount val="48"/>
                <c:pt idx="0">
                  <c:v>2.8287149999999999E-8</c:v>
                </c:pt>
                <c:pt idx="1">
                  <c:v>2.1329069000000001E-8</c:v>
                </c:pt>
                <c:pt idx="2">
                  <c:v>2.7758522E-8</c:v>
                </c:pt>
                <c:pt idx="3">
                  <c:v>2.9495701999999999E-8</c:v>
                </c:pt>
                <c:pt idx="4">
                  <c:v>2.6210392E-8</c:v>
                </c:pt>
                <c:pt idx="5">
                  <c:v>3.0569389000000002E-8</c:v>
                </c:pt>
                <c:pt idx="6">
                  <c:v>2.9796895999999999E-8</c:v>
                </c:pt>
                <c:pt idx="7">
                  <c:v>2.9609053000000001E-8</c:v>
                </c:pt>
                <c:pt idx="8">
                  <c:v>2.852298E-8</c:v>
                </c:pt>
                <c:pt idx="9">
                  <c:v>2.8944840000000001E-8</c:v>
                </c:pt>
                <c:pt idx="10">
                  <c:v>2.9647004999999999E-8</c:v>
                </c:pt>
                <c:pt idx="11">
                  <c:v>2.7536345E-8</c:v>
                </c:pt>
                <c:pt idx="12">
                  <c:v>2.8983465000000002E-8</c:v>
                </c:pt>
                <c:pt idx="13">
                  <c:v>2.3279880999999999E-8</c:v>
                </c:pt>
                <c:pt idx="14">
                  <c:v>2.5972822E-8</c:v>
                </c:pt>
                <c:pt idx="15">
                  <c:v>2.6129678E-8</c:v>
                </c:pt>
                <c:pt idx="16">
                  <c:v>2.7315083E-8</c:v>
                </c:pt>
                <c:pt idx="17">
                  <c:v>2.6132322999999999E-8</c:v>
                </c:pt>
                <c:pt idx="18">
                  <c:v>3.0015925999999998E-8</c:v>
                </c:pt>
                <c:pt idx="19">
                  <c:v>3.1941971000000003E-8</c:v>
                </c:pt>
                <c:pt idx="20">
                  <c:v>3.0572817000000003E-8</c:v>
                </c:pt>
                <c:pt idx="21">
                  <c:v>2.9343952999999999E-8</c:v>
                </c:pt>
                <c:pt idx="22">
                  <c:v>2.8464462000000001E-8</c:v>
                </c:pt>
                <c:pt idx="23">
                  <c:v>5.0218748E-9</c:v>
                </c:pt>
                <c:pt idx="24">
                  <c:v>2.2801461000000002E-8</c:v>
                </c:pt>
                <c:pt idx="25">
                  <c:v>2.6106637E-8</c:v>
                </c:pt>
                <c:pt idx="26">
                  <c:v>2.7489702000000001E-8</c:v>
                </c:pt>
                <c:pt idx="27">
                  <c:v>2.8809378999999998E-8</c:v>
                </c:pt>
                <c:pt idx="28">
                  <c:v>2.1625230000000001E-8</c:v>
                </c:pt>
                <c:pt idx="29">
                  <c:v>2.6558316E-8</c:v>
                </c:pt>
                <c:pt idx="30">
                  <c:v>2.6425107000000001E-8</c:v>
                </c:pt>
                <c:pt idx="31">
                  <c:v>2.5931496999999999E-8</c:v>
                </c:pt>
                <c:pt idx="32">
                  <c:v>2.8782797999999999E-8</c:v>
                </c:pt>
                <c:pt idx="33">
                  <c:v>3.0014690999999999E-8</c:v>
                </c:pt>
                <c:pt idx="34">
                  <c:v>2.8286372999999999E-8</c:v>
                </c:pt>
                <c:pt idx="35">
                  <c:v>2.9284043E-8</c:v>
                </c:pt>
                <c:pt idx="36">
                  <c:v>2.7422093999999999E-8</c:v>
                </c:pt>
                <c:pt idx="37">
                  <c:v>2.5643936000000001E-8</c:v>
                </c:pt>
                <c:pt idx="38">
                  <c:v>2.5817309000000001E-8</c:v>
                </c:pt>
                <c:pt idx="39">
                  <c:v>2.8084955999999999E-8</c:v>
                </c:pt>
                <c:pt idx="40">
                  <c:v>2.8728786E-8</c:v>
                </c:pt>
                <c:pt idx="41">
                  <c:v>2.9256044000000002E-8</c:v>
                </c:pt>
                <c:pt idx="42">
                  <c:v>2.7147446999999998E-8</c:v>
                </c:pt>
                <c:pt idx="43">
                  <c:v>2.5149021999999999E-8</c:v>
                </c:pt>
                <c:pt idx="44">
                  <c:v>2.9861798999999998E-8</c:v>
                </c:pt>
                <c:pt idx="45">
                  <c:v>2.6866914000000001E-8</c:v>
                </c:pt>
                <c:pt idx="46">
                  <c:v>2.1939962000000001E-8</c:v>
                </c:pt>
                <c:pt idx="47">
                  <c:v>2.7138655000000002E-8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C9-CF4D-B297-E971521FE627}"/>
            </c:ext>
          </c:extLst>
        </c:ser>
        <c:ser>
          <c:idx val="2"/>
          <c:order val="2"/>
          <c:tx>
            <c:v>500C 10hr</c:v>
          </c:tx>
          <c:spPr>
            <a:ln w="19050">
              <a:noFill/>
            </a:ln>
          </c:spPr>
          <c:xVal>
            <c:numRef>
              <c:f>'Fe36Cr Max + MD'!$C$104:$C$137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MD'!$U$104:$U$137</c:f>
              <c:numCache>
                <c:formatCode>0.00E+00</c:formatCode>
                <c:ptCount val="34"/>
                <c:pt idx="0">
                  <c:v>2.2248663000000001E-8</c:v>
                </c:pt>
                <c:pt idx="1">
                  <c:v>2.5630083999999999E-8</c:v>
                </c:pt>
                <c:pt idx="2">
                  <c:v>2.8621777000000002E-8</c:v>
                </c:pt>
                <c:pt idx="3">
                  <c:v>2.7462701E-8</c:v>
                </c:pt>
                <c:pt idx="4">
                  <c:v>2.3736025E-8</c:v>
                </c:pt>
                <c:pt idx="5">
                  <c:v>2.6134979999999999E-8</c:v>
                </c:pt>
                <c:pt idx="6">
                  <c:v>2.6113064000000001E-8</c:v>
                </c:pt>
                <c:pt idx="7">
                  <c:v>2.7863119000000001E-8</c:v>
                </c:pt>
                <c:pt idx="8">
                  <c:v>2.7041177000000001E-8</c:v>
                </c:pt>
                <c:pt idx="9">
                  <c:v>2.6839836999999998E-8</c:v>
                </c:pt>
                <c:pt idx="10">
                  <c:v>2.4075777999999999E-8</c:v>
                </c:pt>
                <c:pt idx="11">
                  <c:v>2.4252214E-8</c:v>
                </c:pt>
                <c:pt idx="12">
                  <c:v>2.4615920000000001E-8</c:v>
                </c:pt>
                <c:pt idx="13">
                  <c:v>2.4227135999999999E-8</c:v>
                </c:pt>
                <c:pt idx="14">
                  <c:v>2.2755998999999998E-8</c:v>
                </c:pt>
                <c:pt idx="15">
                  <c:v>2.5129106E-8</c:v>
                </c:pt>
                <c:pt idx="16">
                  <c:v>2.7908261000000001E-8</c:v>
                </c:pt>
                <c:pt idx="17">
                  <c:v>2.8758599000000001E-8</c:v>
                </c:pt>
                <c:pt idx="18">
                  <c:v>2.9082759999999999E-8</c:v>
                </c:pt>
                <c:pt idx="19">
                  <c:v>2.6615398000000002E-8</c:v>
                </c:pt>
                <c:pt idx="20">
                  <c:v>2.5030464999999999E-8</c:v>
                </c:pt>
                <c:pt idx="21">
                  <c:v>2.8908945E-8</c:v>
                </c:pt>
                <c:pt idx="22">
                  <c:v>2.4844044999999998E-8</c:v>
                </c:pt>
                <c:pt idx="23">
                  <c:v>2.4872753000000001E-8</c:v>
                </c:pt>
                <c:pt idx="24">
                  <c:v>2.6868811E-8</c:v>
                </c:pt>
                <c:pt idx="25">
                  <c:v>2.5455585E-8</c:v>
                </c:pt>
                <c:pt idx="26">
                  <c:v>2.8705319E-8</c:v>
                </c:pt>
                <c:pt idx="27">
                  <c:v>2.8009104E-8</c:v>
                </c:pt>
                <c:pt idx="28">
                  <c:v>2.0049667000000001E-8</c:v>
                </c:pt>
                <c:pt idx="29">
                  <c:v>2.6955491E-8</c:v>
                </c:pt>
                <c:pt idx="30">
                  <c:v>2.3668770000000001E-8</c:v>
                </c:pt>
                <c:pt idx="31">
                  <c:v>2.6244931999999999E-8</c:v>
                </c:pt>
                <c:pt idx="32">
                  <c:v>2.8336541E-8</c:v>
                </c:pt>
                <c:pt idx="33">
                  <c:v>3.0210822000000001E-8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C9-CF4D-B297-E971521FE627}"/>
            </c:ext>
          </c:extLst>
        </c:ser>
        <c:ser>
          <c:idx val="4"/>
          <c:order val="3"/>
          <c:tx>
            <c:v>2nd homogenization</c:v>
          </c:tx>
          <c:spPr>
            <a:ln w="19050">
              <a:noFill/>
            </a:ln>
          </c:spPr>
          <c:xVal>
            <c:numRef>
              <c:f>'Fe36Cr Max + MD'!$C$187:$C$235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MD'!$U$187:$U$235</c:f>
              <c:numCache>
                <c:formatCode>0.00E+00</c:formatCode>
                <c:ptCount val="49"/>
                <c:pt idx="0">
                  <c:v>2.9182776999999999E-8</c:v>
                </c:pt>
                <c:pt idx="1">
                  <c:v>2.9826280000000002E-8</c:v>
                </c:pt>
                <c:pt idx="2">
                  <c:v>3.2176259000000003E-8</c:v>
                </c:pt>
                <c:pt idx="3">
                  <c:v>3.1911219999999998E-8</c:v>
                </c:pt>
                <c:pt idx="4">
                  <c:v>2.8718101999999999E-8</c:v>
                </c:pt>
                <c:pt idx="5">
                  <c:v>2.8619592E-8</c:v>
                </c:pt>
                <c:pt idx="6">
                  <c:v>3.2049514000000003E-8</c:v>
                </c:pt>
                <c:pt idx="7">
                  <c:v>3.0812369E-8</c:v>
                </c:pt>
                <c:pt idx="8">
                  <c:v>3.0660101E-8</c:v>
                </c:pt>
                <c:pt idx="9">
                  <c:v>3.1691003999999997E-8</c:v>
                </c:pt>
                <c:pt idx="10">
                  <c:v>2.8067640000000001E-8</c:v>
                </c:pt>
                <c:pt idx="11">
                  <c:v>2.9596272E-8</c:v>
                </c:pt>
                <c:pt idx="12">
                  <c:v>2.7899366999999998E-8</c:v>
                </c:pt>
                <c:pt idx="13">
                  <c:v>2.5482665E-8</c:v>
                </c:pt>
                <c:pt idx="14">
                  <c:v>2.1175134999999999E-8</c:v>
                </c:pt>
                <c:pt idx="15">
                  <c:v>2.8171841000000001E-8</c:v>
                </c:pt>
                <c:pt idx="16">
                  <c:v>2.6026345999999999E-8</c:v>
                </c:pt>
                <c:pt idx="17">
                  <c:v>3.5119397999999999E-8</c:v>
                </c:pt>
                <c:pt idx="18">
                  <c:v>3.2292217999999999E-8</c:v>
                </c:pt>
                <c:pt idx="19">
                  <c:v>1.5953402E-8</c:v>
                </c:pt>
                <c:pt idx="20">
                  <c:v>2.8703015E-8</c:v>
                </c:pt>
                <c:pt idx="21">
                  <c:v>2.2595309000000001E-8</c:v>
                </c:pt>
                <c:pt idx="22">
                  <c:v>1.2402175E-8</c:v>
                </c:pt>
                <c:pt idx="23">
                  <c:v>2.2000954000000001E-8</c:v>
                </c:pt>
                <c:pt idx="24">
                  <c:v>5.1601023999999999E-9</c:v>
                </c:pt>
                <c:pt idx="25">
                  <c:v>2.0677351E-8</c:v>
                </c:pt>
                <c:pt idx="26">
                  <c:v>2.9837231999999999E-8</c:v>
                </c:pt>
                <c:pt idx="27">
                  <c:v>1.9997289E-8</c:v>
                </c:pt>
                <c:pt idx="28">
                  <c:v>3.5517241E-8</c:v>
                </c:pt>
                <c:pt idx="29">
                  <c:v>3.2688577000000003E-8</c:v>
                </c:pt>
                <c:pt idx="30">
                  <c:v>3.1597275E-8</c:v>
                </c:pt>
                <c:pt idx="31">
                  <c:v>3.0883044E-8</c:v>
                </c:pt>
                <c:pt idx="32">
                  <c:v>3.1324417E-8</c:v>
                </c:pt>
                <c:pt idx="33">
                  <c:v>3.4632932000000001E-8</c:v>
                </c:pt>
                <c:pt idx="34">
                  <c:v>3.0204629999999999E-8</c:v>
                </c:pt>
                <c:pt idx="35">
                  <c:v>2.2961493000000001E-8</c:v>
                </c:pt>
                <c:pt idx="36">
                  <c:v>3.2762635999999997E-8</c:v>
                </c:pt>
                <c:pt idx="37">
                  <c:v>3.1373834E-8</c:v>
                </c:pt>
                <c:pt idx="38">
                  <c:v>3.6635191000000001E-8</c:v>
                </c:pt>
                <c:pt idx="39">
                  <c:v>2.7415064999999999E-8</c:v>
                </c:pt>
                <c:pt idx="40">
                  <c:v>3.5255878999999999E-8</c:v>
                </c:pt>
                <c:pt idx="41">
                  <c:v>3.4609009999999999E-8</c:v>
                </c:pt>
                <c:pt idx="42">
                  <c:v>3.5488581000000003E-8</c:v>
                </c:pt>
                <c:pt idx="43">
                  <c:v>4.0322512E-8</c:v>
                </c:pt>
                <c:pt idx="44">
                  <c:v>2.8596725E-8</c:v>
                </c:pt>
                <c:pt idx="45">
                  <c:v>2.8909840000000001E-8</c:v>
                </c:pt>
                <c:pt idx="46">
                  <c:v>2.8862434E-8</c:v>
                </c:pt>
                <c:pt idx="47">
                  <c:v>3.3830535999999998E-8</c:v>
                </c:pt>
                <c:pt idx="48">
                  <c:v>4.1791812000000001E-8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C9-CF4D-B297-E971521FE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Fe36Cr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+ MD'!$C$10:$C$55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A3-A445-86DC-D13EB11CDE28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'Fe36Cr Max + MD'!$C$56:$C$103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+ MD'!$G$56:$G$103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A3-A445-86DC-D13EB11CDE28}"/>
            </c:ext>
          </c:extLst>
        </c:ser>
        <c:ser>
          <c:idx val="2"/>
          <c:order val="2"/>
          <c:tx>
            <c:v>500C 10hr</c:v>
          </c:tx>
          <c:spPr>
            <a:ln w="25400">
              <a:noFill/>
            </a:ln>
          </c:spPr>
          <c:marker>
            <c:symbol val="circle"/>
            <c:size val="7"/>
          </c:marker>
          <c:xVal>
            <c:numRef>
              <c:f>'Fe36Cr Max + MD'!$C$104:$C$137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A3-A445-86DC-D13EB11CDE28}"/>
            </c:ext>
          </c:extLst>
        </c:ser>
        <c:ser>
          <c:idx val="3"/>
          <c:order val="3"/>
          <c:tx>
            <c:v>500C 10hr polished</c:v>
          </c:tx>
          <c:spPr>
            <a:ln w="25400">
              <a:noFill/>
            </a:ln>
          </c:spPr>
          <c:marker>
            <c:symbol val="circle"/>
            <c:size val="7"/>
          </c:marker>
          <c:xVal>
            <c:numRef>
              <c:f>'Fe36Cr Max + MD'!$C$138:$C$186</c:f>
              <c:numCache>
                <c:formatCode>0</c:formatCode>
                <c:ptCount val="49"/>
                <c:pt idx="0" formatCode="General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A3-A445-86DC-D13EB11CDE28}"/>
            </c:ext>
          </c:extLst>
        </c:ser>
        <c:ser>
          <c:idx val="4"/>
          <c:order val="4"/>
          <c:tx>
            <c:v>2nd homogenization</c:v>
          </c:tx>
          <c:spPr>
            <a:ln w="25400">
              <a:noFill/>
            </a:ln>
          </c:spPr>
          <c:marker>
            <c:symbol val="circle"/>
            <c:size val="7"/>
          </c:marker>
          <c:xVal>
            <c:numRef>
              <c:f>'Fe36Cr Max + MD'!$C$187:$C$235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MD'!$G$187:$G$235</c:f>
              <c:numCache>
                <c:formatCode>0.00</c:formatCode>
                <c:ptCount val="49"/>
                <c:pt idx="0">
                  <c:v>2912.63</c:v>
                </c:pt>
                <c:pt idx="1">
                  <c:v>2918.54</c:v>
                </c:pt>
                <c:pt idx="2">
                  <c:v>2883.85</c:v>
                </c:pt>
                <c:pt idx="3">
                  <c:v>2833.31</c:v>
                </c:pt>
                <c:pt idx="4">
                  <c:v>2782.36</c:v>
                </c:pt>
                <c:pt idx="5">
                  <c:v>2739.77</c:v>
                </c:pt>
                <c:pt idx="6">
                  <c:v>2705.83</c:v>
                </c:pt>
                <c:pt idx="7">
                  <c:v>2674.53</c:v>
                </c:pt>
                <c:pt idx="8">
                  <c:v>2649.28</c:v>
                </c:pt>
                <c:pt idx="9">
                  <c:v>2668.04</c:v>
                </c:pt>
                <c:pt idx="10">
                  <c:v>2673.74</c:v>
                </c:pt>
                <c:pt idx="11">
                  <c:v>2703.25</c:v>
                </c:pt>
                <c:pt idx="12">
                  <c:v>2738.57</c:v>
                </c:pt>
                <c:pt idx="13">
                  <c:v>2714.81</c:v>
                </c:pt>
                <c:pt idx="14">
                  <c:v>2797.16</c:v>
                </c:pt>
                <c:pt idx="15">
                  <c:v>2874.37</c:v>
                </c:pt>
                <c:pt idx="16">
                  <c:v>2915.04</c:v>
                </c:pt>
                <c:pt idx="17">
                  <c:v>2938.32</c:v>
                </c:pt>
                <c:pt idx="18">
                  <c:v>2897.89</c:v>
                </c:pt>
                <c:pt idx="19">
                  <c:v>2775.79</c:v>
                </c:pt>
                <c:pt idx="20">
                  <c:v>3325.78</c:v>
                </c:pt>
                <c:pt idx="21">
                  <c:v>3332.4</c:v>
                </c:pt>
                <c:pt idx="22">
                  <c:v>3212.53</c:v>
                </c:pt>
                <c:pt idx="23">
                  <c:v>3401.34</c:v>
                </c:pt>
                <c:pt idx="24">
                  <c:v>3463.72</c:v>
                </c:pt>
                <c:pt idx="25">
                  <c:v>3482.44</c:v>
                </c:pt>
                <c:pt idx="26">
                  <c:v>3561.59</c:v>
                </c:pt>
                <c:pt idx="27">
                  <c:v>3541.41</c:v>
                </c:pt>
                <c:pt idx="28">
                  <c:v>2933.84</c:v>
                </c:pt>
                <c:pt idx="29">
                  <c:v>2991.48</c:v>
                </c:pt>
                <c:pt idx="30">
                  <c:v>3024.97</c:v>
                </c:pt>
                <c:pt idx="31">
                  <c:v>3031.79</c:v>
                </c:pt>
                <c:pt idx="32">
                  <c:v>3009.79</c:v>
                </c:pt>
                <c:pt idx="33">
                  <c:v>2984.62</c:v>
                </c:pt>
                <c:pt idx="34">
                  <c:v>2919.69</c:v>
                </c:pt>
                <c:pt idx="35">
                  <c:v>2903.62</c:v>
                </c:pt>
                <c:pt idx="36">
                  <c:v>2815.94</c:v>
                </c:pt>
                <c:pt idx="37">
                  <c:v>2784.22</c:v>
                </c:pt>
                <c:pt idx="38">
                  <c:v>2755.88</c:v>
                </c:pt>
                <c:pt idx="39">
                  <c:v>2727.17</c:v>
                </c:pt>
                <c:pt idx="40">
                  <c:v>2734.55</c:v>
                </c:pt>
                <c:pt idx="41">
                  <c:v>2746.06</c:v>
                </c:pt>
                <c:pt idx="42">
                  <c:v>2770.3</c:v>
                </c:pt>
                <c:pt idx="43">
                  <c:v>2816.48</c:v>
                </c:pt>
                <c:pt idx="44">
                  <c:v>2863.26</c:v>
                </c:pt>
                <c:pt idx="45">
                  <c:v>2915.02</c:v>
                </c:pt>
                <c:pt idx="46">
                  <c:v>2918.5</c:v>
                </c:pt>
                <c:pt idx="47">
                  <c:v>2877.57</c:v>
                </c:pt>
                <c:pt idx="48">
                  <c:v>2824.06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A3-A445-86DC-D13EB11CDE28}"/>
            </c:ext>
          </c:extLst>
        </c:ser>
        <c:ser>
          <c:idx val="5"/>
          <c:order val="5"/>
          <c:tx>
            <c:v>3rd homogenization</c:v>
          </c:tx>
          <c:spPr>
            <a:ln w="25400">
              <a:noFill/>
            </a:ln>
          </c:spPr>
          <c:xVal>
            <c:numRef>
              <c:f>'Fe36Cr Max + MD'!$C$236:$C$285</c:f>
              <c:numCache>
                <c:formatCode>General</c:formatCode>
                <c:ptCount val="50"/>
                <c:pt idx="0">
                  <c:v>-8</c:v>
                </c:pt>
                <c:pt idx="1">
                  <c:v>-4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52</c:v>
                </c:pt>
                <c:pt idx="16">
                  <c:v>56</c:v>
                </c:pt>
                <c:pt idx="17">
                  <c:v>60</c:v>
                </c:pt>
                <c:pt idx="18">
                  <c:v>64</c:v>
                </c:pt>
                <c:pt idx="19">
                  <c:v>68</c:v>
                </c:pt>
                <c:pt idx="20">
                  <c:v>72</c:v>
                </c:pt>
                <c:pt idx="21">
                  <c:v>76</c:v>
                </c:pt>
                <c:pt idx="22">
                  <c:v>80</c:v>
                </c:pt>
                <c:pt idx="23">
                  <c:v>84</c:v>
                </c:pt>
                <c:pt idx="24">
                  <c:v>88</c:v>
                </c:pt>
                <c:pt idx="25">
                  <c:v>92</c:v>
                </c:pt>
                <c:pt idx="26">
                  <c:v>96</c:v>
                </c:pt>
                <c:pt idx="27">
                  <c:v>100</c:v>
                </c:pt>
                <c:pt idx="28">
                  <c:v>104</c:v>
                </c:pt>
                <c:pt idx="29">
                  <c:v>108</c:v>
                </c:pt>
                <c:pt idx="30">
                  <c:v>112</c:v>
                </c:pt>
                <c:pt idx="31">
                  <c:v>116</c:v>
                </c:pt>
                <c:pt idx="32">
                  <c:v>120</c:v>
                </c:pt>
                <c:pt idx="33">
                  <c:v>124</c:v>
                </c:pt>
                <c:pt idx="34">
                  <c:v>128</c:v>
                </c:pt>
                <c:pt idx="35">
                  <c:v>132</c:v>
                </c:pt>
                <c:pt idx="36">
                  <c:v>136</c:v>
                </c:pt>
                <c:pt idx="37">
                  <c:v>140</c:v>
                </c:pt>
                <c:pt idx="38">
                  <c:v>144</c:v>
                </c:pt>
                <c:pt idx="39">
                  <c:v>148</c:v>
                </c:pt>
                <c:pt idx="40">
                  <c:v>152</c:v>
                </c:pt>
                <c:pt idx="41">
                  <c:v>156</c:v>
                </c:pt>
                <c:pt idx="42">
                  <c:v>160</c:v>
                </c:pt>
                <c:pt idx="43">
                  <c:v>164</c:v>
                </c:pt>
                <c:pt idx="44">
                  <c:v>168</c:v>
                </c:pt>
                <c:pt idx="45">
                  <c:v>172</c:v>
                </c:pt>
                <c:pt idx="46">
                  <c:v>176</c:v>
                </c:pt>
                <c:pt idx="47">
                  <c:v>180</c:v>
                </c:pt>
                <c:pt idx="48">
                  <c:v>184</c:v>
                </c:pt>
                <c:pt idx="49">
                  <c:v>188</c:v>
                </c:pt>
              </c:numCache>
            </c:numRef>
          </c:xVal>
          <c:yVal>
            <c:numRef>
              <c:f>'Fe36Cr Max + MD'!$G$236:$G$285</c:f>
              <c:numCache>
                <c:formatCode>0.00</c:formatCode>
                <c:ptCount val="50"/>
                <c:pt idx="0">
                  <c:v>2801.71</c:v>
                </c:pt>
                <c:pt idx="1">
                  <c:v>2855.21</c:v>
                </c:pt>
                <c:pt idx="2">
                  <c:v>2902.28</c:v>
                </c:pt>
                <c:pt idx="3">
                  <c:v>2918.79</c:v>
                </c:pt>
                <c:pt idx="4">
                  <c:v>2885.36</c:v>
                </c:pt>
                <c:pt idx="5">
                  <c:v>2836.8</c:v>
                </c:pt>
                <c:pt idx="6">
                  <c:v>2788.31</c:v>
                </c:pt>
                <c:pt idx="7">
                  <c:v>2746.26</c:v>
                </c:pt>
                <c:pt idx="8">
                  <c:v>2707.68</c:v>
                </c:pt>
                <c:pt idx="9">
                  <c:v>2679.1</c:v>
                </c:pt>
                <c:pt idx="10">
                  <c:v>2647.64</c:v>
                </c:pt>
                <c:pt idx="11">
                  <c:v>2641.63</c:v>
                </c:pt>
                <c:pt idx="12">
                  <c:v>2645.04</c:v>
                </c:pt>
                <c:pt idx="13">
                  <c:v>2689.64</c:v>
                </c:pt>
                <c:pt idx="14">
                  <c:v>2709.99</c:v>
                </c:pt>
                <c:pt idx="15">
                  <c:v>2756.29</c:v>
                </c:pt>
                <c:pt idx="16">
                  <c:v>2606.7800000000002</c:v>
                </c:pt>
                <c:pt idx="17">
                  <c:v>2626.14</c:v>
                </c:pt>
                <c:pt idx="18">
                  <c:v>2909.63</c:v>
                </c:pt>
                <c:pt idx="19">
                  <c:v>2938.93</c:v>
                </c:pt>
                <c:pt idx="20">
                  <c:v>2927.01</c:v>
                </c:pt>
                <c:pt idx="21">
                  <c:v>2882.75</c:v>
                </c:pt>
                <c:pt idx="22">
                  <c:v>3340.73</c:v>
                </c:pt>
                <c:pt idx="23">
                  <c:v>3352.28</c:v>
                </c:pt>
                <c:pt idx="24">
                  <c:v>3381.97</c:v>
                </c:pt>
                <c:pt idx="25">
                  <c:v>3425.27</c:v>
                </c:pt>
                <c:pt idx="26">
                  <c:v>3477.5</c:v>
                </c:pt>
                <c:pt idx="27">
                  <c:v>3496.09</c:v>
                </c:pt>
                <c:pt idx="28">
                  <c:v>3545.64</c:v>
                </c:pt>
                <c:pt idx="29">
                  <c:v>3567.4</c:v>
                </c:pt>
                <c:pt idx="30">
                  <c:v>3496.81</c:v>
                </c:pt>
                <c:pt idx="31">
                  <c:v>2950.25</c:v>
                </c:pt>
                <c:pt idx="32">
                  <c:v>3009.35</c:v>
                </c:pt>
                <c:pt idx="33">
                  <c:v>3027.71</c:v>
                </c:pt>
                <c:pt idx="34">
                  <c:v>3023.74</c:v>
                </c:pt>
                <c:pt idx="35">
                  <c:v>2991.44</c:v>
                </c:pt>
                <c:pt idx="36">
                  <c:v>2952.67</c:v>
                </c:pt>
                <c:pt idx="37">
                  <c:v>2889.2</c:v>
                </c:pt>
                <c:pt idx="38">
                  <c:v>2825.65</c:v>
                </c:pt>
                <c:pt idx="39">
                  <c:v>2914.15</c:v>
                </c:pt>
                <c:pt idx="40">
                  <c:v>2754.28</c:v>
                </c:pt>
                <c:pt idx="41">
                  <c:v>2733.49</c:v>
                </c:pt>
                <c:pt idx="42">
                  <c:v>2714.5</c:v>
                </c:pt>
                <c:pt idx="43">
                  <c:v>2686.93</c:v>
                </c:pt>
                <c:pt idx="44">
                  <c:v>2728.17</c:v>
                </c:pt>
                <c:pt idx="45">
                  <c:v>2689.63</c:v>
                </c:pt>
                <c:pt idx="46">
                  <c:v>2698.6</c:v>
                </c:pt>
                <c:pt idx="47">
                  <c:v>2654.38</c:v>
                </c:pt>
                <c:pt idx="48">
                  <c:v>2662.52</c:v>
                </c:pt>
                <c:pt idx="49">
                  <c:v>2727.59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A3-A445-86DC-D13EB11CD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Fe-36Cr </a:t>
            </a:r>
          </a:p>
        </c:rich>
      </c:tx>
      <c:layout>
        <c:manualLayout>
          <c:xMode val="edge"/>
          <c:yMode val="edge"/>
          <c:x val="0.51271196757774118"/>
          <c:y val="1.89114523362530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606938145443833"/>
          <c:y val="0.13712710911136108"/>
          <c:w val="0.7236080404567925"/>
          <c:h val="0.65810123734533188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+ MD'!$E$10:$E$55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01-4E4C-B820-B4D297E88F1F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'Fe36Cr Max + MD'!$C$56:$C$103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+ MD'!$G$56:$G$103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1-4E4C-B820-B4D297E88F1F}"/>
            </c:ext>
          </c:extLst>
        </c:ser>
        <c:ser>
          <c:idx val="2"/>
          <c:order val="2"/>
          <c:tx>
            <c:v>500C 10hr</c:v>
          </c:tx>
          <c:spPr>
            <a:ln w="25400">
              <a:noFill/>
            </a:ln>
          </c:spPr>
          <c:marker>
            <c:symbol val="circle"/>
            <c:size val="6"/>
          </c:marker>
          <c:xVal>
            <c:numRef>
              <c:f>'Fe36Cr Max + MD'!$C$104:$C$137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01-4E4C-B820-B4D297E88F1F}"/>
            </c:ext>
          </c:extLst>
        </c:ser>
        <c:ser>
          <c:idx val="3"/>
          <c:order val="3"/>
          <c:tx>
            <c:v>500C 10hr re-polished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MD'!$C$138:$C$186</c:f>
              <c:numCache>
                <c:formatCode>0</c:formatCode>
                <c:ptCount val="49"/>
                <c:pt idx="0" formatCode="General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+ MD'!$G$138:$G$186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01-4E4C-B820-B4D297E88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Relative Surface Angle [degrees]</a:t>
                </a:r>
              </a:p>
            </c:rich>
          </c:tx>
          <c:layout>
            <c:manualLayout>
              <c:xMode val="edge"/>
              <c:yMode val="edge"/>
              <c:x val="0.33838425892873036"/>
              <c:y val="0.894924754817805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</c:valAx>
      <c:valAx>
        <c:axId val="1791294527"/>
        <c:scaling>
          <c:orientation val="minMax"/>
          <c:max val="3550"/>
          <c:min val="2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5.1609193810044779E-2"/>
              <c:y val="0.1337271891722504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layout>
        <c:manualLayout>
          <c:xMode val="edge"/>
          <c:yMode val="edge"/>
          <c:x val="0.70788772293211899"/>
          <c:y val="0.16210451007530419"/>
          <c:w val="0.29211232678034826"/>
          <c:h val="5.0088256483151447E-2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'Fe36Cr Max + MD'!$AE$4:$AE$7</c:f>
                <c:numCache>
                  <c:formatCode>General</c:formatCode>
                  <c:ptCount val="4"/>
                  <c:pt idx="0">
                    <c:v>6.1119714861084455</c:v>
                  </c:pt>
                  <c:pt idx="1">
                    <c:v>12.408119653409695</c:v>
                  </c:pt>
                  <c:pt idx="2">
                    <c:v>4.5606395750304971</c:v>
                  </c:pt>
                  <c:pt idx="3">
                    <c:v>12.797911287914451</c:v>
                  </c:pt>
                </c:numCache>
              </c:numRef>
            </c:plus>
            <c:minus>
              <c:numRef>
                <c:f>'Fe36Cr Max + MD'!$AE$4:$AE$7</c:f>
                <c:numCache>
                  <c:formatCode>General</c:formatCode>
                  <c:ptCount val="4"/>
                  <c:pt idx="0">
                    <c:v>6.1119714861084455</c:v>
                  </c:pt>
                  <c:pt idx="1">
                    <c:v>12.408119653409695</c:v>
                  </c:pt>
                  <c:pt idx="2">
                    <c:v>4.5606395750304971</c:v>
                  </c:pt>
                  <c:pt idx="3">
                    <c:v>12.797911287914451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'Fe36Cr Max + MD'!$AB$4:$AB$7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11</c:v>
                </c:pt>
                <c:pt idx="3">
                  <c:v>14</c:v>
                </c:pt>
              </c:numCache>
            </c:numRef>
          </c:xVal>
          <c:yVal>
            <c:numRef>
              <c:f>'Fe36Cr Max + MD'!$AD$4:$AD$7</c:f>
              <c:numCache>
                <c:formatCode>0.00</c:formatCode>
                <c:ptCount val="4"/>
                <c:pt idx="0" formatCode="General">
                  <c:v>2708.0799666666667</c:v>
                </c:pt>
                <c:pt idx="1">
                  <c:v>2721.8733333333334</c:v>
                </c:pt>
                <c:pt idx="2">
                  <c:v>2760.9266666666667</c:v>
                </c:pt>
                <c:pt idx="3">
                  <c:v>2663.6866666666665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C-344D-9C23-D2FADB5EB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827840"/>
        <c:axId val="1693264768"/>
      </c:scatterChart>
      <c:valAx>
        <c:axId val="1692827840"/>
        <c:scaling>
          <c:orientation val="minMax"/>
          <c:min val="-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3264768"/>
        <c:crossesAt val="2600"/>
        <c:crossBetween val="midCat"/>
      </c:valAx>
      <c:valAx>
        <c:axId val="1693264768"/>
        <c:scaling>
          <c:orientation val="minMax"/>
          <c:max val="2800"/>
          <c:min val="26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SAW Speed [m/s]</a:t>
                </a:r>
              </a:p>
            </c:rich>
          </c:tx>
          <c:layout>
            <c:manualLayout>
              <c:xMode val="edge"/>
              <c:yMode val="edge"/>
              <c:x val="1.0251176891770087E-2"/>
              <c:y val="0.17460090649360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2827840"/>
        <c:crossesAt val="-1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'Fe36Cr Max + MD'!$AE$8:$AE$10</c:f>
                <c:numCache>
                  <c:formatCode>General</c:formatCode>
                  <c:ptCount val="3"/>
                  <c:pt idx="0">
                    <c:v>6</c:v>
                  </c:pt>
                  <c:pt idx="1">
                    <c:v>5.3</c:v>
                  </c:pt>
                  <c:pt idx="2">
                    <c:v>7.5</c:v>
                  </c:pt>
                </c:numCache>
              </c:numRef>
            </c:plus>
            <c:minus>
              <c:numRef>
                <c:f>'Fe36Cr Max + MD'!$AE$8:$AE$10</c:f>
                <c:numCache>
                  <c:formatCode>General</c:formatCode>
                  <c:ptCount val="3"/>
                  <c:pt idx="0">
                    <c:v>6</c:v>
                  </c:pt>
                  <c:pt idx="1">
                    <c:v>5.3</c:v>
                  </c:pt>
                  <c:pt idx="2">
                    <c:v>7.5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'Fe36Cr Max + MD'!$AB$8:$AB$10</c:f>
              <c:numCache>
                <c:formatCode>General</c:formatCode>
                <c:ptCount val="3"/>
                <c:pt idx="0">
                  <c:v>1</c:v>
                </c:pt>
                <c:pt idx="1">
                  <c:v>11</c:v>
                </c:pt>
                <c:pt idx="2">
                  <c:v>14</c:v>
                </c:pt>
              </c:numCache>
            </c:numRef>
          </c:xVal>
          <c:yVal>
            <c:numRef>
              <c:f>'Fe36Cr Max + MD'!$AD$8:$AD$10</c:f>
              <c:numCache>
                <c:formatCode>General</c:formatCode>
                <c:ptCount val="3"/>
                <c:pt idx="0">
                  <c:v>2750.6</c:v>
                </c:pt>
                <c:pt idx="1">
                  <c:v>2732.2</c:v>
                </c:pt>
                <c:pt idx="2">
                  <c:v>2735.6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F-344D-8B55-AE91B17AD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827840"/>
        <c:axId val="1693264768"/>
      </c:scatterChart>
      <c:valAx>
        <c:axId val="1692827840"/>
        <c:scaling>
          <c:orientation val="minMax"/>
          <c:min val="-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3264768"/>
        <c:crossesAt val="2640"/>
        <c:crossBetween val="midCat"/>
      </c:valAx>
      <c:valAx>
        <c:axId val="1693264768"/>
        <c:scaling>
          <c:orientation val="minMax"/>
          <c:max val="2800"/>
          <c:min val="26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SAW Speed [m/s]</a:t>
                </a:r>
              </a:p>
            </c:rich>
          </c:tx>
          <c:layout>
            <c:manualLayout>
              <c:xMode val="edge"/>
              <c:yMode val="edge"/>
              <c:x val="1.0251176891770087E-2"/>
              <c:y val="0.17460090649360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2827840"/>
        <c:crossesAt val="-1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'Fe36Cr Max + MD'!$AE$11:$AE$14</c:f>
                <c:numCache>
                  <c:formatCode>General</c:formatCode>
                  <c:ptCount val="4"/>
                  <c:pt idx="0">
                    <c:v>23.5</c:v>
                  </c:pt>
                  <c:pt idx="1">
                    <c:v>32.1</c:v>
                  </c:pt>
                  <c:pt idx="2">
                    <c:v>27</c:v>
                  </c:pt>
                  <c:pt idx="3">
                    <c:v>20.100000000000001</c:v>
                  </c:pt>
                </c:numCache>
              </c:numRef>
            </c:plus>
            <c:minus>
              <c:numRef>
                <c:f>'Fe36Cr Max + MD'!$AE$11:$AE$14</c:f>
                <c:numCache>
                  <c:formatCode>General</c:formatCode>
                  <c:ptCount val="4"/>
                  <c:pt idx="0">
                    <c:v>23.5</c:v>
                  </c:pt>
                  <c:pt idx="1">
                    <c:v>32.1</c:v>
                  </c:pt>
                  <c:pt idx="2">
                    <c:v>27</c:v>
                  </c:pt>
                  <c:pt idx="3">
                    <c:v>20.100000000000001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'Fe36Cr Max + MD'!$AB$11:$AB$14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11</c:v>
                </c:pt>
                <c:pt idx="3">
                  <c:v>14</c:v>
                </c:pt>
              </c:numCache>
            </c:numRef>
          </c:xVal>
          <c:yVal>
            <c:numRef>
              <c:f>'Fe36Cr Max + MD'!$AD$11:$AD$14</c:f>
              <c:numCache>
                <c:formatCode>General</c:formatCode>
                <c:ptCount val="4"/>
                <c:pt idx="0">
                  <c:v>2924.8</c:v>
                </c:pt>
                <c:pt idx="1">
                  <c:v>2949</c:v>
                </c:pt>
                <c:pt idx="2">
                  <c:v>2965</c:v>
                </c:pt>
                <c:pt idx="3">
                  <c:v>2917.1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01-D04A-86A0-D00877C7E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827840"/>
        <c:axId val="1693264768"/>
      </c:scatterChart>
      <c:valAx>
        <c:axId val="1692827840"/>
        <c:scaling>
          <c:orientation val="minMax"/>
          <c:min val="-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3264768"/>
        <c:crossesAt val="2640"/>
        <c:crossBetween val="midCat"/>
      </c:valAx>
      <c:valAx>
        <c:axId val="1693264768"/>
        <c:scaling>
          <c:orientation val="minMax"/>
          <c:max val="3000"/>
          <c:min val="28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SAW Speed [m/s]</a:t>
                </a:r>
              </a:p>
            </c:rich>
          </c:tx>
          <c:layout>
            <c:manualLayout>
              <c:xMode val="edge"/>
              <c:yMode val="edge"/>
              <c:x val="1.0251176891770087E-2"/>
              <c:y val="0.17460090649360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2827840"/>
        <c:crossesAt val="-1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'Fe36Cr Max + MD'!$Z$15</c:f>
              <c:strCache>
                <c:ptCount val="1"/>
                <c:pt idx="0">
                  <c:v>Relative Maxima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'Fe36Cr Max + MD'!$AE$15:$AE$17</c:f>
                <c:numCache>
                  <c:formatCode>General</c:formatCode>
                  <c:ptCount val="3"/>
                  <c:pt idx="0">
                    <c:v>10.199999999999999</c:v>
                  </c:pt>
                  <c:pt idx="1">
                    <c:v>12.7</c:v>
                  </c:pt>
                  <c:pt idx="2">
                    <c:v>12.7</c:v>
                  </c:pt>
                </c:numCache>
              </c:numRef>
            </c:plus>
            <c:minus>
              <c:numRef>
                <c:f>'Fe36Cr Max + MD'!$AE$15:$AE$17</c:f>
                <c:numCache>
                  <c:formatCode>General</c:formatCode>
                  <c:ptCount val="3"/>
                  <c:pt idx="0">
                    <c:v>10.199999999999999</c:v>
                  </c:pt>
                  <c:pt idx="1">
                    <c:v>12.7</c:v>
                  </c:pt>
                  <c:pt idx="2">
                    <c:v>12.7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'Fe36Cr Max + MD'!$AB$15:$AB$17</c:f>
              <c:numCache>
                <c:formatCode>General</c:formatCode>
                <c:ptCount val="3"/>
                <c:pt idx="0">
                  <c:v>1</c:v>
                </c:pt>
                <c:pt idx="1">
                  <c:v>11</c:v>
                </c:pt>
                <c:pt idx="2">
                  <c:v>14</c:v>
                </c:pt>
              </c:numCache>
            </c:numRef>
          </c:xVal>
          <c:yVal>
            <c:numRef>
              <c:f>'Fe36Cr Max + MD'!$AD$15:$AD$17</c:f>
              <c:numCache>
                <c:formatCode>General</c:formatCode>
                <c:ptCount val="3"/>
                <c:pt idx="0">
                  <c:v>2928.5</c:v>
                </c:pt>
                <c:pt idx="1">
                  <c:v>2921.4</c:v>
                </c:pt>
                <c:pt idx="2">
                  <c:v>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8-D14A-849D-B749BC13B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827840"/>
        <c:axId val="1693264768"/>
      </c:scatterChart>
      <c:valAx>
        <c:axId val="1692827840"/>
        <c:scaling>
          <c:orientation val="minMax"/>
          <c:min val="-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3264768"/>
        <c:crossesAt val="2640"/>
        <c:crossBetween val="midCat"/>
      </c:valAx>
      <c:valAx>
        <c:axId val="1693264768"/>
        <c:scaling>
          <c:orientation val="minMax"/>
          <c:max val="3000"/>
          <c:min val="28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SAW Speed [m/s]</a:t>
                </a:r>
              </a:p>
            </c:rich>
          </c:tx>
          <c:layout>
            <c:manualLayout>
              <c:xMode val="edge"/>
              <c:yMode val="edge"/>
              <c:x val="1.0251176891770087E-2"/>
              <c:y val="0.17460090649360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2827840"/>
        <c:crossesAt val="-1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u="sng"/>
            </a:pPr>
            <a:r>
              <a:rPr lang="en-US" u="sng"/>
              <a:t>Fe-26Cr Alloy </a:t>
            </a:r>
          </a:p>
        </c:rich>
      </c:tx>
      <c:layout>
        <c:manualLayout>
          <c:xMode val="edge"/>
          <c:yMode val="edge"/>
          <c:x val="0.41388757848000279"/>
          <c:y val="3.357314148681055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849682611259496"/>
          <c:y val="0.15106591891840856"/>
          <c:w val="0.73423445142044474"/>
          <c:h val="0.67706338865915139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'Fe25Cr Max Edits'!$C$8:$C$55</c:f>
              <c:numCache>
                <c:formatCode>General</c:formatCode>
                <c:ptCount val="48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142</c:v>
                </c:pt>
                <c:pt idx="36">
                  <c:v>146</c:v>
                </c:pt>
                <c:pt idx="37">
                  <c:v>150</c:v>
                </c:pt>
                <c:pt idx="38">
                  <c:v>154</c:v>
                </c:pt>
                <c:pt idx="39">
                  <c:v>158</c:v>
                </c:pt>
                <c:pt idx="40">
                  <c:v>162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</c:numCache>
            </c:numRef>
          </c:xVal>
          <c:yVal>
            <c:numRef>
              <c:f>'Fe25Cr Max Edits'!$E$8:$E$55</c:f>
              <c:numCache>
                <c:formatCode>General</c:formatCode>
                <c:ptCount val="48"/>
                <c:pt idx="0">
                  <c:v>2830.5794800063973</c:v>
                </c:pt>
                <c:pt idx="1">
                  <c:v>2834.9474927685328</c:v>
                </c:pt>
                <c:pt idx="2">
                  <c:v>2801.1846019109148</c:v>
                </c:pt>
                <c:pt idx="3">
                  <c:v>2769.8093071384606</c:v>
                </c:pt>
                <c:pt idx="4">
                  <c:v>2757.3226542473635</c:v>
                </c:pt>
                <c:pt idx="5">
                  <c:v>2747.8232733375376</c:v>
                </c:pt>
                <c:pt idx="6">
                  <c:v>2746.4835592444133</c:v>
                </c:pt>
                <c:pt idx="7">
                  <c:v>2757.5464811921361</c:v>
                </c:pt>
                <c:pt idx="8">
                  <c:v>2777.2059331860592</c:v>
                </c:pt>
                <c:pt idx="9">
                  <c:v>2803.89497224874</c:v>
                </c:pt>
                <c:pt idx="10">
                  <c:v>2833.1310181402168</c:v>
                </c:pt>
                <c:pt idx="11">
                  <c:v>2876.0446615704077</c:v>
                </c:pt>
                <c:pt idx="12">
                  <c:v>2916.9954939616846</c:v>
                </c:pt>
                <c:pt idx="13">
                  <c:v>2936.635336670498</c:v>
                </c:pt>
                <c:pt idx="14">
                  <c:v>2931.8622445078613</c:v>
                </c:pt>
                <c:pt idx="15">
                  <c:v>2868.758865321191</c:v>
                </c:pt>
                <c:pt idx="16">
                  <c:v>3294.759630981569</c:v>
                </c:pt>
                <c:pt idx="17">
                  <c:v>3290.5544743060295</c:v>
                </c:pt>
                <c:pt idx="18">
                  <c:v>3288.5236831239408</c:v>
                </c:pt>
                <c:pt idx="19">
                  <c:v>3280.6372712907528</c:v>
                </c:pt>
                <c:pt idx="20">
                  <c:v>3268.0848811966562</c:v>
                </c:pt>
                <c:pt idx="21">
                  <c:v>3273.2857558748051</c:v>
                </c:pt>
                <c:pt idx="22">
                  <c:v>3284.3705980489708</c:v>
                </c:pt>
                <c:pt idx="23">
                  <c:v>3315.7170149845601</c:v>
                </c:pt>
                <c:pt idx="24">
                  <c:v>3349.3826744077514</c:v>
                </c:pt>
                <c:pt idx="25">
                  <c:v>3015.1666233243195</c:v>
                </c:pt>
                <c:pt idx="26">
                  <c:v>3060.7226853179468</c:v>
                </c:pt>
                <c:pt idx="27">
                  <c:v>3055.9518748343075</c:v>
                </c:pt>
                <c:pt idx="28">
                  <c:v>3030.7096396552784</c:v>
                </c:pt>
                <c:pt idx="29">
                  <c:v>3006.3455382909469</c:v>
                </c:pt>
                <c:pt idx="30">
                  <c:v>2967.0923422691926</c:v>
                </c:pt>
                <c:pt idx="31">
                  <c:v>2936.5849982784157</c:v>
                </c:pt>
                <c:pt idx="32">
                  <c:v>2900.9993054940492</c:v>
                </c:pt>
                <c:pt idx="33">
                  <c:v>2873.6950776345625</c:v>
                </c:pt>
                <c:pt idx="34">
                  <c:v>2856.1336230046613</c:v>
                </c:pt>
                <c:pt idx="35">
                  <c:v>2846.7984353696334</c:v>
                </c:pt>
                <c:pt idx="36">
                  <c:v>2850.4188695903395</c:v>
                </c:pt>
                <c:pt idx="37">
                  <c:v>2858.1662071288251</c:v>
                </c:pt>
                <c:pt idx="38">
                  <c:v>2828.8420632909288</c:v>
                </c:pt>
                <c:pt idx="39">
                  <c:v>2837.5552231422271</c:v>
                </c:pt>
                <c:pt idx="40">
                  <c:v>3007.3079600410711</c:v>
                </c:pt>
                <c:pt idx="41">
                  <c:v>3035.9740260443632</c:v>
                </c:pt>
                <c:pt idx="42">
                  <c:v>3051.2878783844144</c:v>
                </c:pt>
                <c:pt idx="43">
                  <c:v>3041.5305259595289</c:v>
                </c:pt>
                <c:pt idx="44">
                  <c:v>2836.1689504516967</c:v>
                </c:pt>
                <c:pt idx="45">
                  <c:v>2837.9122589746498</c:v>
                </c:pt>
                <c:pt idx="46">
                  <c:v>2824.4643775454083</c:v>
                </c:pt>
                <c:pt idx="47">
                  <c:v>2790.2751991894197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5E-2E43-B7F8-E6BD5F7CFE12}"/>
            </c:ext>
          </c:extLst>
        </c:ser>
        <c:ser>
          <c:idx val="2"/>
          <c:order val="1"/>
          <c:tx>
            <c:v>500C 10hr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'Fe25Cr Max Edits'!$C$102:$C$153</c:f>
              <c:numCache>
                <c:formatCode>General</c:formatCode>
                <c:ptCount val="52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180</c:v>
                </c:pt>
                <c:pt idx="32">
                  <c:v>184</c:v>
                </c:pt>
                <c:pt idx="33">
                  <c:v>0</c:v>
                </c:pt>
                <c:pt idx="34">
                  <c:v>4</c:v>
                </c:pt>
                <c:pt idx="35">
                  <c:v>8</c:v>
                </c:pt>
                <c:pt idx="36">
                  <c:v>12</c:v>
                </c:pt>
                <c:pt idx="37">
                  <c:v>16</c:v>
                </c:pt>
                <c:pt idx="38">
                  <c:v>20</c:v>
                </c:pt>
                <c:pt idx="39">
                  <c:v>24</c:v>
                </c:pt>
                <c:pt idx="40">
                  <c:v>28</c:v>
                </c:pt>
                <c:pt idx="41">
                  <c:v>32</c:v>
                </c:pt>
                <c:pt idx="42">
                  <c:v>36</c:v>
                </c:pt>
                <c:pt idx="43">
                  <c:v>40</c:v>
                </c:pt>
                <c:pt idx="44">
                  <c:v>44</c:v>
                </c:pt>
                <c:pt idx="45">
                  <c:v>48</c:v>
                </c:pt>
                <c:pt idx="46">
                  <c:v>52</c:v>
                </c:pt>
                <c:pt idx="47">
                  <c:v>56</c:v>
                </c:pt>
                <c:pt idx="48">
                  <c:v>60</c:v>
                </c:pt>
                <c:pt idx="49">
                  <c:v>64</c:v>
                </c:pt>
                <c:pt idx="50">
                  <c:v>68</c:v>
                </c:pt>
                <c:pt idx="51">
                  <c:v>72</c:v>
                </c:pt>
              </c:numCache>
            </c:numRef>
          </c:xVal>
          <c:yVal>
            <c:numRef>
              <c:f>'Fe25Cr Max Edits'!$E$102:$E$153</c:f>
              <c:numCache>
                <c:formatCode>General</c:formatCode>
                <c:ptCount val="52"/>
                <c:pt idx="0">
                  <c:v>2893.9469065238854</c:v>
                </c:pt>
                <c:pt idx="1">
                  <c:v>2930.8265273557195</c:v>
                </c:pt>
                <c:pt idx="2">
                  <c:v>2924.7152139980249</c:v>
                </c:pt>
                <c:pt idx="3">
                  <c:v>2809.6735746050708</c:v>
                </c:pt>
                <c:pt idx="4">
                  <c:v>3282.5848321362437</c:v>
                </c:pt>
                <c:pt idx="5">
                  <c:v>3272.7632815945944</c:v>
                </c:pt>
                <c:pt idx="6">
                  <c:v>3256.9488755946641</c:v>
                </c:pt>
                <c:pt idx="7">
                  <c:v>3251.3015168061215</c:v>
                </c:pt>
                <c:pt idx="8">
                  <c:v>3257.273535753824</c:v>
                </c:pt>
                <c:pt idx="9">
                  <c:v>3255.0917165555807</c:v>
                </c:pt>
                <c:pt idx="10">
                  <c:v>3264.0104753978885</c:v>
                </c:pt>
                <c:pt idx="11">
                  <c:v>3303.8847886163726</c:v>
                </c:pt>
                <c:pt idx="12">
                  <c:v>3338.2829858360719</c:v>
                </c:pt>
                <c:pt idx="13">
                  <c:v>3016.9248503009835</c:v>
                </c:pt>
                <c:pt idx="14">
                  <c:v>3040.5231674961087</c:v>
                </c:pt>
                <c:pt idx="15">
                  <c:v>3039.5409678583533</c:v>
                </c:pt>
                <c:pt idx="16">
                  <c:v>3004.2462177441494</c:v>
                </c:pt>
                <c:pt idx="17">
                  <c:v>2968.8745052384152</c:v>
                </c:pt>
                <c:pt idx="18">
                  <c:v>2932.2230715159053</c:v>
                </c:pt>
                <c:pt idx="19">
                  <c:v>2907.8959009209207</c:v>
                </c:pt>
                <c:pt idx="20">
                  <c:v>2879.8608959762441</c:v>
                </c:pt>
                <c:pt idx="21">
                  <c:v>2853.2396762471226</c:v>
                </c:pt>
                <c:pt idx="22">
                  <c:v>2845.5131441509275</c:v>
                </c:pt>
                <c:pt idx="23">
                  <c:v>2836.0911343091889</c:v>
                </c:pt>
                <c:pt idx="24">
                  <c:v>2842.729343819412</c:v>
                </c:pt>
                <c:pt idx="25">
                  <c:v>2839.6190333833042</c:v>
                </c:pt>
                <c:pt idx="26">
                  <c:v>2841.317646527596</c:v>
                </c:pt>
                <c:pt idx="27">
                  <c:v>3070.9902525829784</c:v>
                </c:pt>
                <c:pt idx="28">
                  <c:v>2952.024987854556</c:v>
                </c:pt>
                <c:pt idx="29">
                  <c:v>3013.242087689438</c:v>
                </c:pt>
                <c:pt idx="30">
                  <c:v>3026.9671316001522</c:v>
                </c:pt>
                <c:pt idx="31">
                  <c:v>3014.3749771486696</c:v>
                </c:pt>
                <c:pt idx="32">
                  <c:v>2808.841878940922</c:v>
                </c:pt>
                <c:pt idx="33">
                  <c:v>2832.8675360809189</c:v>
                </c:pt>
                <c:pt idx="34">
                  <c:v>2816.1169856084493</c:v>
                </c:pt>
                <c:pt idx="35">
                  <c:v>2780.1036838094956</c:v>
                </c:pt>
                <c:pt idx="36">
                  <c:v>2757.1276298077828</c:v>
                </c:pt>
                <c:pt idx="37">
                  <c:v>2743.0211392763422</c:v>
                </c:pt>
                <c:pt idx="38">
                  <c:v>2732.4758999074484</c:v>
                </c:pt>
                <c:pt idx="39">
                  <c:v>2730.2102762897312</c:v>
                </c:pt>
                <c:pt idx="40">
                  <c:v>2744.1672124149763</c:v>
                </c:pt>
                <c:pt idx="41">
                  <c:v>2756.8068971527227</c:v>
                </c:pt>
                <c:pt idx="42">
                  <c:v>2798.132334013394</c:v>
                </c:pt>
                <c:pt idx="43">
                  <c:v>2831.8985440665897</c:v>
                </c:pt>
                <c:pt idx="44">
                  <c:v>2856.7150357793912</c:v>
                </c:pt>
                <c:pt idx="45">
                  <c:v>2905.1131610173566</c:v>
                </c:pt>
                <c:pt idx="46">
                  <c:v>2925.2350655260771</c:v>
                </c:pt>
                <c:pt idx="47">
                  <c:v>2928.700451082359</c:v>
                </c:pt>
                <c:pt idx="48">
                  <c:v>3311.6514539824525</c:v>
                </c:pt>
                <c:pt idx="49">
                  <c:v>3287.6819021997258</c:v>
                </c:pt>
                <c:pt idx="50">
                  <c:v>3273.3133519792282</c:v>
                </c:pt>
                <c:pt idx="51">
                  <c:v>3264.2795376248932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5E-2E43-B7F8-E6BD5F7CFE12}"/>
            </c:ext>
          </c:extLst>
        </c:ser>
        <c:ser>
          <c:idx val="1"/>
          <c:order val="2"/>
          <c:tx>
            <c:v>2nd homogenization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</c:spPr>
          </c:marker>
          <c:xVal>
            <c:numRef>
              <c:f>'Fe25Cr Max Edits'!$C$56:$C$101</c:f>
              <c:numCache>
                <c:formatCode>General</c:formatCode>
                <c:ptCount val="46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0</c:v>
                </c:pt>
                <c:pt idx="32">
                  <c:v>4</c:v>
                </c:pt>
                <c:pt idx="33">
                  <c:v>8</c:v>
                </c:pt>
                <c:pt idx="34">
                  <c:v>12</c:v>
                </c:pt>
                <c:pt idx="35">
                  <c:v>16</c:v>
                </c:pt>
                <c:pt idx="36">
                  <c:v>20</c:v>
                </c:pt>
                <c:pt idx="37">
                  <c:v>24</c:v>
                </c:pt>
                <c:pt idx="38">
                  <c:v>28</c:v>
                </c:pt>
                <c:pt idx="39">
                  <c:v>32</c:v>
                </c:pt>
                <c:pt idx="40">
                  <c:v>36</c:v>
                </c:pt>
                <c:pt idx="41">
                  <c:v>40</c:v>
                </c:pt>
                <c:pt idx="42">
                  <c:v>44</c:v>
                </c:pt>
                <c:pt idx="43">
                  <c:v>48</c:v>
                </c:pt>
                <c:pt idx="44">
                  <c:v>52</c:v>
                </c:pt>
                <c:pt idx="45">
                  <c:v>56</c:v>
                </c:pt>
              </c:numCache>
            </c:numRef>
          </c:xVal>
          <c:yVal>
            <c:numRef>
              <c:f>'Fe25Cr Max Edits'!$E$56:$E$101</c:f>
              <c:numCache>
                <c:formatCode>General</c:formatCode>
                <c:ptCount val="46"/>
                <c:pt idx="0">
                  <c:v>2912.4696912703689</c:v>
                </c:pt>
                <c:pt idx="1">
                  <c:v>2859.2366759746915</c:v>
                </c:pt>
                <c:pt idx="2">
                  <c:v>3295.4347238599671</c:v>
                </c:pt>
                <c:pt idx="3">
                  <c:v>3284.6744733653231</c:v>
                </c:pt>
                <c:pt idx="4">
                  <c:v>3278.5911183924486</c:v>
                </c:pt>
                <c:pt idx="5">
                  <c:v>3269.0360358181269</c:v>
                </c:pt>
                <c:pt idx="6">
                  <c:v>3265.3370507740319</c:v>
                </c:pt>
                <c:pt idx="7">
                  <c:v>3264.4340392456538</c:v>
                </c:pt>
                <c:pt idx="8">
                  <c:v>3269.9682605335779</c:v>
                </c:pt>
                <c:pt idx="9">
                  <c:v>3290.3163812974376</c:v>
                </c:pt>
                <c:pt idx="10">
                  <c:v>3328.323430699339</c:v>
                </c:pt>
                <c:pt idx="11">
                  <c:v>3005.7060346632784</c:v>
                </c:pt>
                <c:pt idx="12">
                  <c:v>3047.5561228132183</c:v>
                </c:pt>
                <c:pt idx="13">
                  <c:v>3050.8835858358802</c:v>
                </c:pt>
                <c:pt idx="14">
                  <c:v>3028.909915553967</c:v>
                </c:pt>
                <c:pt idx="15">
                  <c:v>2995.5710172537802</c:v>
                </c:pt>
                <c:pt idx="16">
                  <c:v>2962.8315632957288</c:v>
                </c:pt>
                <c:pt idx="17">
                  <c:v>2928.8707195337925</c:v>
                </c:pt>
                <c:pt idx="18">
                  <c:v>2896.1677365379587</c:v>
                </c:pt>
                <c:pt idx="19">
                  <c:v>2872.2129396235136</c:v>
                </c:pt>
                <c:pt idx="20">
                  <c:v>2850.6944865545538</c:v>
                </c:pt>
                <c:pt idx="21">
                  <c:v>2842.4341632584851</c:v>
                </c:pt>
                <c:pt idx="22">
                  <c:v>2835.8737910306909</c:v>
                </c:pt>
                <c:pt idx="23">
                  <c:v>2837.6445901408802</c:v>
                </c:pt>
                <c:pt idx="24">
                  <c:v>2844.5202604442097</c:v>
                </c:pt>
                <c:pt idx="25">
                  <c:v>2784.7935173662545</c:v>
                </c:pt>
                <c:pt idx="26">
                  <c:v>2951.8436317883875</c:v>
                </c:pt>
                <c:pt idx="27">
                  <c:v>3011.2584429590347</c:v>
                </c:pt>
                <c:pt idx="28">
                  <c:v>3037.4177656325501</c:v>
                </c:pt>
                <c:pt idx="29">
                  <c:v>3028.5543962543957</c:v>
                </c:pt>
                <c:pt idx="30">
                  <c:v>2769.9598943602896</c:v>
                </c:pt>
                <c:pt idx="31">
                  <c:v>2828.6063228652179</c:v>
                </c:pt>
                <c:pt idx="32">
                  <c:v>2818.7274178491584</c:v>
                </c:pt>
                <c:pt idx="33">
                  <c:v>2792.5783945273865</c:v>
                </c:pt>
                <c:pt idx="34">
                  <c:v>2763.468121114448</c:v>
                </c:pt>
                <c:pt idx="35">
                  <c:v>2742.8082132012469</c:v>
                </c:pt>
                <c:pt idx="36">
                  <c:v>2732.0947043199667</c:v>
                </c:pt>
                <c:pt idx="37">
                  <c:v>2726.8730056772592</c:v>
                </c:pt>
                <c:pt idx="38">
                  <c:v>2737.5054033329911</c:v>
                </c:pt>
                <c:pt idx="39">
                  <c:v>2762.4649778266103</c:v>
                </c:pt>
                <c:pt idx="40">
                  <c:v>2797.0717504190484</c:v>
                </c:pt>
                <c:pt idx="41">
                  <c:v>2829.4871140266673</c:v>
                </c:pt>
                <c:pt idx="42">
                  <c:v>2869.6828873985914</c:v>
                </c:pt>
                <c:pt idx="43">
                  <c:v>2907.5751288555575</c:v>
                </c:pt>
                <c:pt idx="44">
                  <c:v>2932.6348039433847</c:v>
                </c:pt>
                <c:pt idx="45">
                  <c:v>2923.8789122226863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5E-2E43-B7F8-E6BD5F7CF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sz="1800" b="0" i="0" baseline="0">
                    <a:effectLst/>
                  </a:rPr>
                  <a:t>Relative Surface Angle [degrees]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  <c:minorUnit val="10"/>
      </c:valAx>
      <c:valAx>
        <c:axId val="1791294527"/>
        <c:scaling>
          <c:orientation val="minMax"/>
          <c:max val="3550"/>
          <c:min val="2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1.7621145374449341E-2"/>
              <c:y val="0.115094695896825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layout>
        <c:manualLayout>
          <c:xMode val="edge"/>
          <c:yMode val="edge"/>
          <c:x val="0.66203315139001151"/>
          <c:y val="0.17261341527459809"/>
          <c:w val="0.33436323379760069"/>
          <c:h val="0.1353844531399841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u="sng"/>
            </a:pPr>
            <a:r>
              <a:rPr lang="en-US" u="sng"/>
              <a:t>Fe-36Cr Alloy </a:t>
            </a:r>
          </a:p>
        </c:rich>
      </c:tx>
      <c:layout>
        <c:manualLayout>
          <c:xMode val="edge"/>
          <c:yMode val="edge"/>
          <c:x val="0.43990417099357082"/>
          <c:y val="2.36333283523457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606938145443833"/>
          <c:y val="0.13712710911136108"/>
          <c:w val="0.7236080404567925"/>
          <c:h val="0.65810123734533188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+ MD'!$E$10:$E$55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F9-3B4B-9169-FD244B3AB4F3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'Fe36Cr Max + MD'!$E$56:$E$103</c:f>
              <c:numCache>
                <c:formatCode>0</c:formatCode>
                <c:ptCount val="48"/>
                <c:pt idx="0">
                  <c:v>-8</c:v>
                </c:pt>
                <c:pt idx="1">
                  <c:v>-4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52</c:v>
                </c:pt>
                <c:pt idx="16">
                  <c:v>56</c:v>
                </c:pt>
                <c:pt idx="17">
                  <c:v>60</c:v>
                </c:pt>
                <c:pt idx="18">
                  <c:v>64</c:v>
                </c:pt>
                <c:pt idx="19">
                  <c:v>68</c:v>
                </c:pt>
                <c:pt idx="20">
                  <c:v>72</c:v>
                </c:pt>
                <c:pt idx="21">
                  <c:v>76</c:v>
                </c:pt>
                <c:pt idx="22">
                  <c:v>80</c:v>
                </c:pt>
                <c:pt idx="23">
                  <c:v>84</c:v>
                </c:pt>
                <c:pt idx="24">
                  <c:v>88</c:v>
                </c:pt>
                <c:pt idx="25">
                  <c:v>92</c:v>
                </c:pt>
                <c:pt idx="26">
                  <c:v>96</c:v>
                </c:pt>
                <c:pt idx="27">
                  <c:v>100</c:v>
                </c:pt>
                <c:pt idx="28">
                  <c:v>104</c:v>
                </c:pt>
                <c:pt idx="29">
                  <c:v>108</c:v>
                </c:pt>
                <c:pt idx="30">
                  <c:v>112</c:v>
                </c:pt>
                <c:pt idx="31">
                  <c:v>116</c:v>
                </c:pt>
                <c:pt idx="32">
                  <c:v>120</c:v>
                </c:pt>
                <c:pt idx="33">
                  <c:v>124</c:v>
                </c:pt>
                <c:pt idx="34">
                  <c:v>128</c:v>
                </c:pt>
                <c:pt idx="35">
                  <c:v>132</c:v>
                </c:pt>
                <c:pt idx="36">
                  <c:v>136</c:v>
                </c:pt>
                <c:pt idx="37">
                  <c:v>140</c:v>
                </c:pt>
                <c:pt idx="38">
                  <c:v>144</c:v>
                </c:pt>
                <c:pt idx="39">
                  <c:v>148</c:v>
                </c:pt>
                <c:pt idx="40">
                  <c:v>152</c:v>
                </c:pt>
                <c:pt idx="41">
                  <c:v>156</c:v>
                </c:pt>
                <c:pt idx="42">
                  <c:v>160</c:v>
                </c:pt>
                <c:pt idx="43">
                  <c:v>164</c:v>
                </c:pt>
                <c:pt idx="44">
                  <c:v>168</c:v>
                </c:pt>
                <c:pt idx="45">
                  <c:v>172</c:v>
                </c:pt>
                <c:pt idx="46">
                  <c:v>176</c:v>
                </c:pt>
                <c:pt idx="47">
                  <c:v>180</c:v>
                </c:pt>
              </c:numCache>
            </c:numRef>
          </c:xVal>
          <c:yVal>
            <c:numRef>
              <c:f>'Fe36Cr Max + MD'!$G$56:$G$103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F9-3B4B-9169-FD244B3AB4F3}"/>
            </c:ext>
          </c:extLst>
        </c:ser>
        <c:ser>
          <c:idx val="2"/>
          <c:order val="2"/>
          <c:tx>
            <c:v>500C 10hr</c:v>
          </c:tx>
          <c:spPr>
            <a:ln w="25400">
              <a:noFill/>
            </a:ln>
          </c:spPr>
          <c:marker>
            <c:symbol val="circle"/>
            <c:size val="6"/>
          </c:marker>
          <c:xVal>
            <c:numRef>
              <c:f>'Fe36Cr Max + MD'!$C$104:$C$137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F9-3B4B-9169-FD244B3AB4F3}"/>
            </c:ext>
          </c:extLst>
        </c:ser>
        <c:ser>
          <c:idx val="3"/>
          <c:order val="3"/>
          <c:tx>
            <c:v>500C 10hr re-polished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MD'!$E$138:$E$186</c:f>
              <c:numCache>
                <c:formatCode>0</c:formatCode>
                <c:ptCount val="49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  <c:pt idx="48">
                  <c:v>192</c:v>
                </c:pt>
              </c:numCache>
            </c:numRef>
          </c:xVal>
          <c:yVal>
            <c:numRef>
              <c:f>'Fe36Cr Max + MD'!$G$138:$G$186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F9-3B4B-9169-FD244B3AB4F3}"/>
            </c:ext>
          </c:extLst>
        </c:ser>
        <c:ser>
          <c:idx val="4"/>
          <c:order val="4"/>
          <c:tx>
            <c:v>Re-homogenization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MD'!$E$187:$E$235</c:f>
              <c:numCache>
                <c:formatCode>General</c:formatCode>
                <c:ptCount val="49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40</c:v>
                </c:pt>
                <c:pt idx="10">
                  <c:v>44</c:v>
                </c:pt>
                <c:pt idx="11">
                  <c:v>48</c:v>
                </c:pt>
                <c:pt idx="12">
                  <c:v>52</c:v>
                </c:pt>
                <c:pt idx="13">
                  <c:v>56</c:v>
                </c:pt>
                <c:pt idx="14">
                  <c:v>60</c:v>
                </c:pt>
                <c:pt idx="15">
                  <c:v>64</c:v>
                </c:pt>
                <c:pt idx="16">
                  <c:v>68</c:v>
                </c:pt>
                <c:pt idx="17">
                  <c:v>72</c:v>
                </c:pt>
                <c:pt idx="18">
                  <c:v>76</c:v>
                </c:pt>
                <c:pt idx="19">
                  <c:v>80</c:v>
                </c:pt>
                <c:pt idx="20">
                  <c:v>84</c:v>
                </c:pt>
                <c:pt idx="21">
                  <c:v>88</c:v>
                </c:pt>
                <c:pt idx="22">
                  <c:v>92</c:v>
                </c:pt>
                <c:pt idx="23">
                  <c:v>96</c:v>
                </c:pt>
                <c:pt idx="24">
                  <c:v>100</c:v>
                </c:pt>
                <c:pt idx="25">
                  <c:v>104</c:v>
                </c:pt>
                <c:pt idx="26">
                  <c:v>108</c:v>
                </c:pt>
                <c:pt idx="27">
                  <c:v>112</c:v>
                </c:pt>
                <c:pt idx="28">
                  <c:v>116</c:v>
                </c:pt>
                <c:pt idx="29">
                  <c:v>120</c:v>
                </c:pt>
                <c:pt idx="30">
                  <c:v>124</c:v>
                </c:pt>
                <c:pt idx="31">
                  <c:v>128</c:v>
                </c:pt>
                <c:pt idx="32">
                  <c:v>132</c:v>
                </c:pt>
                <c:pt idx="33">
                  <c:v>136</c:v>
                </c:pt>
                <c:pt idx="34">
                  <c:v>140</c:v>
                </c:pt>
                <c:pt idx="35">
                  <c:v>144</c:v>
                </c:pt>
                <c:pt idx="36">
                  <c:v>148</c:v>
                </c:pt>
                <c:pt idx="37">
                  <c:v>152</c:v>
                </c:pt>
                <c:pt idx="38">
                  <c:v>156</c:v>
                </c:pt>
                <c:pt idx="39">
                  <c:v>160</c:v>
                </c:pt>
                <c:pt idx="40">
                  <c:v>164</c:v>
                </c:pt>
                <c:pt idx="41">
                  <c:v>168</c:v>
                </c:pt>
                <c:pt idx="42">
                  <c:v>172</c:v>
                </c:pt>
                <c:pt idx="43">
                  <c:v>176</c:v>
                </c:pt>
                <c:pt idx="44">
                  <c:v>180</c:v>
                </c:pt>
                <c:pt idx="45">
                  <c:v>184</c:v>
                </c:pt>
                <c:pt idx="46">
                  <c:v>188</c:v>
                </c:pt>
                <c:pt idx="47">
                  <c:v>192</c:v>
                </c:pt>
                <c:pt idx="48">
                  <c:v>196</c:v>
                </c:pt>
              </c:numCache>
            </c:numRef>
          </c:xVal>
          <c:yVal>
            <c:numRef>
              <c:f>'Fe36Cr Max + MD'!$G$187:$G$235</c:f>
              <c:numCache>
                <c:formatCode>0.00</c:formatCode>
                <c:ptCount val="49"/>
                <c:pt idx="0">
                  <c:v>2912.63</c:v>
                </c:pt>
                <c:pt idx="1">
                  <c:v>2918.54</c:v>
                </c:pt>
                <c:pt idx="2">
                  <c:v>2883.85</c:v>
                </c:pt>
                <c:pt idx="3">
                  <c:v>2833.31</c:v>
                </c:pt>
                <c:pt idx="4">
                  <c:v>2782.36</c:v>
                </c:pt>
                <c:pt idx="5">
                  <c:v>2739.77</c:v>
                </c:pt>
                <c:pt idx="6">
                  <c:v>2705.83</c:v>
                </c:pt>
                <c:pt idx="7">
                  <c:v>2674.53</c:v>
                </c:pt>
                <c:pt idx="8">
                  <c:v>2649.28</c:v>
                </c:pt>
                <c:pt idx="9">
                  <c:v>2668.04</c:v>
                </c:pt>
                <c:pt idx="10">
                  <c:v>2673.74</c:v>
                </c:pt>
                <c:pt idx="11">
                  <c:v>2703.25</c:v>
                </c:pt>
                <c:pt idx="12">
                  <c:v>2738.57</c:v>
                </c:pt>
                <c:pt idx="13">
                  <c:v>2714.81</c:v>
                </c:pt>
                <c:pt idx="14">
                  <c:v>2797.16</c:v>
                </c:pt>
                <c:pt idx="15">
                  <c:v>2874.37</c:v>
                </c:pt>
                <c:pt idx="16">
                  <c:v>2915.04</c:v>
                </c:pt>
                <c:pt idx="17">
                  <c:v>2938.32</c:v>
                </c:pt>
                <c:pt idx="18">
                  <c:v>2897.89</c:v>
                </c:pt>
                <c:pt idx="19">
                  <c:v>2775.79</c:v>
                </c:pt>
                <c:pt idx="20">
                  <c:v>3325.78</c:v>
                </c:pt>
                <c:pt idx="21">
                  <c:v>3332.4</c:v>
                </c:pt>
                <c:pt idx="22">
                  <c:v>3212.53</c:v>
                </c:pt>
                <c:pt idx="23">
                  <c:v>3401.34</c:v>
                </c:pt>
                <c:pt idx="24">
                  <c:v>3463.72</c:v>
                </c:pt>
                <c:pt idx="25">
                  <c:v>3482.44</c:v>
                </c:pt>
                <c:pt idx="26">
                  <c:v>3561.59</c:v>
                </c:pt>
                <c:pt idx="27">
                  <c:v>3541.41</c:v>
                </c:pt>
                <c:pt idx="28">
                  <c:v>2933.84</c:v>
                </c:pt>
                <c:pt idx="29">
                  <c:v>2991.48</c:v>
                </c:pt>
                <c:pt idx="30">
                  <c:v>3024.97</c:v>
                </c:pt>
                <c:pt idx="31">
                  <c:v>3031.79</c:v>
                </c:pt>
                <c:pt idx="32">
                  <c:v>3009.79</c:v>
                </c:pt>
                <c:pt idx="33">
                  <c:v>2984.62</c:v>
                </c:pt>
                <c:pt idx="34">
                  <c:v>2919.69</c:v>
                </c:pt>
                <c:pt idx="35">
                  <c:v>2903.62</c:v>
                </c:pt>
                <c:pt idx="36">
                  <c:v>2815.94</c:v>
                </c:pt>
                <c:pt idx="37">
                  <c:v>2784.22</c:v>
                </c:pt>
                <c:pt idx="38">
                  <c:v>2755.88</c:v>
                </c:pt>
                <c:pt idx="39">
                  <c:v>2727.17</c:v>
                </c:pt>
                <c:pt idx="40">
                  <c:v>2734.55</c:v>
                </c:pt>
                <c:pt idx="41">
                  <c:v>2746.06</c:v>
                </c:pt>
                <c:pt idx="42">
                  <c:v>2770.3</c:v>
                </c:pt>
                <c:pt idx="43">
                  <c:v>2816.48</c:v>
                </c:pt>
                <c:pt idx="44">
                  <c:v>2863.26</c:v>
                </c:pt>
                <c:pt idx="45">
                  <c:v>2915.02</c:v>
                </c:pt>
                <c:pt idx="46">
                  <c:v>2918.5</c:v>
                </c:pt>
                <c:pt idx="47">
                  <c:v>2877.57</c:v>
                </c:pt>
                <c:pt idx="48">
                  <c:v>2824.06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F9-3B4B-9169-FD244B3AB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Relative Surface Angle [degrees]</a:t>
                </a:r>
              </a:p>
            </c:rich>
          </c:tx>
          <c:layout>
            <c:manualLayout>
              <c:xMode val="edge"/>
              <c:yMode val="edge"/>
              <c:x val="0.33838425892873036"/>
              <c:y val="0.894924754817805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</c:valAx>
      <c:valAx>
        <c:axId val="1791294527"/>
        <c:scaling>
          <c:orientation val="minMax"/>
          <c:max val="3550"/>
          <c:min val="2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2.9157658795603811E-2"/>
              <c:y val="0.1337271052204790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layout>
        <c:manualLayout>
          <c:xMode val="edge"/>
          <c:yMode val="edge"/>
          <c:x val="0.65291553443891037"/>
          <c:y val="0.15736424285258113"/>
          <c:w val="0.34708446556108957"/>
          <c:h val="0.26148910249819124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u="sng"/>
            </a:pPr>
            <a:r>
              <a:rPr lang="en-US" u="sng"/>
              <a:t>Fe-36Cr Alloy </a:t>
            </a:r>
          </a:p>
        </c:rich>
      </c:tx>
      <c:layout>
        <c:manualLayout>
          <c:xMode val="edge"/>
          <c:yMode val="edge"/>
          <c:x val="0.43990417099357082"/>
          <c:y val="2.36333283523457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90705845506367"/>
          <c:y val="0.13959753946852924"/>
          <c:w val="0.45555990617223929"/>
          <c:h val="0.65810123734533188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+ MD'!$E$10:$E$55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MD'!$H$10:$H$55</c:f>
              <c:numCache>
                <c:formatCode>General</c:formatCode>
                <c:ptCount val="46"/>
                <c:pt idx="0">
                  <c:v>0.81208308815134733</c:v>
                </c:pt>
                <c:pt idx="1">
                  <c:v>0.79880241868339641</c:v>
                </c:pt>
                <c:pt idx="2">
                  <c:v>0.81288715781032017</c:v>
                </c:pt>
                <c:pt idx="3">
                  <c:v>0.80274580990808109</c:v>
                </c:pt>
                <c:pt idx="4">
                  <c:v>0.78833344360257396</c:v>
                </c:pt>
                <c:pt idx="5">
                  <c:v>0.7753787308455925</c:v>
                </c:pt>
                <c:pt idx="6">
                  <c:v>0.76328563353298751</c:v>
                </c:pt>
                <c:pt idx="7">
                  <c:v>0.75602396323244814</c:v>
                </c:pt>
                <c:pt idx="8">
                  <c:v>0.75339720261416065</c:v>
                </c:pt>
                <c:pt idx="9">
                  <c:v>0.75283581717582659</c:v>
                </c:pt>
                <c:pt idx="10">
                  <c:v>0.7510345591040346</c:v>
                </c:pt>
                <c:pt idx="11">
                  <c:v>0</c:v>
                </c:pt>
                <c:pt idx="12">
                  <c:v>0.76381627501594174</c:v>
                </c:pt>
                <c:pt idx="13">
                  <c:v>0.77117106657644641</c:v>
                </c:pt>
                <c:pt idx="14">
                  <c:v>0.78670781547166557</c:v>
                </c:pt>
                <c:pt idx="15">
                  <c:v>0.79952611765950754</c:v>
                </c:pt>
                <c:pt idx="16">
                  <c:v>0.81835961166292137</c:v>
                </c:pt>
                <c:pt idx="17">
                  <c:v>0.81070073512827157</c:v>
                </c:pt>
                <c:pt idx="18">
                  <c:v>0.82196860306136377</c:v>
                </c:pt>
                <c:pt idx="19">
                  <c:v>0.81060413593190039</c:v>
                </c:pt>
                <c:pt idx="20">
                  <c:v>0.76890814795013374</c:v>
                </c:pt>
                <c:pt idx="21">
                  <c:v>0.94298006939165357</c:v>
                </c:pt>
                <c:pt idx="22">
                  <c:v>0.74765931733315505</c:v>
                </c:pt>
                <c:pt idx="23">
                  <c:v>0.95562722425032232</c:v>
                </c:pt>
                <c:pt idx="24">
                  <c:v>0.96180076882165055</c:v>
                </c:pt>
                <c:pt idx="25">
                  <c:v>0.9775199350636693</c:v>
                </c:pt>
                <c:pt idx="26">
                  <c:v>0.98110683502217921</c:v>
                </c:pt>
                <c:pt idx="27">
                  <c:v>0.98049017963304852</c:v>
                </c:pt>
                <c:pt idx="28">
                  <c:v>0.81558160870570084</c:v>
                </c:pt>
                <c:pt idx="29">
                  <c:v>0.83362632538893566</c:v>
                </c:pt>
                <c:pt idx="30">
                  <c:v>0.84512529788010171</c:v>
                </c:pt>
                <c:pt idx="31">
                  <c:v>0.85322749769576267</c:v>
                </c:pt>
                <c:pt idx="32">
                  <c:v>0.85182985567538516</c:v>
                </c:pt>
                <c:pt idx="33">
                  <c:v>0.83816366266522979</c:v>
                </c:pt>
                <c:pt idx="34">
                  <c:v>0.82314454069798204</c:v>
                </c:pt>
                <c:pt idx="35">
                  <c:v>0.81029199434173993</c:v>
                </c:pt>
                <c:pt idx="36">
                  <c:v>0.79857124729547979</c:v>
                </c:pt>
                <c:pt idx="37">
                  <c:v>0.78870023975206127</c:v>
                </c:pt>
                <c:pt idx="38">
                  <c:v>0.7755846525265857</c:v>
                </c:pt>
                <c:pt idx="39">
                  <c:v>0.76783113908682588</c:v>
                </c:pt>
                <c:pt idx="40">
                  <c:v>0.76808299208344821</c:v>
                </c:pt>
                <c:pt idx="41">
                  <c:v>0.77165163440734463</c:v>
                </c:pt>
                <c:pt idx="42">
                  <c:v>0.77698155217879206</c:v>
                </c:pt>
                <c:pt idx="43">
                  <c:v>0.78574529726749487</c:v>
                </c:pt>
                <c:pt idx="44">
                  <c:v>0.79666655222056071</c:v>
                </c:pt>
                <c:pt idx="45">
                  <c:v>0.81139086408202243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4-AE45-A931-C4484682D332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'Fe36Cr Max + MD'!$E$56:$E$103</c:f>
              <c:numCache>
                <c:formatCode>0</c:formatCode>
                <c:ptCount val="48"/>
                <c:pt idx="0">
                  <c:v>-8</c:v>
                </c:pt>
                <c:pt idx="1">
                  <c:v>-4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52</c:v>
                </c:pt>
                <c:pt idx="16">
                  <c:v>56</c:v>
                </c:pt>
                <c:pt idx="17">
                  <c:v>60</c:v>
                </c:pt>
                <c:pt idx="18">
                  <c:v>64</c:v>
                </c:pt>
                <c:pt idx="19">
                  <c:v>68</c:v>
                </c:pt>
                <c:pt idx="20">
                  <c:v>72</c:v>
                </c:pt>
                <c:pt idx="21">
                  <c:v>76</c:v>
                </c:pt>
                <c:pt idx="22">
                  <c:v>80</c:v>
                </c:pt>
                <c:pt idx="23">
                  <c:v>84</c:v>
                </c:pt>
                <c:pt idx="24">
                  <c:v>88</c:v>
                </c:pt>
                <c:pt idx="25">
                  <c:v>92</c:v>
                </c:pt>
                <c:pt idx="26">
                  <c:v>96</c:v>
                </c:pt>
                <c:pt idx="27">
                  <c:v>100</c:v>
                </c:pt>
                <c:pt idx="28">
                  <c:v>104</c:v>
                </c:pt>
                <c:pt idx="29">
                  <c:v>108</c:v>
                </c:pt>
                <c:pt idx="30">
                  <c:v>112</c:v>
                </c:pt>
                <c:pt idx="31">
                  <c:v>116</c:v>
                </c:pt>
                <c:pt idx="32">
                  <c:v>120</c:v>
                </c:pt>
                <c:pt idx="33">
                  <c:v>124</c:v>
                </c:pt>
                <c:pt idx="34">
                  <c:v>128</c:v>
                </c:pt>
                <c:pt idx="35">
                  <c:v>132</c:v>
                </c:pt>
                <c:pt idx="36">
                  <c:v>136</c:v>
                </c:pt>
                <c:pt idx="37">
                  <c:v>140</c:v>
                </c:pt>
                <c:pt idx="38">
                  <c:v>144</c:v>
                </c:pt>
                <c:pt idx="39">
                  <c:v>148</c:v>
                </c:pt>
                <c:pt idx="40">
                  <c:v>152</c:v>
                </c:pt>
                <c:pt idx="41">
                  <c:v>156</c:v>
                </c:pt>
                <c:pt idx="42">
                  <c:v>160</c:v>
                </c:pt>
                <c:pt idx="43">
                  <c:v>164</c:v>
                </c:pt>
                <c:pt idx="44">
                  <c:v>168</c:v>
                </c:pt>
                <c:pt idx="45">
                  <c:v>172</c:v>
                </c:pt>
                <c:pt idx="46">
                  <c:v>176</c:v>
                </c:pt>
                <c:pt idx="47">
                  <c:v>180</c:v>
                </c:pt>
              </c:numCache>
            </c:numRef>
          </c:xVal>
          <c:yVal>
            <c:numRef>
              <c:f>'Fe36Cr Max + MD'!$H$56:$H$103</c:f>
              <c:numCache>
                <c:formatCode>General</c:formatCode>
                <c:ptCount val="48"/>
                <c:pt idx="0">
                  <c:v>0.79152708975526354</c:v>
                </c:pt>
                <c:pt idx="1">
                  <c:v>0.80621573230192611</c:v>
                </c:pt>
                <c:pt idx="2">
                  <c:v>0.81383433438868791</c:v>
                </c:pt>
                <c:pt idx="3">
                  <c:v>0.82457166247587865</c:v>
                </c:pt>
                <c:pt idx="4">
                  <c:v>0.81698647531054991</c:v>
                </c:pt>
                <c:pt idx="5">
                  <c:v>0.80989137365957431</c:v>
                </c:pt>
                <c:pt idx="6">
                  <c:v>0.79578192308442008</c:v>
                </c:pt>
                <c:pt idx="7">
                  <c:v>0.78443477268107409</c:v>
                </c:pt>
                <c:pt idx="8">
                  <c:v>0.77097969765065255</c:v>
                </c:pt>
                <c:pt idx="9">
                  <c:v>0.76517942420521223</c:v>
                </c:pt>
                <c:pt idx="10">
                  <c:v>0.75983582135269168</c:v>
                </c:pt>
                <c:pt idx="11">
                  <c:v>0.75393808771973791</c:v>
                </c:pt>
                <c:pt idx="12">
                  <c:v>0.76000568053664364</c:v>
                </c:pt>
                <c:pt idx="13">
                  <c:v>0.76149821369399162</c:v>
                </c:pt>
                <c:pt idx="14">
                  <c:v>0.77379212020461063</c:v>
                </c:pt>
                <c:pt idx="15">
                  <c:v>0.78664572664923527</c:v>
                </c:pt>
                <c:pt idx="16">
                  <c:v>0.79936567340812703</c:v>
                </c:pt>
                <c:pt idx="17">
                  <c:v>0.81178488587412045</c:v>
                </c:pt>
                <c:pt idx="18">
                  <c:v>0.82425422072226351</c:v>
                </c:pt>
                <c:pt idx="19">
                  <c:v>0.82869840527287464</c:v>
                </c:pt>
                <c:pt idx="20">
                  <c:v>0.82417346799546676</c:v>
                </c:pt>
                <c:pt idx="21">
                  <c:v>0.81146465954371916</c:v>
                </c:pt>
                <c:pt idx="22">
                  <c:v>0.79868066751874711</c:v>
                </c:pt>
                <c:pt idx="23">
                  <c:v>0.78051408856624915</c:v>
                </c:pt>
                <c:pt idx="24">
                  <c:v>0.96744829737052407</c:v>
                </c:pt>
                <c:pt idx="25">
                  <c:v>0.97784869166659705</c:v>
                </c:pt>
                <c:pt idx="26">
                  <c:v>0.98965808181643522</c:v>
                </c:pt>
                <c:pt idx="27">
                  <c:v>1</c:v>
                </c:pt>
                <c:pt idx="28">
                  <c:v>0.97484413331439812</c:v>
                </c:pt>
                <c:pt idx="29">
                  <c:v>0.8028491789675346</c:v>
                </c:pt>
                <c:pt idx="30">
                  <c:v>0.81816992044464121</c:v>
                </c:pt>
                <c:pt idx="31">
                  <c:v>0.82295939251672834</c:v>
                </c:pt>
                <c:pt idx="32">
                  <c:v>0.85232553930290911</c:v>
                </c:pt>
                <c:pt idx="33">
                  <c:v>0.85519922254616121</c:v>
                </c:pt>
                <c:pt idx="34">
                  <c:v>0.85223921742254005</c:v>
                </c:pt>
                <c:pt idx="35">
                  <c:v>0.84143784406926914</c:v>
                </c:pt>
                <c:pt idx="36">
                  <c:v>0.82770431136023792</c:v>
                </c:pt>
                <c:pt idx="37">
                  <c:v>0.81317160511359676</c:v>
                </c:pt>
                <c:pt idx="38">
                  <c:v>0.80121463239409552</c:v>
                </c:pt>
                <c:pt idx="39">
                  <c:v>0.78827748864588809</c:v>
                </c:pt>
                <c:pt idx="40">
                  <c:v>0.77913850763391734</c:v>
                </c:pt>
                <c:pt idx="41">
                  <c:v>0.77518162402087321</c:v>
                </c:pt>
                <c:pt idx="42">
                  <c:v>0.7751871931744454</c:v>
                </c:pt>
                <c:pt idx="43">
                  <c:v>0.77568563241915678</c:v>
                </c:pt>
                <c:pt idx="44">
                  <c:v>0.78463804678645921</c:v>
                </c:pt>
                <c:pt idx="45">
                  <c:v>0.79595735142194413</c:v>
                </c:pt>
                <c:pt idx="46">
                  <c:v>0.80778344903249877</c:v>
                </c:pt>
                <c:pt idx="47">
                  <c:v>0.81757680558920254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D4-AE45-A931-C4484682D332}"/>
            </c:ext>
          </c:extLst>
        </c:ser>
        <c:ser>
          <c:idx val="2"/>
          <c:order val="2"/>
          <c:tx>
            <c:v>500C 10hr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MD'!$H$104:$H$137</c:f>
              <c:numCache>
                <c:formatCode>General</c:formatCode>
                <c:ptCount val="34"/>
                <c:pt idx="0">
                  <c:v>0.80012864744751766</c:v>
                </c:pt>
                <c:pt idx="1">
                  <c:v>0.82050339579139064</c:v>
                </c:pt>
                <c:pt idx="2">
                  <c:v>0.82638163738684178</c:v>
                </c:pt>
                <c:pt idx="3">
                  <c:v>0.8245326784008733</c:v>
                </c:pt>
                <c:pt idx="4">
                  <c:v>0.81039816663464403</c:v>
                </c:pt>
                <c:pt idx="5">
                  <c:v>0.80186622336204239</c:v>
                </c:pt>
                <c:pt idx="6">
                  <c:v>0.79010138644078176</c:v>
                </c:pt>
                <c:pt idx="7">
                  <c:v>0.77441864998148258</c:v>
                </c:pt>
                <c:pt idx="8">
                  <c:v>0.77022786191840642</c:v>
                </c:pt>
                <c:pt idx="9">
                  <c:v>0.76838168750922398</c:v>
                </c:pt>
                <c:pt idx="10">
                  <c:v>0.76779414180735739</c:v>
                </c:pt>
                <c:pt idx="11">
                  <c:v>0.77510644044764865</c:v>
                </c:pt>
                <c:pt idx="12">
                  <c:v>0.78090392931630281</c:v>
                </c:pt>
                <c:pt idx="13">
                  <c:v>0.7915187360249053</c:v>
                </c:pt>
                <c:pt idx="14">
                  <c:v>0.79202552899997491</c:v>
                </c:pt>
                <c:pt idx="15">
                  <c:v>0.81349740059757014</c:v>
                </c:pt>
                <c:pt idx="16">
                  <c:v>0.82753166759949992</c:v>
                </c:pt>
                <c:pt idx="17">
                  <c:v>0.83144678256075255</c:v>
                </c:pt>
                <c:pt idx="18">
                  <c:v>0.82897964752827036</c:v>
                </c:pt>
                <c:pt idx="19">
                  <c:v>0.81725657925880135</c:v>
                </c:pt>
                <c:pt idx="20">
                  <c:v>0.80272108843537404</c:v>
                </c:pt>
                <c:pt idx="21">
                  <c:v>0.9511835843629306</c:v>
                </c:pt>
                <c:pt idx="22">
                  <c:v>0.95925328788904018</c:v>
                </c:pt>
                <c:pt idx="23">
                  <c:v>0.96419591168436269</c:v>
                </c:pt>
                <c:pt idx="24">
                  <c:v>0.97551521631984772</c:v>
                </c:pt>
                <c:pt idx="25">
                  <c:v>0.97549850885913103</c:v>
                </c:pt>
                <c:pt idx="26">
                  <c:v>0.98157167082960906</c:v>
                </c:pt>
                <c:pt idx="27">
                  <c:v>0.9932557550240726</c:v>
                </c:pt>
                <c:pt idx="28">
                  <c:v>0.81031741390784717</c:v>
                </c:pt>
                <c:pt idx="29">
                  <c:v>0.83074785378744209</c:v>
                </c:pt>
                <c:pt idx="30">
                  <c:v>0.8328112251859402</c:v>
                </c:pt>
                <c:pt idx="31">
                  <c:v>0.84972474458469427</c:v>
                </c:pt>
                <c:pt idx="32">
                  <c:v>0.85557514041228444</c:v>
                </c:pt>
                <c:pt idx="33">
                  <c:v>0.85600396523734346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D4-AE45-A931-C4484682D332}"/>
            </c:ext>
          </c:extLst>
        </c:ser>
        <c:ser>
          <c:idx val="4"/>
          <c:order val="3"/>
          <c:tx>
            <c:v>Re-homogenization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MD'!$E$187:$E$235</c:f>
              <c:numCache>
                <c:formatCode>General</c:formatCode>
                <c:ptCount val="49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40</c:v>
                </c:pt>
                <c:pt idx="10">
                  <c:v>44</c:v>
                </c:pt>
                <c:pt idx="11">
                  <c:v>48</c:v>
                </c:pt>
                <c:pt idx="12">
                  <c:v>52</c:v>
                </c:pt>
                <c:pt idx="13">
                  <c:v>56</c:v>
                </c:pt>
                <c:pt idx="14">
                  <c:v>60</c:v>
                </c:pt>
                <c:pt idx="15">
                  <c:v>64</c:v>
                </c:pt>
                <c:pt idx="16">
                  <c:v>68</c:v>
                </c:pt>
                <c:pt idx="17">
                  <c:v>72</c:v>
                </c:pt>
                <c:pt idx="18">
                  <c:v>76</c:v>
                </c:pt>
                <c:pt idx="19">
                  <c:v>80</c:v>
                </c:pt>
                <c:pt idx="20">
                  <c:v>84</c:v>
                </c:pt>
                <c:pt idx="21">
                  <c:v>88</c:v>
                </c:pt>
                <c:pt idx="22">
                  <c:v>92</c:v>
                </c:pt>
                <c:pt idx="23">
                  <c:v>96</c:v>
                </c:pt>
                <c:pt idx="24">
                  <c:v>100</c:v>
                </c:pt>
                <c:pt idx="25">
                  <c:v>104</c:v>
                </c:pt>
                <c:pt idx="26">
                  <c:v>108</c:v>
                </c:pt>
                <c:pt idx="27">
                  <c:v>112</c:v>
                </c:pt>
                <c:pt idx="28">
                  <c:v>116</c:v>
                </c:pt>
                <c:pt idx="29">
                  <c:v>120</c:v>
                </c:pt>
                <c:pt idx="30">
                  <c:v>124</c:v>
                </c:pt>
                <c:pt idx="31">
                  <c:v>128</c:v>
                </c:pt>
                <c:pt idx="32">
                  <c:v>132</c:v>
                </c:pt>
                <c:pt idx="33">
                  <c:v>136</c:v>
                </c:pt>
                <c:pt idx="34">
                  <c:v>140</c:v>
                </c:pt>
                <c:pt idx="35">
                  <c:v>144</c:v>
                </c:pt>
                <c:pt idx="36">
                  <c:v>148</c:v>
                </c:pt>
                <c:pt idx="37">
                  <c:v>152</c:v>
                </c:pt>
                <c:pt idx="38">
                  <c:v>156</c:v>
                </c:pt>
                <c:pt idx="39">
                  <c:v>160</c:v>
                </c:pt>
                <c:pt idx="40">
                  <c:v>164</c:v>
                </c:pt>
                <c:pt idx="41">
                  <c:v>168</c:v>
                </c:pt>
                <c:pt idx="42">
                  <c:v>172</c:v>
                </c:pt>
                <c:pt idx="43">
                  <c:v>176</c:v>
                </c:pt>
                <c:pt idx="44">
                  <c:v>180</c:v>
                </c:pt>
                <c:pt idx="45">
                  <c:v>184</c:v>
                </c:pt>
                <c:pt idx="46">
                  <c:v>188</c:v>
                </c:pt>
                <c:pt idx="47">
                  <c:v>192</c:v>
                </c:pt>
                <c:pt idx="48">
                  <c:v>196</c:v>
                </c:pt>
              </c:numCache>
            </c:numRef>
          </c:xVal>
          <c:yVal>
            <c:numRef>
              <c:f>'Fe36Cr Max + MD'!$H$187:$H$235</c:f>
              <c:numCache>
                <c:formatCode>General</c:formatCode>
                <c:ptCount val="49"/>
                <c:pt idx="0">
                  <c:v>0.8110441884490186</c:v>
                </c:pt>
                <c:pt idx="1">
                  <c:v>0.81268987332960196</c:v>
                </c:pt>
                <c:pt idx="2">
                  <c:v>0.80303017645863095</c:v>
                </c:pt>
                <c:pt idx="3">
                  <c:v>0.78895692538169582</c:v>
                </c:pt>
                <c:pt idx="4">
                  <c:v>0.77476950665653088</c:v>
                </c:pt>
                <c:pt idx="5">
                  <c:v>0.76290999412454297</c:v>
                </c:pt>
                <c:pt idx="6">
                  <c:v>0.75345914051252916</c:v>
                </c:pt>
                <c:pt idx="7">
                  <c:v>0.74474341517204512</c:v>
                </c:pt>
                <c:pt idx="8">
                  <c:v>0.7377123587871498</c:v>
                </c:pt>
                <c:pt idx="9">
                  <c:v>0.74293622483786803</c:v>
                </c:pt>
                <c:pt idx="10">
                  <c:v>0.74452343360594331</c:v>
                </c:pt>
                <c:pt idx="11">
                  <c:v>0.75274071970171608</c:v>
                </c:pt>
                <c:pt idx="12">
                  <c:v>0.76257584491021135</c:v>
                </c:pt>
                <c:pt idx="13">
                  <c:v>0.7559596904664444</c:v>
                </c:pt>
                <c:pt idx="14">
                  <c:v>0.77889068029995456</c:v>
                </c:pt>
                <c:pt idx="15">
                  <c:v>0.80039039766541076</c:v>
                </c:pt>
                <c:pt idx="16">
                  <c:v>0.81171527145446798</c:v>
                </c:pt>
                <c:pt idx="17">
                  <c:v>0.81819776621250218</c:v>
                </c:pt>
                <c:pt idx="18">
                  <c:v>0.80693972226631128</c:v>
                </c:pt>
                <c:pt idx="19">
                  <c:v>0.77294003970806491</c:v>
                </c:pt>
                <c:pt idx="20">
                  <c:v>0.92608897836662296</c:v>
                </c:pt>
                <c:pt idx="21">
                  <c:v>0.92793236819901925</c:v>
                </c:pt>
                <c:pt idx="22">
                  <c:v>0.89455364626407263</c:v>
                </c:pt>
                <c:pt idx="23">
                  <c:v>0.94712924056237313</c:v>
                </c:pt>
                <c:pt idx="24">
                  <c:v>0.96449943055404719</c:v>
                </c:pt>
                <c:pt idx="25">
                  <c:v>0.96971215829762114</c:v>
                </c:pt>
                <c:pt idx="26">
                  <c:v>0.99175208355958022</c:v>
                </c:pt>
                <c:pt idx="27">
                  <c:v>0.98613280760523603</c:v>
                </c:pt>
                <c:pt idx="28">
                  <c:v>0.81695027581233071</c:v>
                </c:pt>
                <c:pt idx="29">
                  <c:v>0.83300057640739467</c:v>
                </c:pt>
                <c:pt idx="30">
                  <c:v>0.84232612406403407</c:v>
                </c:pt>
                <c:pt idx="31">
                  <c:v>0.8442252054321524</c:v>
                </c:pt>
                <c:pt idx="32">
                  <c:v>0.8380991365027386</c:v>
                </c:pt>
                <c:pt idx="33">
                  <c:v>0.83109035673213205</c:v>
                </c:pt>
                <c:pt idx="34">
                  <c:v>0.81301009966000315</c:v>
                </c:pt>
                <c:pt idx="35">
                  <c:v>0.80853528476474501</c:v>
                </c:pt>
                <c:pt idx="36">
                  <c:v>0.7841201155042451</c:v>
                </c:pt>
                <c:pt idx="37">
                  <c:v>0.77528743793874477</c:v>
                </c:pt>
                <c:pt idx="38">
                  <c:v>0.76739594732694549</c:v>
                </c:pt>
                <c:pt idx="39">
                  <c:v>0.75940142737406058</c:v>
                </c:pt>
                <c:pt idx="40">
                  <c:v>0.76145644504220034</c:v>
                </c:pt>
                <c:pt idx="41">
                  <c:v>0.76466149292299812</c:v>
                </c:pt>
                <c:pt idx="42">
                  <c:v>0.77141130705249772</c:v>
                </c:pt>
                <c:pt idx="43">
                  <c:v>0.78427048265069432</c:v>
                </c:pt>
                <c:pt idx="44">
                  <c:v>0.79729673285605696</c:v>
                </c:pt>
                <c:pt idx="45">
                  <c:v>0.81170970230089579</c:v>
                </c:pt>
                <c:pt idx="46">
                  <c:v>0.81267873502245758</c:v>
                </c:pt>
                <c:pt idx="47">
                  <c:v>0.80128146223696195</c:v>
                </c:pt>
                <c:pt idx="48">
                  <c:v>0.78638119185455602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D4-AE45-A931-C4484682D332}"/>
            </c:ext>
          </c:extLst>
        </c:ser>
        <c:ser>
          <c:idx val="3"/>
          <c:order val="4"/>
          <c:tx>
            <c:strRef>
              <c:f>'Fe36Cr Max + MD'!$A$286</c:f>
              <c:strCache>
                <c:ptCount val="1"/>
                <c:pt idx="0">
                  <c:v>Random Solid Solution SAW</c:v>
                </c:pt>
              </c:strCache>
            </c:strRef>
          </c:tx>
          <c:spPr>
            <a:ln w="19050">
              <a:noFill/>
            </a:ln>
          </c:spPr>
          <c:xVal>
            <c:numRef>
              <c:f>'Fe36Cr Max + MD'!$C$286:$C$647</c:f>
              <c:numCache>
                <c:formatCode>General</c:formatCode>
                <c:ptCount val="36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0</c:v>
                </c:pt>
                <c:pt idx="182">
                  <c:v>1</c:v>
                </c:pt>
                <c:pt idx="183">
                  <c:v>2</c:v>
                </c:pt>
                <c:pt idx="184">
                  <c:v>3</c:v>
                </c:pt>
                <c:pt idx="185">
                  <c:v>4</c:v>
                </c:pt>
                <c:pt idx="186">
                  <c:v>5</c:v>
                </c:pt>
                <c:pt idx="187">
                  <c:v>6</c:v>
                </c:pt>
                <c:pt idx="188">
                  <c:v>7</c:v>
                </c:pt>
                <c:pt idx="189">
                  <c:v>8</c:v>
                </c:pt>
                <c:pt idx="190">
                  <c:v>9</c:v>
                </c:pt>
                <c:pt idx="191">
                  <c:v>10</c:v>
                </c:pt>
                <c:pt idx="192">
                  <c:v>11</c:v>
                </c:pt>
                <c:pt idx="193">
                  <c:v>12</c:v>
                </c:pt>
                <c:pt idx="194">
                  <c:v>13</c:v>
                </c:pt>
                <c:pt idx="195">
                  <c:v>14</c:v>
                </c:pt>
                <c:pt idx="196">
                  <c:v>15</c:v>
                </c:pt>
                <c:pt idx="197">
                  <c:v>16</c:v>
                </c:pt>
                <c:pt idx="198">
                  <c:v>17</c:v>
                </c:pt>
                <c:pt idx="199">
                  <c:v>18</c:v>
                </c:pt>
                <c:pt idx="200">
                  <c:v>19</c:v>
                </c:pt>
                <c:pt idx="201">
                  <c:v>20</c:v>
                </c:pt>
                <c:pt idx="202">
                  <c:v>21</c:v>
                </c:pt>
                <c:pt idx="203">
                  <c:v>22</c:v>
                </c:pt>
                <c:pt idx="204">
                  <c:v>23</c:v>
                </c:pt>
                <c:pt idx="205">
                  <c:v>24</c:v>
                </c:pt>
                <c:pt idx="206">
                  <c:v>25</c:v>
                </c:pt>
                <c:pt idx="207">
                  <c:v>26</c:v>
                </c:pt>
                <c:pt idx="208">
                  <c:v>27</c:v>
                </c:pt>
                <c:pt idx="209">
                  <c:v>28</c:v>
                </c:pt>
                <c:pt idx="210">
                  <c:v>29</c:v>
                </c:pt>
                <c:pt idx="211">
                  <c:v>30</c:v>
                </c:pt>
                <c:pt idx="212">
                  <c:v>31</c:v>
                </c:pt>
                <c:pt idx="213">
                  <c:v>32</c:v>
                </c:pt>
                <c:pt idx="214">
                  <c:v>33</c:v>
                </c:pt>
                <c:pt idx="215">
                  <c:v>34</c:v>
                </c:pt>
                <c:pt idx="216">
                  <c:v>35</c:v>
                </c:pt>
                <c:pt idx="217">
                  <c:v>36</c:v>
                </c:pt>
                <c:pt idx="218">
                  <c:v>37</c:v>
                </c:pt>
                <c:pt idx="219">
                  <c:v>38</c:v>
                </c:pt>
                <c:pt idx="220">
                  <c:v>39</c:v>
                </c:pt>
                <c:pt idx="221">
                  <c:v>40</c:v>
                </c:pt>
                <c:pt idx="222">
                  <c:v>41</c:v>
                </c:pt>
                <c:pt idx="223">
                  <c:v>42</c:v>
                </c:pt>
                <c:pt idx="224">
                  <c:v>43</c:v>
                </c:pt>
                <c:pt idx="225">
                  <c:v>44</c:v>
                </c:pt>
                <c:pt idx="226">
                  <c:v>45</c:v>
                </c:pt>
                <c:pt idx="227">
                  <c:v>46</c:v>
                </c:pt>
                <c:pt idx="228">
                  <c:v>47</c:v>
                </c:pt>
                <c:pt idx="229">
                  <c:v>48</c:v>
                </c:pt>
                <c:pt idx="230">
                  <c:v>49</c:v>
                </c:pt>
                <c:pt idx="231">
                  <c:v>50</c:v>
                </c:pt>
                <c:pt idx="232">
                  <c:v>51</c:v>
                </c:pt>
                <c:pt idx="233">
                  <c:v>52</c:v>
                </c:pt>
                <c:pt idx="234">
                  <c:v>53</c:v>
                </c:pt>
                <c:pt idx="235">
                  <c:v>54</c:v>
                </c:pt>
                <c:pt idx="236">
                  <c:v>55</c:v>
                </c:pt>
                <c:pt idx="237">
                  <c:v>56</c:v>
                </c:pt>
                <c:pt idx="238">
                  <c:v>57</c:v>
                </c:pt>
                <c:pt idx="239">
                  <c:v>58</c:v>
                </c:pt>
                <c:pt idx="240">
                  <c:v>59</c:v>
                </c:pt>
                <c:pt idx="241">
                  <c:v>60</c:v>
                </c:pt>
                <c:pt idx="242">
                  <c:v>61</c:v>
                </c:pt>
                <c:pt idx="243">
                  <c:v>62</c:v>
                </c:pt>
                <c:pt idx="244">
                  <c:v>63</c:v>
                </c:pt>
                <c:pt idx="245">
                  <c:v>64</c:v>
                </c:pt>
                <c:pt idx="246">
                  <c:v>65</c:v>
                </c:pt>
                <c:pt idx="247">
                  <c:v>66</c:v>
                </c:pt>
                <c:pt idx="248">
                  <c:v>67</c:v>
                </c:pt>
                <c:pt idx="249">
                  <c:v>68</c:v>
                </c:pt>
                <c:pt idx="250">
                  <c:v>69</c:v>
                </c:pt>
                <c:pt idx="251">
                  <c:v>70</c:v>
                </c:pt>
                <c:pt idx="252">
                  <c:v>71</c:v>
                </c:pt>
                <c:pt idx="253">
                  <c:v>72</c:v>
                </c:pt>
                <c:pt idx="254">
                  <c:v>73</c:v>
                </c:pt>
                <c:pt idx="255">
                  <c:v>74</c:v>
                </c:pt>
                <c:pt idx="256">
                  <c:v>75</c:v>
                </c:pt>
                <c:pt idx="257">
                  <c:v>76</c:v>
                </c:pt>
                <c:pt idx="258">
                  <c:v>77</c:v>
                </c:pt>
                <c:pt idx="259">
                  <c:v>78</c:v>
                </c:pt>
                <c:pt idx="260">
                  <c:v>79</c:v>
                </c:pt>
                <c:pt idx="261">
                  <c:v>80</c:v>
                </c:pt>
                <c:pt idx="262">
                  <c:v>81</c:v>
                </c:pt>
                <c:pt idx="263">
                  <c:v>82</c:v>
                </c:pt>
                <c:pt idx="264">
                  <c:v>83</c:v>
                </c:pt>
                <c:pt idx="265">
                  <c:v>84</c:v>
                </c:pt>
                <c:pt idx="266">
                  <c:v>85</c:v>
                </c:pt>
                <c:pt idx="267">
                  <c:v>86</c:v>
                </c:pt>
                <c:pt idx="268">
                  <c:v>87</c:v>
                </c:pt>
                <c:pt idx="269">
                  <c:v>88</c:v>
                </c:pt>
                <c:pt idx="270">
                  <c:v>89</c:v>
                </c:pt>
                <c:pt idx="271">
                  <c:v>90</c:v>
                </c:pt>
                <c:pt idx="272">
                  <c:v>91</c:v>
                </c:pt>
                <c:pt idx="273">
                  <c:v>92</c:v>
                </c:pt>
                <c:pt idx="274">
                  <c:v>93</c:v>
                </c:pt>
                <c:pt idx="275">
                  <c:v>94</c:v>
                </c:pt>
                <c:pt idx="276">
                  <c:v>95</c:v>
                </c:pt>
                <c:pt idx="277">
                  <c:v>96</c:v>
                </c:pt>
                <c:pt idx="278">
                  <c:v>97</c:v>
                </c:pt>
                <c:pt idx="279">
                  <c:v>98</c:v>
                </c:pt>
                <c:pt idx="280">
                  <c:v>99</c:v>
                </c:pt>
                <c:pt idx="281">
                  <c:v>100</c:v>
                </c:pt>
                <c:pt idx="282">
                  <c:v>101</c:v>
                </c:pt>
                <c:pt idx="283">
                  <c:v>102</c:v>
                </c:pt>
                <c:pt idx="284">
                  <c:v>103</c:v>
                </c:pt>
                <c:pt idx="285">
                  <c:v>104</c:v>
                </c:pt>
                <c:pt idx="286">
                  <c:v>105</c:v>
                </c:pt>
                <c:pt idx="287">
                  <c:v>106</c:v>
                </c:pt>
                <c:pt idx="288">
                  <c:v>107</c:v>
                </c:pt>
                <c:pt idx="289">
                  <c:v>108</c:v>
                </c:pt>
                <c:pt idx="290">
                  <c:v>109</c:v>
                </c:pt>
                <c:pt idx="291">
                  <c:v>110</c:v>
                </c:pt>
                <c:pt idx="292">
                  <c:v>111</c:v>
                </c:pt>
                <c:pt idx="293">
                  <c:v>112</c:v>
                </c:pt>
                <c:pt idx="294">
                  <c:v>113</c:v>
                </c:pt>
                <c:pt idx="295">
                  <c:v>114</c:v>
                </c:pt>
                <c:pt idx="296">
                  <c:v>115</c:v>
                </c:pt>
                <c:pt idx="297">
                  <c:v>116</c:v>
                </c:pt>
                <c:pt idx="298">
                  <c:v>117</c:v>
                </c:pt>
                <c:pt idx="299">
                  <c:v>118</c:v>
                </c:pt>
                <c:pt idx="300">
                  <c:v>119</c:v>
                </c:pt>
                <c:pt idx="301">
                  <c:v>120</c:v>
                </c:pt>
                <c:pt idx="302">
                  <c:v>121</c:v>
                </c:pt>
                <c:pt idx="303">
                  <c:v>122</c:v>
                </c:pt>
                <c:pt idx="304">
                  <c:v>123</c:v>
                </c:pt>
                <c:pt idx="305">
                  <c:v>124</c:v>
                </c:pt>
                <c:pt idx="306">
                  <c:v>125</c:v>
                </c:pt>
                <c:pt idx="307">
                  <c:v>126</c:v>
                </c:pt>
                <c:pt idx="308">
                  <c:v>127</c:v>
                </c:pt>
                <c:pt idx="309">
                  <c:v>128</c:v>
                </c:pt>
                <c:pt idx="310">
                  <c:v>129</c:v>
                </c:pt>
                <c:pt idx="311">
                  <c:v>130</c:v>
                </c:pt>
                <c:pt idx="312">
                  <c:v>131</c:v>
                </c:pt>
                <c:pt idx="313">
                  <c:v>132</c:v>
                </c:pt>
                <c:pt idx="314">
                  <c:v>133</c:v>
                </c:pt>
                <c:pt idx="315">
                  <c:v>134</c:v>
                </c:pt>
                <c:pt idx="316">
                  <c:v>135</c:v>
                </c:pt>
                <c:pt idx="317">
                  <c:v>136</c:v>
                </c:pt>
                <c:pt idx="318">
                  <c:v>137</c:v>
                </c:pt>
                <c:pt idx="319">
                  <c:v>138</c:v>
                </c:pt>
                <c:pt idx="320">
                  <c:v>139</c:v>
                </c:pt>
                <c:pt idx="321">
                  <c:v>140</c:v>
                </c:pt>
                <c:pt idx="322">
                  <c:v>141</c:v>
                </c:pt>
                <c:pt idx="323">
                  <c:v>142</c:v>
                </c:pt>
                <c:pt idx="324">
                  <c:v>143</c:v>
                </c:pt>
                <c:pt idx="325">
                  <c:v>144</c:v>
                </c:pt>
                <c:pt idx="326">
                  <c:v>145</c:v>
                </c:pt>
                <c:pt idx="327">
                  <c:v>146</c:v>
                </c:pt>
                <c:pt idx="328">
                  <c:v>147</c:v>
                </c:pt>
                <c:pt idx="329">
                  <c:v>148</c:v>
                </c:pt>
                <c:pt idx="330">
                  <c:v>149</c:v>
                </c:pt>
                <c:pt idx="331">
                  <c:v>150</c:v>
                </c:pt>
                <c:pt idx="332">
                  <c:v>151</c:v>
                </c:pt>
                <c:pt idx="333">
                  <c:v>152</c:v>
                </c:pt>
                <c:pt idx="334">
                  <c:v>153</c:v>
                </c:pt>
                <c:pt idx="335">
                  <c:v>154</c:v>
                </c:pt>
                <c:pt idx="336">
                  <c:v>155</c:v>
                </c:pt>
                <c:pt idx="337">
                  <c:v>156</c:v>
                </c:pt>
                <c:pt idx="338">
                  <c:v>157</c:v>
                </c:pt>
                <c:pt idx="339">
                  <c:v>158</c:v>
                </c:pt>
                <c:pt idx="340">
                  <c:v>159</c:v>
                </c:pt>
                <c:pt idx="341">
                  <c:v>160</c:v>
                </c:pt>
                <c:pt idx="342">
                  <c:v>161</c:v>
                </c:pt>
                <c:pt idx="343">
                  <c:v>162</c:v>
                </c:pt>
                <c:pt idx="344">
                  <c:v>163</c:v>
                </c:pt>
                <c:pt idx="345">
                  <c:v>164</c:v>
                </c:pt>
                <c:pt idx="346">
                  <c:v>165</c:v>
                </c:pt>
                <c:pt idx="347">
                  <c:v>166</c:v>
                </c:pt>
                <c:pt idx="348">
                  <c:v>167</c:v>
                </c:pt>
                <c:pt idx="349">
                  <c:v>168</c:v>
                </c:pt>
                <c:pt idx="350">
                  <c:v>169</c:v>
                </c:pt>
                <c:pt idx="351">
                  <c:v>170</c:v>
                </c:pt>
                <c:pt idx="352">
                  <c:v>171</c:v>
                </c:pt>
                <c:pt idx="353">
                  <c:v>172</c:v>
                </c:pt>
                <c:pt idx="354">
                  <c:v>173</c:v>
                </c:pt>
                <c:pt idx="355">
                  <c:v>174</c:v>
                </c:pt>
                <c:pt idx="356">
                  <c:v>175</c:v>
                </c:pt>
                <c:pt idx="357">
                  <c:v>176</c:v>
                </c:pt>
                <c:pt idx="358">
                  <c:v>177</c:v>
                </c:pt>
                <c:pt idx="359">
                  <c:v>178</c:v>
                </c:pt>
                <c:pt idx="360">
                  <c:v>179</c:v>
                </c:pt>
                <c:pt idx="361">
                  <c:v>180</c:v>
                </c:pt>
              </c:numCache>
            </c:numRef>
          </c:xVal>
          <c:yVal>
            <c:numRef>
              <c:f>'Fe36Cr Max + MD'!$H$286:$H$647</c:f>
              <c:numCache>
                <c:formatCode>General</c:formatCode>
                <c:ptCount val="362"/>
                <c:pt idx="0">
                  <c:v>0.78127286027798271</c:v>
                </c:pt>
                <c:pt idx="1">
                  <c:v>0.7784256559766789</c:v>
                </c:pt>
                <c:pt idx="2">
                  <c:v>0.77503628447024853</c:v>
                </c:pt>
                <c:pt idx="3">
                  <c:v>0.77167630057803682</c:v>
                </c:pt>
                <c:pt idx="4">
                  <c:v>0.76889848812095141</c:v>
                </c:pt>
                <c:pt idx="5">
                  <c:v>0.76559139784946262</c:v>
                </c:pt>
                <c:pt idx="6">
                  <c:v>0.7628571428571439</c:v>
                </c:pt>
                <c:pt idx="7">
                  <c:v>0.75960170697012974</c:v>
                </c:pt>
                <c:pt idx="8">
                  <c:v>0.7569099929128299</c:v>
                </c:pt>
                <c:pt idx="9">
                  <c:v>0.75423728813559465</c:v>
                </c:pt>
                <c:pt idx="10">
                  <c:v>0.75211267605634025</c:v>
                </c:pt>
                <c:pt idx="11">
                  <c:v>0.7494736842105264</c:v>
                </c:pt>
                <c:pt idx="12">
                  <c:v>0.74737578726382192</c:v>
                </c:pt>
                <c:pt idx="13">
                  <c:v>0.74528960223307739</c:v>
                </c:pt>
                <c:pt idx="14">
                  <c:v>0.74373259052924923</c:v>
                </c:pt>
                <c:pt idx="15">
                  <c:v>0.74218207088255916</c:v>
                </c:pt>
                <c:pt idx="16">
                  <c:v>0.74063800277392688</c:v>
                </c:pt>
                <c:pt idx="17">
                  <c:v>0.7396121883656519</c:v>
                </c:pt>
                <c:pt idx="18">
                  <c:v>0.73858921161825697</c:v>
                </c:pt>
                <c:pt idx="19">
                  <c:v>0.73756906077348028</c:v>
                </c:pt>
                <c:pt idx="20">
                  <c:v>0.73706004140786918</c:v>
                </c:pt>
                <c:pt idx="21">
                  <c:v>0.73706004140786918</c:v>
                </c:pt>
                <c:pt idx="22">
                  <c:v>0.73706004140786918</c:v>
                </c:pt>
                <c:pt idx="23">
                  <c:v>0.73706004140786918</c:v>
                </c:pt>
                <c:pt idx="24">
                  <c:v>0.73756906077348028</c:v>
                </c:pt>
                <c:pt idx="25">
                  <c:v>0.7380787836903957</c:v>
                </c:pt>
                <c:pt idx="26">
                  <c:v>0.73858921161825697</c:v>
                </c:pt>
                <c:pt idx="27">
                  <c:v>0.7396121883656519</c:v>
                </c:pt>
                <c:pt idx="28">
                  <c:v>0.74115197779319963</c:v>
                </c:pt>
                <c:pt idx="29">
                  <c:v>0.74269819193324182</c:v>
                </c:pt>
                <c:pt idx="30">
                  <c:v>0.74425087108013965</c:v>
                </c:pt>
                <c:pt idx="31">
                  <c:v>0.74581005586592275</c:v>
                </c:pt>
                <c:pt idx="32">
                  <c:v>0.74789915966386566</c:v>
                </c:pt>
                <c:pt idx="33">
                  <c:v>0.75000000000000233</c:v>
                </c:pt>
                <c:pt idx="34">
                  <c:v>0.75264270613108053</c:v>
                </c:pt>
                <c:pt idx="35">
                  <c:v>0.75477031802120309</c:v>
                </c:pt>
                <c:pt idx="36">
                  <c:v>0.75744680851063961</c:v>
                </c:pt>
                <c:pt idx="37">
                  <c:v>0.76068376068376087</c:v>
                </c:pt>
                <c:pt idx="38">
                  <c:v>0.76340243030736399</c:v>
                </c:pt>
                <c:pt idx="39">
                  <c:v>0.76614060258249617</c:v>
                </c:pt>
                <c:pt idx="40">
                  <c:v>0.76945244956772563</c:v>
                </c:pt>
                <c:pt idx="41">
                  <c:v>0.77279305354558625</c:v>
                </c:pt>
                <c:pt idx="42">
                  <c:v>0.77559912854030666</c:v>
                </c:pt>
                <c:pt idx="43">
                  <c:v>0.77899343544858002</c:v>
                </c:pt>
                <c:pt idx="44">
                  <c:v>0.78184480234260589</c:v>
                </c:pt>
                <c:pt idx="45">
                  <c:v>0.78529411764706114</c:v>
                </c:pt>
                <c:pt idx="46">
                  <c:v>0.7881918819188195</c:v>
                </c:pt>
                <c:pt idx="47">
                  <c:v>0.79111111111111132</c:v>
                </c:pt>
                <c:pt idx="48">
                  <c:v>0.79405204460966783</c:v>
                </c:pt>
                <c:pt idx="49">
                  <c:v>0.79642058165548235</c:v>
                </c:pt>
                <c:pt idx="50">
                  <c:v>0.79880329094988933</c:v>
                </c:pt>
                <c:pt idx="51">
                  <c:v>0.80059970014992643</c:v>
                </c:pt>
                <c:pt idx="52">
                  <c:v>0.8018018018018036</c:v>
                </c:pt>
                <c:pt idx="53">
                  <c:v>0.80300751879699317</c:v>
                </c:pt>
                <c:pt idx="54">
                  <c:v>0.80361173814898679</c:v>
                </c:pt>
                <c:pt idx="55">
                  <c:v>0.80361173814898679</c:v>
                </c:pt>
                <c:pt idx="56">
                  <c:v>0.80300751879699317</c:v>
                </c:pt>
                <c:pt idx="57">
                  <c:v>0.8018018018018036</c:v>
                </c:pt>
                <c:pt idx="58">
                  <c:v>0.80000000000000182</c:v>
                </c:pt>
                <c:pt idx="59">
                  <c:v>0.79761015683345993</c:v>
                </c:pt>
                <c:pt idx="60">
                  <c:v>0.79464285714285932</c:v>
                </c:pt>
                <c:pt idx="61">
                  <c:v>0.79169755374351347</c:v>
                </c:pt>
                <c:pt idx="62">
                  <c:v>0.78877400295421074</c:v>
                </c:pt>
                <c:pt idx="63">
                  <c:v>0.78529411764706114</c:v>
                </c:pt>
                <c:pt idx="64">
                  <c:v>0.78184480234260589</c:v>
                </c:pt>
                <c:pt idx="65">
                  <c:v>0.77785870356882947</c:v>
                </c:pt>
                <c:pt idx="66">
                  <c:v>0.77447425670776093</c:v>
                </c:pt>
                <c:pt idx="67">
                  <c:v>0.77111913357400885</c:v>
                </c:pt>
                <c:pt idx="68">
                  <c:v>0.76779295470884512</c:v>
                </c:pt>
                <c:pt idx="69">
                  <c:v>0.76504297994269588</c:v>
                </c:pt>
                <c:pt idx="91">
                  <c:v>0.76834532374100784</c:v>
                </c:pt>
                <c:pt idx="92">
                  <c:v>0.77167630057803682</c:v>
                </c:pt>
                <c:pt idx="93">
                  <c:v>0.77503628447024853</c:v>
                </c:pt>
                <c:pt idx="94">
                  <c:v>0.77899343544858002</c:v>
                </c:pt>
                <c:pt idx="95">
                  <c:v>0.78299120234604136</c:v>
                </c:pt>
                <c:pt idx="96">
                  <c:v>0.78703021370670723</c:v>
                </c:pt>
                <c:pt idx="97">
                  <c:v>0.79111111111111132</c:v>
                </c:pt>
                <c:pt idx="98">
                  <c:v>0.79464285714285932</c:v>
                </c:pt>
                <c:pt idx="99">
                  <c:v>0.79880329094988933</c:v>
                </c:pt>
                <c:pt idx="100">
                  <c:v>0.80300751879699317</c:v>
                </c:pt>
                <c:pt idx="101">
                  <c:v>0.80664652567975814</c:v>
                </c:pt>
                <c:pt idx="102">
                  <c:v>0.8103186646433993</c:v>
                </c:pt>
                <c:pt idx="103">
                  <c:v>0.81402439024390405</c:v>
                </c:pt>
                <c:pt idx="104">
                  <c:v>0.81713848508033726</c:v>
                </c:pt>
                <c:pt idx="105">
                  <c:v>0.82027649769585276</c:v>
                </c:pt>
                <c:pt idx="106">
                  <c:v>0.82280431432973777</c:v>
                </c:pt>
                <c:pt idx="107">
                  <c:v>0.82534775888717349</c:v>
                </c:pt>
                <c:pt idx="108">
                  <c:v>0.82726568551510526</c:v>
                </c:pt>
                <c:pt idx="109">
                  <c:v>0.82854926299457199</c:v>
                </c:pt>
                <c:pt idx="110">
                  <c:v>0.82983682983683116</c:v>
                </c:pt>
                <c:pt idx="111">
                  <c:v>0.83048211508553837</c:v>
                </c:pt>
                <c:pt idx="112">
                  <c:v>0.83048211508553837</c:v>
                </c:pt>
                <c:pt idx="113">
                  <c:v>0.82983682983683116</c:v>
                </c:pt>
                <c:pt idx="114">
                  <c:v>0.82919254658385322</c:v>
                </c:pt>
                <c:pt idx="115">
                  <c:v>0.82726568551510526</c:v>
                </c:pt>
                <c:pt idx="116">
                  <c:v>0.82598607888631115</c:v>
                </c:pt>
                <c:pt idx="117">
                  <c:v>0.82343870470316149</c:v>
                </c:pt>
                <c:pt idx="118">
                  <c:v>0.82090699461952399</c:v>
                </c:pt>
                <c:pt idx="119">
                  <c:v>0.81839080459770197</c:v>
                </c:pt>
                <c:pt idx="120">
                  <c:v>0.81526717557252026</c:v>
                </c:pt>
                <c:pt idx="121">
                  <c:v>0.81216730038023077</c:v>
                </c:pt>
                <c:pt idx="122">
                  <c:v>0.8084784254352787</c:v>
                </c:pt>
                <c:pt idx="123">
                  <c:v>0.80542986425339524</c:v>
                </c:pt>
                <c:pt idx="124">
                  <c:v>0.8018018018018036</c:v>
                </c:pt>
                <c:pt idx="125">
                  <c:v>0.79820627802690836</c:v>
                </c:pt>
                <c:pt idx="126">
                  <c:v>0.79405204460966783</c:v>
                </c:pt>
                <c:pt idx="127">
                  <c:v>0.79052553663952618</c:v>
                </c:pt>
                <c:pt idx="128">
                  <c:v>0.78703021370670723</c:v>
                </c:pt>
                <c:pt idx="129">
                  <c:v>0.78356566397652383</c:v>
                </c:pt>
                <c:pt idx="130">
                  <c:v>0.78013148283418565</c:v>
                </c:pt>
                <c:pt idx="131">
                  <c:v>0.77672727272727515</c:v>
                </c:pt>
                <c:pt idx="132">
                  <c:v>0.77335264301231232</c:v>
                </c:pt>
                <c:pt idx="133">
                  <c:v>0.77000720980533577</c:v>
                </c:pt>
                <c:pt idx="134">
                  <c:v>0.76724137931034464</c:v>
                </c:pt>
                <c:pt idx="135">
                  <c:v>0.76449534717251344</c:v>
                </c:pt>
                <c:pt idx="136">
                  <c:v>0.76231263383297709</c:v>
                </c:pt>
                <c:pt idx="137">
                  <c:v>0.76014234875445086</c:v>
                </c:pt>
                <c:pt idx="138">
                  <c:v>0.7579843860894262</c:v>
                </c:pt>
                <c:pt idx="139">
                  <c:v>0.75583864118896182</c:v>
                </c:pt>
                <c:pt idx="140">
                  <c:v>0.75477031802120309</c:v>
                </c:pt>
                <c:pt idx="141">
                  <c:v>0.75317348377997217</c:v>
                </c:pt>
                <c:pt idx="142">
                  <c:v>0.75211267605634025</c:v>
                </c:pt>
                <c:pt idx="143">
                  <c:v>0.75158339197748225</c:v>
                </c:pt>
                <c:pt idx="144">
                  <c:v>0.75105485232067737</c:v>
                </c:pt>
                <c:pt idx="145">
                  <c:v>0.75105485232067737</c:v>
                </c:pt>
                <c:pt idx="146">
                  <c:v>0.75105485232067737</c:v>
                </c:pt>
                <c:pt idx="147">
                  <c:v>0.75158339197748225</c:v>
                </c:pt>
                <c:pt idx="148">
                  <c:v>0.75211267605634025</c:v>
                </c:pt>
                <c:pt idx="149">
                  <c:v>0.75317348377997217</c:v>
                </c:pt>
                <c:pt idx="150">
                  <c:v>0.75423728813559465</c:v>
                </c:pt>
                <c:pt idx="151">
                  <c:v>0.75583864118896182</c:v>
                </c:pt>
                <c:pt idx="152">
                  <c:v>0.7579843860894262</c:v>
                </c:pt>
                <c:pt idx="153">
                  <c:v>0.75960170697012974</c:v>
                </c:pt>
                <c:pt idx="154">
                  <c:v>0.76231263383297709</c:v>
                </c:pt>
                <c:pt idx="155">
                  <c:v>0.76449534717251344</c:v>
                </c:pt>
                <c:pt idx="156">
                  <c:v>0.76724137931034464</c:v>
                </c:pt>
                <c:pt idx="157">
                  <c:v>0.77000720980533577</c:v>
                </c:pt>
                <c:pt idx="158">
                  <c:v>0.77335264301231232</c:v>
                </c:pt>
                <c:pt idx="159">
                  <c:v>0.77616279069767524</c:v>
                </c:pt>
                <c:pt idx="160">
                  <c:v>0.77956204379562288</c:v>
                </c:pt>
                <c:pt idx="161">
                  <c:v>0.78299120234604136</c:v>
                </c:pt>
                <c:pt idx="162">
                  <c:v>0.78587196467991283</c:v>
                </c:pt>
                <c:pt idx="163">
                  <c:v>0.78935698447893543</c:v>
                </c:pt>
                <c:pt idx="164">
                  <c:v>0.79228486646884499</c:v>
                </c:pt>
                <c:pt idx="165">
                  <c:v>0.79523454951600892</c:v>
                </c:pt>
                <c:pt idx="166">
                  <c:v>0.79761015683345993</c:v>
                </c:pt>
                <c:pt idx="251">
                  <c:v>0.91910499139414792</c:v>
                </c:pt>
                <c:pt idx="252">
                  <c:v>0.92307692307692379</c:v>
                </c:pt>
                <c:pt idx="253">
                  <c:v>0.92708333333333315</c:v>
                </c:pt>
                <c:pt idx="254">
                  <c:v>0.93031358885017612</c:v>
                </c:pt>
                <c:pt idx="255">
                  <c:v>0.93438320209973824</c:v>
                </c:pt>
                <c:pt idx="256">
                  <c:v>0.93848857644991235</c:v>
                </c:pt>
                <c:pt idx="257">
                  <c:v>0.94263018534863174</c:v>
                </c:pt>
                <c:pt idx="258">
                  <c:v>0.94680851063829796</c:v>
                </c:pt>
                <c:pt idx="259">
                  <c:v>0.95102404274265562</c:v>
                </c:pt>
                <c:pt idx="260">
                  <c:v>0.9552772808586788</c:v>
                </c:pt>
                <c:pt idx="261">
                  <c:v>0.95956873315363866</c:v>
                </c:pt>
                <c:pt idx="262">
                  <c:v>0.96389891696751018</c:v>
                </c:pt>
                <c:pt idx="263">
                  <c:v>0.96826835902085417</c:v>
                </c:pt>
                <c:pt idx="264">
                  <c:v>0.97179253867152138</c:v>
                </c:pt>
                <c:pt idx="265">
                  <c:v>0.97623400365630841</c:v>
                </c:pt>
                <c:pt idx="266">
                  <c:v>0.97981651376147028</c:v>
                </c:pt>
                <c:pt idx="267">
                  <c:v>0.98342541436464137</c:v>
                </c:pt>
                <c:pt idx="268">
                  <c:v>0.98706099815157278</c:v>
                </c:pt>
                <c:pt idx="269">
                  <c:v>0.98980537534754554</c:v>
                </c:pt>
                <c:pt idx="270">
                  <c:v>0.99256505576208331</c:v>
                </c:pt>
                <c:pt idx="271">
                  <c:v>0.99441340782123122</c:v>
                </c:pt>
                <c:pt idx="272">
                  <c:v>0.99626865671641973</c:v>
                </c:pt>
                <c:pt idx="273">
                  <c:v>0.99813084112149741</c:v>
                </c:pt>
                <c:pt idx="274">
                  <c:v>0.999064546304958</c:v>
                </c:pt>
                <c:pt idx="27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D4-AE45-A931-C4484682D332}"/>
            </c:ext>
          </c:extLst>
        </c:ser>
        <c:ser>
          <c:idx val="5"/>
          <c:order val="5"/>
          <c:tx>
            <c:strRef>
              <c:f>'Fe36Cr Max + MD'!$A$648</c:f>
              <c:strCache>
                <c:ptCount val="1"/>
                <c:pt idx="0">
                  <c:v>Thermally Equilibrated SAW</c:v>
                </c:pt>
              </c:strCache>
            </c:strRef>
          </c:tx>
          <c:spPr>
            <a:ln w="19050">
              <a:noFill/>
            </a:ln>
          </c:spPr>
          <c:xVal>
            <c:numRef>
              <c:f>'Fe36Cr Max + MD'!$C$648:$C$1009</c:f>
              <c:numCache>
                <c:formatCode>General</c:formatCode>
                <c:ptCount val="36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0</c:v>
                </c:pt>
                <c:pt idx="182">
                  <c:v>1</c:v>
                </c:pt>
                <c:pt idx="183">
                  <c:v>2</c:v>
                </c:pt>
                <c:pt idx="184">
                  <c:v>3</c:v>
                </c:pt>
                <c:pt idx="185">
                  <c:v>4</c:v>
                </c:pt>
                <c:pt idx="186">
                  <c:v>5</c:v>
                </c:pt>
                <c:pt idx="187">
                  <c:v>6</c:v>
                </c:pt>
                <c:pt idx="188">
                  <c:v>7</c:v>
                </c:pt>
                <c:pt idx="189">
                  <c:v>8</c:v>
                </c:pt>
                <c:pt idx="190">
                  <c:v>9</c:v>
                </c:pt>
                <c:pt idx="191">
                  <c:v>10</c:v>
                </c:pt>
                <c:pt idx="192">
                  <c:v>11</c:v>
                </c:pt>
                <c:pt idx="193">
                  <c:v>12</c:v>
                </c:pt>
                <c:pt idx="194">
                  <c:v>13</c:v>
                </c:pt>
                <c:pt idx="195">
                  <c:v>14</c:v>
                </c:pt>
                <c:pt idx="196">
                  <c:v>15</c:v>
                </c:pt>
                <c:pt idx="197">
                  <c:v>16</c:v>
                </c:pt>
                <c:pt idx="198">
                  <c:v>17</c:v>
                </c:pt>
                <c:pt idx="199">
                  <c:v>18</c:v>
                </c:pt>
                <c:pt idx="200">
                  <c:v>19</c:v>
                </c:pt>
                <c:pt idx="201">
                  <c:v>20</c:v>
                </c:pt>
                <c:pt idx="202">
                  <c:v>21</c:v>
                </c:pt>
                <c:pt idx="203">
                  <c:v>22</c:v>
                </c:pt>
                <c:pt idx="204">
                  <c:v>23</c:v>
                </c:pt>
                <c:pt idx="205">
                  <c:v>24</c:v>
                </c:pt>
                <c:pt idx="206">
                  <c:v>25</c:v>
                </c:pt>
                <c:pt idx="207">
                  <c:v>26</c:v>
                </c:pt>
                <c:pt idx="208">
                  <c:v>27</c:v>
                </c:pt>
                <c:pt idx="209">
                  <c:v>28</c:v>
                </c:pt>
                <c:pt idx="210">
                  <c:v>29</c:v>
                </c:pt>
                <c:pt idx="211">
                  <c:v>30</c:v>
                </c:pt>
                <c:pt idx="212">
                  <c:v>31</c:v>
                </c:pt>
                <c:pt idx="213">
                  <c:v>32</c:v>
                </c:pt>
                <c:pt idx="214">
                  <c:v>33</c:v>
                </c:pt>
                <c:pt idx="215">
                  <c:v>34</c:v>
                </c:pt>
                <c:pt idx="216">
                  <c:v>35</c:v>
                </c:pt>
                <c:pt idx="217">
                  <c:v>36</c:v>
                </c:pt>
                <c:pt idx="218">
                  <c:v>37</c:v>
                </c:pt>
                <c:pt idx="219">
                  <c:v>38</c:v>
                </c:pt>
                <c:pt idx="220">
                  <c:v>39</c:v>
                </c:pt>
                <c:pt idx="221">
                  <c:v>40</c:v>
                </c:pt>
                <c:pt idx="222">
                  <c:v>41</c:v>
                </c:pt>
                <c:pt idx="223">
                  <c:v>42</c:v>
                </c:pt>
                <c:pt idx="224">
                  <c:v>43</c:v>
                </c:pt>
                <c:pt idx="225">
                  <c:v>44</c:v>
                </c:pt>
                <c:pt idx="226">
                  <c:v>45</c:v>
                </c:pt>
                <c:pt idx="227">
                  <c:v>46</c:v>
                </c:pt>
                <c:pt idx="228">
                  <c:v>47</c:v>
                </c:pt>
                <c:pt idx="229">
                  <c:v>48</c:v>
                </c:pt>
                <c:pt idx="230">
                  <c:v>49</c:v>
                </c:pt>
                <c:pt idx="231">
                  <c:v>50</c:v>
                </c:pt>
                <c:pt idx="232">
                  <c:v>51</c:v>
                </c:pt>
                <c:pt idx="233">
                  <c:v>52</c:v>
                </c:pt>
                <c:pt idx="234">
                  <c:v>53</c:v>
                </c:pt>
                <c:pt idx="235">
                  <c:v>54</c:v>
                </c:pt>
                <c:pt idx="236">
                  <c:v>55</c:v>
                </c:pt>
                <c:pt idx="237">
                  <c:v>56</c:v>
                </c:pt>
                <c:pt idx="238">
                  <c:v>57</c:v>
                </c:pt>
                <c:pt idx="239">
                  <c:v>58</c:v>
                </c:pt>
                <c:pt idx="240">
                  <c:v>59</c:v>
                </c:pt>
                <c:pt idx="241">
                  <c:v>60</c:v>
                </c:pt>
                <c:pt idx="242">
                  <c:v>61</c:v>
                </c:pt>
                <c:pt idx="243">
                  <c:v>62</c:v>
                </c:pt>
                <c:pt idx="244">
                  <c:v>63</c:v>
                </c:pt>
                <c:pt idx="245">
                  <c:v>64</c:v>
                </c:pt>
                <c:pt idx="246">
                  <c:v>65</c:v>
                </c:pt>
                <c:pt idx="247">
                  <c:v>66</c:v>
                </c:pt>
                <c:pt idx="248">
                  <c:v>67</c:v>
                </c:pt>
                <c:pt idx="249">
                  <c:v>68</c:v>
                </c:pt>
                <c:pt idx="250">
                  <c:v>69</c:v>
                </c:pt>
                <c:pt idx="251">
                  <c:v>70</c:v>
                </c:pt>
                <c:pt idx="252">
                  <c:v>71</c:v>
                </c:pt>
                <c:pt idx="253">
                  <c:v>72</c:v>
                </c:pt>
                <c:pt idx="254">
                  <c:v>73</c:v>
                </c:pt>
                <c:pt idx="255">
                  <c:v>74</c:v>
                </c:pt>
                <c:pt idx="256">
                  <c:v>75</c:v>
                </c:pt>
                <c:pt idx="257">
                  <c:v>76</c:v>
                </c:pt>
                <c:pt idx="258">
                  <c:v>77</c:v>
                </c:pt>
                <c:pt idx="259">
                  <c:v>78</c:v>
                </c:pt>
                <c:pt idx="260">
                  <c:v>79</c:v>
                </c:pt>
                <c:pt idx="261">
                  <c:v>80</c:v>
                </c:pt>
                <c:pt idx="262">
                  <c:v>81</c:v>
                </c:pt>
                <c:pt idx="263">
                  <c:v>82</c:v>
                </c:pt>
                <c:pt idx="264">
                  <c:v>83</c:v>
                </c:pt>
                <c:pt idx="265">
                  <c:v>84</c:v>
                </c:pt>
                <c:pt idx="266">
                  <c:v>85</c:v>
                </c:pt>
                <c:pt idx="267">
                  <c:v>86</c:v>
                </c:pt>
                <c:pt idx="268">
                  <c:v>87</c:v>
                </c:pt>
                <c:pt idx="269">
                  <c:v>88</c:v>
                </c:pt>
                <c:pt idx="270">
                  <c:v>89</c:v>
                </c:pt>
                <c:pt idx="271">
                  <c:v>90</c:v>
                </c:pt>
                <c:pt idx="272">
                  <c:v>91</c:v>
                </c:pt>
                <c:pt idx="273">
                  <c:v>92</c:v>
                </c:pt>
                <c:pt idx="274">
                  <c:v>93</c:v>
                </c:pt>
                <c:pt idx="275">
                  <c:v>94</c:v>
                </c:pt>
                <c:pt idx="276">
                  <c:v>95</c:v>
                </c:pt>
                <c:pt idx="277">
                  <c:v>96</c:v>
                </c:pt>
                <c:pt idx="278">
                  <c:v>97</c:v>
                </c:pt>
                <c:pt idx="279">
                  <c:v>98</c:v>
                </c:pt>
                <c:pt idx="280">
                  <c:v>99</c:v>
                </c:pt>
                <c:pt idx="281">
                  <c:v>100</c:v>
                </c:pt>
                <c:pt idx="282">
                  <c:v>101</c:v>
                </c:pt>
                <c:pt idx="283">
                  <c:v>102</c:v>
                </c:pt>
                <c:pt idx="284">
                  <c:v>103</c:v>
                </c:pt>
                <c:pt idx="285">
                  <c:v>104</c:v>
                </c:pt>
                <c:pt idx="286">
                  <c:v>105</c:v>
                </c:pt>
                <c:pt idx="287">
                  <c:v>106</c:v>
                </c:pt>
                <c:pt idx="288">
                  <c:v>107</c:v>
                </c:pt>
                <c:pt idx="289">
                  <c:v>108</c:v>
                </c:pt>
                <c:pt idx="290">
                  <c:v>109</c:v>
                </c:pt>
                <c:pt idx="291">
                  <c:v>110</c:v>
                </c:pt>
                <c:pt idx="292">
                  <c:v>111</c:v>
                </c:pt>
                <c:pt idx="293">
                  <c:v>112</c:v>
                </c:pt>
                <c:pt idx="294">
                  <c:v>113</c:v>
                </c:pt>
                <c:pt idx="295">
                  <c:v>114</c:v>
                </c:pt>
                <c:pt idx="296">
                  <c:v>115</c:v>
                </c:pt>
                <c:pt idx="297">
                  <c:v>116</c:v>
                </c:pt>
                <c:pt idx="298">
                  <c:v>117</c:v>
                </c:pt>
                <c:pt idx="299">
                  <c:v>118</c:v>
                </c:pt>
                <c:pt idx="300">
                  <c:v>119</c:v>
                </c:pt>
                <c:pt idx="301">
                  <c:v>120</c:v>
                </c:pt>
                <c:pt idx="302">
                  <c:v>121</c:v>
                </c:pt>
                <c:pt idx="303">
                  <c:v>122</c:v>
                </c:pt>
                <c:pt idx="304">
                  <c:v>123</c:v>
                </c:pt>
                <c:pt idx="305">
                  <c:v>124</c:v>
                </c:pt>
                <c:pt idx="306">
                  <c:v>125</c:v>
                </c:pt>
                <c:pt idx="307">
                  <c:v>126</c:v>
                </c:pt>
                <c:pt idx="308">
                  <c:v>127</c:v>
                </c:pt>
                <c:pt idx="309">
                  <c:v>128</c:v>
                </c:pt>
                <c:pt idx="310">
                  <c:v>129</c:v>
                </c:pt>
                <c:pt idx="311">
                  <c:v>130</c:v>
                </c:pt>
                <c:pt idx="312">
                  <c:v>131</c:v>
                </c:pt>
                <c:pt idx="313">
                  <c:v>132</c:v>
                </c:pt>
                <c:pt idx="314">
                  <c:v>133</c:v>
                </c:pt>
                <c:pt idx="315">
                  <c:v>134</c:v>
                </c:pt>
                <c:pt idx="316">
                  <c:v>135</c:v>
                </c:pt>
                <c:pt idx="317">
                  <c:v>136</c:v>
                </c:pt>
                <c:pt idx="318">
                  <c:v>137</c:v>
                </c:pt>
                <c:pt idx="319">
                  <c:v>138</c:v>
                </c:pt>
                <c:pt idx="320">
                  <c:v>139</c:v>
                </c:pt>
                <c:pt idx="321">
                  <c:v>140</c:v>
                </c:pt>
                <c:pt idx="322">
                  <c:v>141</c:v>
                </c:pt>
                <c:pt idx="323">
                  <c:v>142</c:v>
                </c:pt>
                <c:pt idx="324">
                  <c:v>143</c:v>
                </c:pt>
                <c:pt idx="325">
                  <c:v>144</c:v>
                </c:pt>
                <c:pt idx="326">
                  <c:v>145</c:v>
                </c:pt>
                <c:pt idx="327">
                  <c:v>146</c:v>
                </c:pt>
                <c:pt idx="328">
                  <c:v>147</c:v>
                </c:pt>
                <c:pt idx="329">
                  <c:v>148</c:v>
                </c:pt>
                <c:pt idx="330">
                  <c:v>149</c:v>
                </c:pt>
                <c:pt idx="331">
                  <c:v>150</c:v>
                </c:pt>
                <c:pt idx="332">
                  <c:v>151</c:v>
                </c:pt>
                <c:pt idx="333">
                  <c:v>152</c:v>
                </c:pt>
                <c:pt idx="334">
                  <c:v>153</c:v>
                </c:pt>
                <c:pt idx="335">
                  <c:v>154</c:v>
                </c:pt>
                <c:pt idx="336">
                  <c:v>155</c:v>
                </c:pt>
                <c:pt idx="337">
                  <c:v>156</c:v>
                </c:pt>
                <c:pt idx="338">
                  <c:v>157</c:v>
                </c:pt>
                <c:pt idx="339">
                  <c:v>158</c:v>
                </c:pt>
                <c:pt idx="340">
                  <c:v>159</c:v>
                </c:pt>
                <c:pt idx="341">
                  <c:v>160</c:v>
                </c:pt>
                <c:pt idx="342">
                  <c:v>161</c:v>
                </c:pt>
                <c:pt idx="343">
                  <c:v>162</c:v>
                </c:pt>
                <c:pt idx="344">
                  <c:v>163</c:v>
                </c:pt>
                <c:pt idx="345">
                  <c:v>164</c:v>
                </c:pt>
                <c:pt idx="346">
                  <c:v>165</c:v>
                </c:pt>
                <c:pt idx="347">
                  <c:v>166</c:v>
                </c:pt>
                <c:pt idx="348">
                  <c:v>167</c:v>
                </c:pt>
                <c:pt idx="349">
                  <c:v>168</c:v>
                </c:pt>
                <c:pt idx="350">
                  <c:v>169</c:v>
                </c:pt>
                <c:pt idx="351">
                  <c:v>170</c:v>
                </c:pt>
                <c:pt idx="352">
                  <c:v>171</c:v>
                </c:pt>
                <c:pt idx="353">
                  <c:v>172</c:v>
                </c:pt>
                <c:pt idx="354">
                  <c:v>173</c:v>
                </c:pt>
                <c:pt idx="355">
                  <c:v>174</c:v>
                </c:pt>
                <c:pt idx="356">
                  <c:v>175</c:v>
                </c:pt>
                <c:pt idx="357">
                  <c:v>176</c:v>
                </c:pt>
                <c:pt idx="358">
                  <c:v>177</c:v>
                </c:pt>
                <c:pt idx="359">
                  <c:v>178</c:v>
                </c:pt>
                <c:pt idx="360">
                  <c:v>179</c:v>
                </c:pt>
                <c:pt idx="361">
                  <c:v>180</c:v>
                </c:pt>
              </c:numCache>
            </c:numRef>
          </c:xVal>
          <c:yVal>
            <c:numRef>
              <c:f>'Fe36Cr Max + MD'!$H$648:$H$1009</c:f>
              <c:numCache>
                <c:formatCode>General</c:formatCode>
                <c:ptCount val="362"/>
                <c:pt idx="0">
                  <c:v>0.75744680851063961</c:v>
                </c:pt>
                <c:pt idx="1">
                  <c:v>0.75423728813559465</c:v>
                </c:pt>
                <c:pt idx="2">
                  <c:v>0.75052705551651466</c:v>
                </c:pt>
                <c:pt idx="3">
                  <c:v>0.74737578726382192</c:v>
                </c:pt>
                <c:pt idx="4">
                  <c:v>0.74425087108013965</c:v>
                </c:pt>
                <c:pt idx="5">
                  <c:v>0.74063800277392688</c:v>
                </c:pt>
                <c:pt idx="6">
                  <c:v>0.73756906077348028</c:v>
                </c:pt>
                <c:pt idx="7">
                  <c:v>0.73452544704264322</c:v>
                </c:pt>
                <c:pt idx="8">
                  <c:v>0.7315068493150686</c:v>
                </c:pt>
                <c:pt idx="9">
                  <c:v>0.72851296043656255</c:v>
                </c:pt>
                <c:pt idx="10">
                  <c:v>0.72603670972127932</c:v>
                </c:pt>
                <c:pt idx="11">
                  <c:v>0.72357723577235955</c:v>
                </c:pt>
                <c:pt idx="12">
                  <c:v>0.72113436866981884</c:v>
                </c:pt>
                <c:pt idx="13">
                  <c:v>0.71919191919192116</c:v>
                </c:pt>
                <c:pt idx="14">
                  <c:v>0.7172599059771656</c:v>
                </c:pt>
                <c:pt idx="15">
                  <c:v>0.71581769436997489</c:v>
                </c:pt>
                <c:pt idx="16">
                  <c:v>0.71438127090301118</c:v>
                </c:pt>
                <c:pt idx="17">
                  <c:v>0.71295060080106865</c:v>
                </c:pt>
                <c:pt idx="18">
                  <c:v>0.71199999999999986</c:v>
                </c:pt>
                <c:pt idx="19">
                  <c:v>0.71105193075898876</c:v>
                </c:pt>
                <c:pt idx="20">
                  <c:v>0.7105788423153695</c:v>
                </c:pt>
                <c:pt idx="21">
                  <c:v>0.71010638297872486</c:v>
                </c:pt>
                <c:pt idx="22">
                  <c:v>0.71010638297872486</c:v>
                </c:pt>
                <c:pt idx="23">
                  <c:v>0.71010638297872486</c:v>
                </c:pt>
                <c:pt idx="24">
                  <c:v>0.7105788423153695</c:v>
                </c:pt>
                <c:pt idx="25">
                  <c:v>0.71105193075898876</c:v>
                </c:pt>
                <c:pt idx="26">
                  <c:v>0.71199999999999986</c:v>
                </c:pt>
                <c:pt idx="27">
                  <c:v>0.71295060080106865</c:v>
                </c:pt>
                <c:pt idx="28">
                  <c:v>0.71438127090301118</c:v>
                </c:pt>
                <c:pt idx="29">
                  <c:v>0.71581769436997489</c:v>
                </c:pt>
                <c:pt idx="30">
                  <c:v>0.71774193548387233</c:v>
                </c:pt>
                <c:pt idx="31">
                  <c:v>0.71967654986523133</c:v>
                </c:pt>
                <c:pt idx="32">
                  <c:v>0.72162162162162413</c:v>
                </c:pt>
                <c:pt idx="33">
                  <c:v>0.72406779661016951</c:v>
                </c:pt>
                <c:pt idx="34">
                  <c:v>0.72653061224489857</c:v>
                </c:pt>
                <c:pt idx="35">
                  <c:v>0.72901023890785233</c:v>
                </c:pt>
                <c:pt idx="36">
                  <c:v>0.73200822481151517</c:v>
                </c:pt>
                <c:pt idx="37">
                  <c:v>0.73503097040605692</c:v>
                </c:pt>
                <c:pt idx="38">
                  <c:v>0.7380787836903957</c:v>
                </c:pt>
                <c:pt idx="39">
                  <c:v>0.74115197779319963</c:v>
                </c:pt>
                <c:pt idx="40">
                  <c:v>0.74425087108013965</c:v>
                </c:pt>
                <c:pt idx="41">
                  <c:v>0.74789915966386566</c:v>
                </c:pt>
                <c:pt idx="42">
                  <c:v>0.75105485232067737</c:v>
                </c:pt>
                <c:pt idx="43">
                  <c:v>0.75477031802120309</c:v>
                </c:pt>
                <c:pt idx="44">
                  <c:v>0.7579843860894262</c:v>
                </c:pt>
                <c:pt idx="45">
                  <c:v>0.76122594440484836</c:v>
                </c:pt>
                <c:pt idx="46">
                  <c:v>0.76449534717251344</c:v>
                </c:pt>
                <c:pt idx="47">
                  <c:v>0.76779295470884512</c:v>
                </c:pt>
                <c:pt idx="48">
                  <c:v>0.77056277056277001</c:v>
                </c:pt>
                <c:pt idx="49">
                  <c:v>0.77335264301231232</c:v>
                </c:pt>
                <c:pt idx="50">
                  <c:v>0.77559912854030666</c:v>
                </c:pt>
                <c:pt idx="51">
                  <c:v>0.77785870356882947</c:v>
                </c:pt>
                <c:pt idx="52">
                  <c:v>0.77899343544858002</c:v>
                </c:pt>
                <c:pt idx="53">
                  <c:v>0.78013148283418565</c:v>
                </c:pt>
                <c:pt idx="54">
                  <c:v>0.78070175438596512</c:v>
                </c:pt>
                <c:pt idx="55">
                  <c:v>0.78070175438596512</c:v>
                </c:pt>
                <c:pt idx="56">
                  <c:v>0.78013148283418565</c:v>
                </c:pt>
                <c:pt idx="57">
                  <c:v>0.7784256559766789</c:v>
                </c:pt>
                <c:pt idx="58">
                  <c:v>0.77616279069767524</c:v>
                </c:pt>
                <c:pt idx="59">
                  <c:v>0.77391304347826162</c:v>
                </c:pt>
                <c:pt idx="60">
                  <c:v>0.77111913357400885</c:v>
                </c:pt>
                <c:pt idx="61">
                  <c:v>0.76779295470884512</c:v>
                </c:pt>
                <c:pt idx="62">
                  <c:v>0.7639484978540777</c:v>
                </c:pt>
                <c:pt idx="63">
                  <c:v>0.76068376068376087</c:v>
                </c:pt>
                <c:pt idx="64">
                  <c:v>0.7569099929128299</c:v>
                </c:pt>
                <c:pt idx="65">
                  <c:v>0.75264270613108053</c:v>
                </c:pt>
                <c:pt idx="66">
                  <c:v>0.74894810659186783</c:v>
                </c:pt>
                <c:pt idx="67">
                  <c:v>0.74528960223307739</c:v>
                </c:pt>
                <c:pt idx="68">
                  <c:v>0.74218207088255916</c:v>
                </c:pt>
                <c:pt idx="69">
                  <c:v>0.73858921161825697</c:v>
                </c:pt>
                <c:pt idx="91">
                  <c:v>0.74166666666666903</c:v>
                </c:pt>
                <c:pt idx="92">
                  <c:v>0.74528960223307739</c:v>
                </c:pt>
                <c:pt idx="93">
                  <c:v>0.74894810659186783</c:v>
                </c:pt>
                <c:pt idx="94">
                  <c:v>0.75317348377997217</c:v>
                </c:pt>
                <c:pt idx="95">
                  <c:v>0.7569099929128299</c:v>
                </c:pt>
                <c:pt idx="96">
                  <c:v>0.76122594440484836</c:v>
                </c:pt>
                <c:pt idx="97">
                  <c:v>0.76559139784946262</c:v>
                </c:pt>
                <c:pt idx="98">
                  <c:v>0.77000720980533577</c:v>
                </c:pt>
                <c:pt idx="99">
                  <c:v>0.77391304347826162</c:v>
                </c:pt>
                <c:pt idx="100">
                  <c:v>0.7784256559766789</c:v>
                </c:pt>
                <c:pt idx="101">
                  <c:v>0.78241758241758219</c:v>
                </c:pt>
                <c:pt idx="102">
                  <c:v>0.78645066273932485</c:v>
                </c:pt>
                <c:pt idx="103">
                  <c:v>0.79052553663952618</c:v>
                </c:pt>
                <c:pt idx="104">
                  <c:v>0.79405204460966783</c:v>
                </c:pt>
                <c:pt idx="105">
                  <c:v>0.79701492537313456</c:v>
                </c:pt>
                <c:pt idx="106">
                  <c:v>0.80000000000000182</c:v>
                </c:pt>
                <c:pt idx="107">
                  <c:v>0.80240420736288542</c:v>
                </c:pt>
                <c:pt idx="108">
                  <c:v>0.80482290881688168</c:v>
                </c:pt>
                <c:pt idx="109">
                  <c:v>0.80603773584905647</c:v>
                </c:pt>
                <c:pt idx="110">
                  <c:v>0.80725623582766681</c:v>
                </c:pt>
                <c:pt idx="111">
                  <c:v>0.80786686838124155</c:v>
                </c:pt>
                <c:pt idx="112">
                  <c:v>0.80786686838124155</c:v>
                </c:pt>
                <c:pt idx="113">
                  <c:v>0.80725623582766681</c:v>
                </c:pt>
                <c:pt idx="114">
                  <c:v>0.80603773584905647</c:v>
                </c:pt>
                <c:pt idx="115">
                  <c:v>0.80482290881688168</c:v>
                </c:pt>
                <c:pt idx="116">
                  <c:v>0.80300751879699317</c:v>
                </c:pt>
                <c:pt idx="117">
                  <c:v>0.80059970014992643</c:v>
                </c:pt>
                <c:pt idx="118">
                  <c:v>0.79820627802690836</c:v>
                </c:pt>
                <c:pt idx="119">
                  <c:v>0.79464285714285932</c:v>
                </c:pt>
                <c:pt idx="120">
                  <c:v>0.79169755374351347</c:v>
                </c:pt>
                <c:pt idx="121">
                  <c:v>0.7881918819188195</c:v>
                </c:pt>
                <c:pt idx="122">
                  <c:v>0.78471711976487957</c:v>
                </c:pt>
                <c:pt idx="123">
                  <c:v>0.78070175438596512</c:v>
                </c:pt>
                <c:pt idx="124">
                  <c:v>0.77672727272727515</c:v>
                </c:pt>
                <c:pt idx="125">
                  <c:v>0.77279305354558625</c:v>
                </c:pt>
                <c:pt idx="126">
                  <c:v>0.76889848812095141</c:v>
                </c:pt>
                <c:pt idx="127">
                  <c:v>0.76504297994269588</c:v>
                </c:pt>
                <c:pt idx="128">
                  <c:v>0.76122594440484836</c:v>
                </c:pt>
                <c:pt idx="129">
                  <c:v>0.75744680851063961</c:v>
                </c:pt>
                <c:pt idx="130">
                  <c:v>0.75370501058574535</c:v>
                </c:pt>
                <c:pt idx="131">
                  <c:v>0.75052705551651466</c:v>
                </c:pt>
                <c:pt idx="132">
                  <c:v>0.74685314685314852</c:v>
                </c:pt>
                <c:pt idx="133">
                  <c:v>0.74373259052924923</c:v>
                </c:pt>
                <c:pt idx="134">
                  <c:v>0.74063800277392688</c:v>
                </c:pt>
                <c:pt idx="135">
                  <c:v>0.73756906077348028</c:v>
                </c:pt>
                <c:pt idx="136">
                  <c:v>0.73503097040605692</c:v>
                </c:pt>
                <c:pt idx="137">
                  <c:v>0.73301304049416716</c:v>
                </c:pt>
                <c:pt idx="138">
                  <c:v>0.73050615595075186</c:v>
                </c:pt>
                <c:pt idx="139">
                  <c:v>0.72901023890785233</c:v>
                </c:pt>
                <c:pt idx="140">
                  <c:v>0.72702518720218046</c:v>
                </c:pt>
                <c:pt idx="141">
                  <c:v>0.72603670972127932</c:v>
                </c:pt>
                <c:pt idx="142">
                  <c:v>0.72505091649694542</c:v>
                </c:pt>
                <c:pt idx="143">
                  <c:v>0.72406779661016951</c:v>
                </c:pt>
                <c:pt idx="144">
                  <c:v>0.72357723577235955</c:v>
                </c:pt>
                <c:pt idx="145">
                  <c:v>0.72357723577235955</c:v>
                </c:pt>
                <c:pt idx="146">
                  <c:v>0.72357723577235955</c:v>
                </c:pt>
                <c:pt idx="147">
                  <c:v>0.72406779661016951</c:v>
                </c:pt>
                <c:pt idx="148">
                  <c:v>0.72505091649694542</c:v>
                </c:pt>
                <c:pt idx="149">
                  <c:v>0.72603670972127932</c:v>
                </c:pt>
                <c:pt idx="150">
                  <c:v>0.72752043596730231</c:v>
                </c:pt>
                <c:pt idx="151">
                  <c:v>0.72901023890785233</c:v>
                </c:pt>
                <c:pt idx="152">
                  <c:v>0.73100616016427244</c:v>
                </c:pt>
                <c:pt idx="153">
                  <c:v>0.73351648351648335</c:v>
                </c:pt>
                <c:pt idx="154">
                  <c:v>0.73604410751206217</c:v>
                </c:pt>
                <c:pt idx="155">
                  <c:v>0.73858921161825697</c:v>
                </c:pt>
                <c:pt idx="156">
                  <c:v>0.74166666666666903</c:v>
                </c:pt>
                <c:pt idx="157">
                  <c:v>0.74476987447698717</c:v>
                </c:pt>
                <c:pt idx="158">
                  <c:v>0.74789915966386566</c:v>
                </c:pt>
                <c:pt idx="159">
                  <c:v>0.75105485232067737</c:v>
                </c:pt>
                <c:pt idx="160">
                  <c:v>0.75477031802120309</c:v>
                </c:pt>
                <c:pt idx="161">
                  <c:v>0.7579843860894262</c:v>
                </c:pt>
                <c:pt idx="162">
                  <c:v>0.76176890156918919</c:v>
                </c:pt>
                <c:pt idx="163">
                  <c:v>0.76504297994269588</c:v>
                </c:pt>
                <c:pt idx="164">
                  <c:v>0.76834532374100784</c:v>
                </c:pt>
                <c:pt idx="165">
                  <c:v>0.77167630057803682</c:v>
                </c:pt>
                <c:pt idx="166">
                  <c:v>0.77447425670776093</c:v>
                </c:pt>
                <c:pt idx="167">
                  <c:v>0.77672727272727515</c:v>
                </c:pt>
                <c:pt idx="168">
                  <c:v>0.7784256559766789</c:v>
                </c:pt>
                <c:pt idx="169">
                  <c:v>0.77956204379562288</c:v>
                </c:pt>
                <c:pt idx="170">
                  <c:v>0.78013148283418565</c:v>
                </c:pt>
                <c:pt idx="171">
                  <c:v>0.77956204379562288</c:v>
                </c:pt>
                <c:pt idx="172">
                  <c:v>0.77899343544858002</c:v>
                </c:pt>
                <c:pt idx="173">
                  <c:v>0.77729257641921479</c:v>
                </c:pt>
                <c:pt idx="174">
                  <c:v>0.77559912854030666</c:v>
                </c:pt>
                <c:pt idx="175">
                  <c:v>0.77279305354558625</c:v>
                </c:pt>
                <c:pt idx="176">
                  <c:v>0.77056277056277001</c:v>
                </c:pt>
                <c:pt idx="177">
                  <c:v>0.76724137931034464</c:v>
                </c:pt>
                <c:pt idx="178">
                  <c:v>0.7639484978540777</c:v>
                </c:pt>
                <c:pt idx="179">
                  <c:v>0.76068376068376087</c:v>
                </c:pt>
                <c:pt idx="180">
                  <c:v>0.75744680851063961</c:v>
                </c:pt>
                <c:pt idx="251">
                  <c:v>0.89447236180904721</c:v>
                </c:pt>
                <c:pt idx="252">
                  <c:v>0.89823380992430613</c:v>
                </c:pt>
                <c:pt idx="253">
                  <c:v>0.90202702702702786</c:v>
                </c:pt>
                <c:pt idx="254">
                  <c:v>0.90662139219015381</c:v>
                </c:pt>
                <c:pt idx="255">
                  <c:v>0.91048593350383777</c:v>
                </c:pt>
                <c:pt idx="256">
                  <c:v>0.91438356164383583</c:v>
                </c:pt>
                <c:pt idx="257">
                  <c:v>0.91910499139414792</c:v>
                </c:pt>
                <c:pt idx="258">
                  <c:v>0.92307692307692379</c:v>
                </c:pt>
                <c:pt idx="259">
                  <c:v>0.92788879235447486</c:v>
                </c:pt>
                <c:pt idx="260">
                  <c:v>0.93193717277487087</c:v>
                </c:pt>
                <c:pt idx="261">
                  <c:v>0.93684210526315881</c:v>
                </c:pt>
                <c:pt idx="262">
                  <c:v>0.94096916299559474</c:v>
                </c:pt>
                <c:pt idx="263">
                  <c:v>0.94596988485385547</c:v>
                </c:pt>
                <c:pt idx="264">
                  <c:v>0.9501779359430621</c:v>
                </c:pt>
                <c:pt idx="265">
                  <c:v>0.95442359249329978</c:v>
                </c:pt>
                <c:pt idx="266">
                  <c:v>0.95870736086175934</c:v>
                </c:pt>
                <c:pt idx="267">
                  <c:v>0.96216216216216244</c:v>
                </c:pt>
                <c:pt idx="268">
                  <c:v>0.96564195298372746</c:v>
                </c:pt>
                <c:pt idx="269">
                  <c:v>0.96914700544464616</c:v>
                </c:pt>
                <c:pt idx="270">
                  <c:v>0.97267759562841705</c:v>
                </c:pt>
                <c:pt idx="271">
                  <c:v>0.97445255474452785</c:v>
                </c:pt>
                <c:pt idx="272">
                  <c:v>0.97712717291857487</c:v>
                </c:pt>
                <c:pt idx="273">
                  <c:v>0.97891842346471314</c:v>
                </c:pt>
                <c:pt idx="274">
                  <c:v>0.97981651376147028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D4-AE45-A931-C4484682D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Relative Surface Angle [degrees]</a:t>
                </a:r>
              </a:p>
            </c:rich>
          </c:tx>
          <c:layout>
            <c:manualLayout>
              <c:xMode val="edge"/>
              <c:yMode val="edge"/>
              <c:x val="0.33838425892873036"/>
              <c:y val="0.894924754817805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</c:valAx>
      <c:valAx>
        <c:axId val="1791294527"/>
        <c:scaling>
          <c:orientation val="minMax"/>
          <c:max val="1"/>
          <c:min val="0.65000000000000013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2.9157658795603811E-2"/>
              <c:y val="0.1337271052204790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5.000000000000001E-2"/>
      </c:valAx>
    </c:plotArea>
    <c:legend>
      <c:legendPos val="t"/>
      <c:layout>
        <c:manualLayout>
          <c:xMode val="edge"/>
          <c:yMode val="edge"/>
          <c:x val="0.65291553443891037"/>
          <c:y val="0.15736424285258113"/>
          <c:w val="0.34708447627996075"/>
          <c:h val="0.32163306085306259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u="sng"/>
            </a:pPr>
            <a:r>
              <a:rPr lang="en-US" u="sng"/>
              <a:t>Fe-36Cr Alloy </a:t>
            </a:r>
          </a:p>
        </c:rich>
      </c:tx>
      <c:layout>
        <c:manualLayout>
          <c:xMode val="edge"/>
          <c:yMode val="edge"/>
          <c:x val="0.43990417099357082"/>
          <c:y val="2.36333283523457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90705845506367"/>
          <c:y val="0.13959753946852924"/>
          <c:w val="0.45555990617223929"/>
          <c:h val="0.65810123734533188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+ MD'!$E$10:$E$55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+ MD'!$H$10:$H$55</c:f>
              <c:numCache>
                <c:formatCode>General</c:formatCode>
                <c:ptCount val="46"/>
                <c:pt idx="0">
                  <c:v>0.81208308815134733</c:v>
                </c:pt>
                <c:pt idx="1">
                  <c:v>0.79880241868339641</c:v>
                </c:pt>
                <c:pt idx="2">
                  <c:v>0.81288715781032017</c:v>
                </c:pt>
                <c:pt idx="3">
                  <c:v>0.80274580990808109</c:v>
                </c:pt>
                <c:pt idx="4">
                  <c:v>0.78833344360257396</c:v>
                </c:pt>
                <c:pt idx="5">
                  <c:v>0.7753787308455925</c:v>
                </c:pt>
                <c:pt idx="6">
                  <c:v>0.76328563353298751</c:v>
                </c:pt>
                <c:pt idx="7">
                  <c:v>0.75602396323244814</c:v>
                </c:pt>
                <c:pt idx="8">
                  <c:v>0.75339720261416065</c:v>
                </c:pt>
                <c:pt idx="9">
                  <c:v>0.75283581717582659</c:v>
                </c:pt>
                <c:pt idx="10">
                  <c:v>0.7510345591040346</c:v>
                </c:pt>
                <c:pt idx="11">
                  <c:v>0</c:v>
                </c:pt>
                <c:pt idx="12">
                  <c:v>0.76381627501594174</c:v>
                </c:pt>
                <c:pt idx="13">
                  <c:v>0.77117106657644641</c:v>
                </c:pt>
                <c:pt idx="14">
                  <c:v>0.78670781547166557</c:v>
                </c:pt>
                <c:pt idx="15">
                  <c:v>0.79952611765950754</c:v>
                </c:pt>
                <c:pt idx="16">
                  <c:v>0.81835961166292137</c:v>
                </c:pt>
                <c:pt idx="17">
                  <c:v>0.81070073512827157</c:v>
                </c:pt>
                <c:pt idx="18">
                  <c:v>0.82196860306136377</c:v>
                </c:pt>
                <c:pt idx="19">
                  <c:v>0.81060413593190039</c:v>
                </c:pt>
                <c:pt idx="20">
                  <c:v>0.76890814795013374</c:v>
                </c:pt>
                <c:pt idx="21">
                  <c:v>0.94298006939165357</c:v>
                </c:pt>
                <c:pt idx="22">
                  <c:v>0.74765931733315505</c:v>
                </c:pt>
                <c:pt idx="23">
                  <c:v>0.95562722425032232</c:v>
                </c:pt>
                <c:pt idx="24">
                  <c:v>0.96180076882165055</c:v>
                </c:pt>
                <c:pt idx="25">
                  <c:v>0.9775199350636693</c:v>
                </c:pt>
                <c:pt idx="26">
                  <c:v>0.98110683502217921</c:v>
                </c:pt>
                <c:pt idx="27">
                  <c:v>0.98049017963304852</c:v>
                </c:pt>
                <c:pt idx="28">
                  <c:v>0.81558160870570084</c:v>
                </c:pt>
                <c:pt idx="29">
                  <c:v>0.83362632538893566</c:v>
                </c:pt>
                <c:pt idx="30">
                  <c:v>0.84512529788010171</c:v>
                </c:pt>
                <c:pt idx="31">
                  <c:v>0.85322749769576267</c:v>
                </c:pt>
                <c:pt idx="32">
                  <c:v>0.85182985567538516</c:v>
                </c:pt>
                <c:pt idx="33">
                  <c:v>0.83816366266522979</c:v>
                </c:pt>
                <c:pt idx="34">
                  <c:v>0.82314454069798204</c:v>
                </c:pt>
                <c:pt idx="35">
                  <c:v>0.81029199434173993</c:v>
                </c:pt>
                <c:pt idx="36">
                  <c:v>0.79857124729547979</c:v>
                </c:pt>
                <c:pt idx="37">
                  <c:v>0.78870023975206127</c:v>
                </c:pt>
                <c:pt idx="38">
                  <c:v>0.7755846525265857</c:v>
                </c:pt>
                <c:pt idx="39">
                  <c:v>0.76783113908682588</c:v>
                </c:pt>
                <c:pt idx="40">
                  <c:v>0.76808299208344821</c:v>
                </c:pt>
                <c:pt idx="41">
                  <c:v>0.77165163440734463</c:v>
                </c:pt>
                <c:pt idx="42">
                  <c:v>0.77698155217879206</c:v>
                </c:pt>
                <c:pt idx="43">
                  <c:v>0.78574529726749487</c:v>
                </c:pt>
                <c:pt idx="44">
                  <c:v>0.79666655222056071</c:v>
                </c:pt>
                <c:pt idx="45">
                  <c:v>0.81139086408202243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BE-0049-AABC-CDC0D65240A5}"/>
            </c:ext>
          </c:extLst>
        </c:ser>
        <c:ser>
          <c:idx val="2"/>
          <c:order val="1"/>
          <c:tx>
            <c:v>500C 10hr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+ MD'!$H$104:$H$137</c:f>
              <c:numCache>
                <c:formatCode>General</c:formatCode>
                <c:ptCount val="34"/>
                <c:pt idx="0">
                  <c:v>0.80012864744751766</c:v>
                </c:pt>
                <c:pt idx="1">
                  <c:v>0.82050339579139064</c:v>
                </c:pt>
                <c:pt idx="2">
                  <c:v>0.82638163738684178</c:v>
                </c:pt>
                <c:pt idx="3">
                  <c:v>0.8245326784008733</c:v>
                </c:pt>
                <c:pt idx="4">
                  <c:v>0.81039816663464403</c:v>
                </c:pt>
                <c:pt idx="5">
                  <c:v>0.80186622336204239</c:v>
                </c:pt>
                <c:pt idx="6">
                  <c:v>0.79010138644078176</c:v>
                </c:pt>
                <c:pt idx="7">
                  <c:v>0.77441864998148258</c:v>
                </c:pt>
                <c:pt idx="8">
                  <c:v>0.77022786191840642</c:v>
                </c:pt>
                <c:pt idx="9">
                  <c:v>0.76838168750922398</c:v>
                </c:pt>
                <c:pt idx="10">
                  <c:v>0.76779414180735739</c:v>
                </c:pt>
                <c:pt idx="11">
                  <c:v>0.77510644044764865</c:v>
                </c:pt>
                <c:pt idx="12">
                  <c:v>0.78090392931630281</c:v>
                </c:pt>
                <c:pt idx="13">
                  <c:v>0.7915187360249053</c:v>
                </c:pt>
                <c:pt idx="14">
                  <c:v>0.79202552899997491</c:v>
                </c:pt>
                <c:pt idx="15">
                  <c:v>0.81349740059757014</c:v>
                </c:pt>
                <c:pt idx="16">
                  <c:v>0.82753166759949992</c:v>
                </c:pt>
                <c:pt idx="17">
                  <c:v>0.83144678256075255</c:v>
                </c:pt>
                <c:pt idx="18">
                  <c:v>0.82897964752827036</c:v>
                </c:pt>
                <c:pt idx="19">
                  <c:v>0.81725657925880135</c:v>
                </c:pt>
                <c:pt idx="20">
                  <c:v>0.80272108843537404</c:v>
                </c:pt>
                <c:pt idx="21">
                  <c:v>0.9511835843629306</c:v>
                </c:pt>
                <c:pt idx="22">
                  <c:v>0.95925328788904018</c:v>
                </c:pt>
                <c:pt idx="23">
                  <c:v>0.96419591168436269</c:v>
                </c:pt>
                <c:pt idx="24">
                  <c:v>0.97551521631984772</c:v>
                </c:pt>
                <c:pt idx="25">
                  <c:v>0.97549850885913103</c:v>
                </c:pt>
                <c:pt idx="26">
                  <c:v>0.98157167082960906</c:v>
                </c:pt>
                <c:pt idx="27">
                  <c:v>0.9932557550240726</c:v>
                </c:pt>
                <c:pt idx="28">
                  <c:v>0.81031741390784717</c:v>
                </c:pt>
                <c:pt idx="29">
                  <c:v>0.83074785378744209</c:v>
                </c:pt>
                <c:pt idx="30">
                  <c:v>0.8328112251859402</c:v>
                </c:pt>
                <c:pt idx="31">
                  <c:v>0.84972474458469427</c:v>
                </c:pt>
                <c:pt idx="32">
                  <c:v>0.85557514041228444</c:v>
                </c:pt>
                <c:pt idx="33">
                  <c:v>0.85600396523734346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BE-0049-AABC-CDC0D65240A5}"/>
            </c:ext>
          </c:extLst>
        </c:ser>
        <c:ser>
          <c:idx val="3"/>
          <c:order val="2"/>
          <c:tx>
            <c:strRef>
              <c:f>'Fe36Cr Max + MD'!$A$286</c:f>
              <c:strCache>
                <c:ptCount val="1"/>
                <c:pt idx="0">
                  <c:v>Random Solid Solution SAW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+ MD'!$D$286:$D$647</c:f>
              <c:numCache>
                <c:formatCode>General</c:formatCode>
                <c:ptCount val="362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  <c:pt idx="37">
                  <c:v>51</c:v>
                </c:pt>
                <c:pt idx="38">
                  <c:v>52</c:v>
                </c:pt>
                <c:pt idx="39">
                  <c:v>53</c:v>
                </c:pt>
                <c:pt idx="40">
                  <c:v>54</c:v>
                </c:pt>
                <c:pt idx="41">
                  <c:v>55</c:v>
                </c:pt>
                <c:pt idx="42">
                  <c:v>56</c:v>
                </c:pt>
                <c:pt idx="43">
                  <c:v>57</c:v>
                </c:pt>
                <c:pt idx="44">
                  <c:v>58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62</c:v>
                </c:pt>
                <c:pt idx="49">
                  <c:v>63</c:v>
                </c:pt>
                <c:pt idx="50">
                  <c:v>64</c:v>
                </c:pt>
                <c:pt idx="51">
                  <c:v>65</c:v>
                </c:pt>
                <c:pt idx="52">
                  <c:v>66</c:v>
                </c:pt>
                <c:pt idx="53">
                  <c:v>67</c:v>
                </c:pt>
                <c:pt idx="54">
                  <c:v>68</c:v>
                </c:pt>
                <c:pt idx="55">
                  <c:v>69</c:v>
                </c:pt>
                <c:pt idx="56">
                  <c:v>70</c:v>
                </c:pt>
                <c:pt idx="57">
                  <c:v>71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88</c:v>
                </c:pt>
                <c:pt idx="75">
                  <c:v>89</c:v>
                </c:pt>
                <c:pt idx="76">
                  <c:v>90</c:v>
                </c:pt>
                <c:pt idx="77">
                  <c:v>91</c:v>
                </c:pt>
                <c:pt idx="78">
                  <c:v>92</c:v>
                </c:pt>
                <c:pt idx="79">
                  <c:v>93</c:v>
                </c:pt>
                <c:pt idx="80">
                  <c:v>94</c:v>
                </c:pt>
                <c:pt idx="81">
                  <c:v>95</c:v>
                </c:pt>
                <c:pt idx="82">
                  <c:v>96</c:v>
                </c:pt>
                <c:pt idx="83">
                  <c:v>97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108</c:v>
                </c:pt>
                <c:pt idx="95">
                  <c:v>109</c:v>
                </c:pt>
                <c:pt idx="96">
                  <c:v>110</c:v>
                </c:pt>
                <c:pt idx="97">
                  <c:v>111</c:v>
                </c:pt>
                <c:pt idx="98">
                  <c:v>112</c:v>
                </c:pt>
                <c:pt idx="99">
                  <c:v>113</c:v>
                </c:pt>
                <c:pt idx="100">
                  <c:v>114</c:v>
                </c:pt>
                <c:pt idx="101">
                  <c:v>115</c:v>
                </c:pt>
                <c:pt idx="102">
                  <c:v>116</c:v>
                </c:pt>
                <c:pt idx="103">
                  <c:v>117</c:v>
                </c:pt>
                <c:pt idx="104">
                  <c:v>118</c:v>
                </c:pt>
                <c:pt idx="105">
                  <c:v>119</c:v>
                </c:pt>
                <c:pt idx="106">
                  <c:v>120</c:v>
                </c:pt>
                <c:pt idx="107">
                  <c:v>121</c:v>
                </c:pt>
                <c:pt idx="108">
                  <c:v>122</c:v>
                </c:pt>
                <c:pt idx="109">
                  <c:v>123</c:v>
                </c:pt>
                <c:pt idx="110">
                  <c:v>124</c:v>
                </c:pt>
                <c:pt idx="111">
                  <c:v>125</c:v>
                </c:pt>
                <c:pt idx="112">
                  <c:v>126</c:v>
                </c:pt>
                <c:pt idx="113">
                  <c:v>127</c:v>
                </c:pt>
                <c:pt idx="114">
                  <c:v>128</c:v>
                </c:pt>
                <c:pt idx="115">
                  <c:v>129</c:v>
                </c:pt>
                <c:pt idx="116">
                  <c:v>130</c:v>
                </c:pt>
                <c:pt idx="117">
                  <c:v>131</c:v>
                </c:pt>
                <c:pt idx="118">
                  <c:v>132</c:v>
                </c:pt>
                <c:pt idx="119">
                  <c:v>133</c:v>
                </c:pt>
                <c:pt idx="120">
                  <c:v>134</c:v>
                </c:pt>
                <c:pt idx="121">
                  <c:v>135</c:v>
                </c:pt>
                <c:pt idx="122">
                  <c:v>136</c:v>
                </c:pt>
                <c:pt idx="123">
                  <c:v>137</c:v>
                </c:pt>
                <c:pt idx="124">
                  <c:v>138</c:v>
                </c:pt>
                <c:pt idx="125">
                  <c:v>139</c:v>
                </c:pt>
                <c:pt idx="126">
                  <c:v>140</c:v>
                </c:pt>
                <c:pt idx="127">
                  <c:v>141</c:v>
                </c:pt>
                <c:pt idx="128">
                  <c:v>142</c:v>
                </c:pt>
                <c:pt idx="129">
                  <c:v>143</c:v>
                </c:pt>
                <c:pt idx="130">
                  <c:v>144</c:v>
                </c:pt>
                <c:pt idx="131">
                  <c:v>145</c:v>
                </c:pt>
                <c:pt idx="132">
                  <c:v>146</c:v>
                </c:pt>
                <c:pt idx="133">
                  <c:v>147</c:v>
                </c:pt>
                <c:pt idx="134">
                  <c:v>148</c:v>
                </c:pt>
                <c:pt idx="135">
                  <c:v>149</c:v>
                </c:pt>
                <c:pt idx="136">
                  <c:v>150</c:v>
                </c:pt>
                <c:pt idx="137">
                  <c:v>151</c:v>
                </c:pt>
                <c:pt idx="138">
                  <c:v>152</c:v>
                </c:pt>
                <c:pt idx="139">
                  <c:v>153</c:v>
                </c:pt>
                <c:pt idx="140">
                  <c:v>154</c:v>
                </c:pt>
                <c:pt idx="141">
                  <c:v>155</c:v>
                </c:pt>
                <c:pt idx="142">
                  <c:v>156</c:v>
                </c:pt>
                <c:pt idx="143">
                  <c:v>157</c:v>
                </c:pt>
                <c:pt idx="144">
                  <c:v>158</c:v>
                </c:pt>
                <c:pt idx="145">
                  <c:v>159</c:v>
                </c:pt>
                <c:pt idx="146">
                  <c:v>160</c:v>
                </c:pt>
                <c:pt idx="147">
                  <c:v>161</c:v>
                </c:pt>
                <c:pt idx="148">
                  <c:v>162</c:v>
                </c:pt>
                <c:pt idx="149">
                  <c:v>163</c:v>
                </c:pt>
                <c:pt idx="150">
                  <c:v>164</c:v>
                </c:pt>
                <c:pt idx="151">
                  <c:v>165</c:v>
                </c:pt>
                <c:pt idx="152">
                  <c:v>166</c:v>
                </c:pt>
                <c:pt idx="153">
                  <c:v>167</c:v>
                </c:pt>
                <c:pt idx="154">
                  <c:v>168</c:v>
                </c:pt>
                <c:pt idx="155">
                  <c:v>169</c:v>
                </c:pt>
                <c:pt idx="156">
                  <c:v>170</c:v>
                </c:pt>
                <c:pt idx="157">
                  <c:v>171</c:v>
                </c:pt>
                <c:pt idx="158">
                  <c:v>172</c:v>
                </c:pt>
                <c:pt idx="159">
                  <c:v>173</c:v>
                </c:pt>
                <c:pt idx="160">
                  <c:v>174</c:v>
                </c:pt>
                <c:pt idx="161">
                  <c:v>175</c:v>
                </c:pt>
                <c:pt idx="162">
                  <c:v>176</c:v>
                </c:pt>
                <c:pt idx="163">
                  <c:v>177</c:v>
                </c:pt>
                <c:pt idx="164">
                  <c:v>178</c:v>
                </c:pt>
                <c:pt idx="165">
                  <c:v>179</c:v>
                </c:pt>
                <c:pt idx="166">
                  <c:v>180</c:v>
                </c:pt>
                <c:pt idx="167">
                  <c:v>0</c:v>
                </c:pt>
                <c:pt idx="168">
                  <c:v>1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5</c:v>
                </c:pt>
                <c:pt idx="173">
                  <c:v>6</c:v>
                </c:pt>
                <c:pt idx="174">
                  <c:v>7</c:v>
                </c:pt>
                <c:pt idx="175">
                  <c:v>8</c:v>
                </c:pt>
                <c:pt idx="176">
                  <c:v>9</c:v>
                </c:pt>
                <c:pt idx="177">
                  <c:v>10</c:v>
                </c:pt>
                <c:pt idx="178">
                  <c:v>11</c:v>
                </c:pt>
                <c:pt idx="179">
                  <c:v>12</c:v>
                </c:pt>
                <c:pt idx="180">
                  <c:v>13</c:v>
                </c:pt>
                <c:pt idx="181">
                  <c:v>14</c:v>
                </c:pt>
                <c:pt idx="182">
                  <c:v>15</c:v>
                </c:pt>
                <c:pt idx="183">
                  <c:v>16</c:v>
                </c:pt>
                <c:pt idx="184">
                  <c:v>17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21</c:v>
                </c:pt>
                <c:pt idx="189">
                  <c:v>22</c:v>
                </c:pt>
                <c:pt idx="190">
                  <c:v>23</c:v>
                </c:pt>
                <c:pt idx="191">
                  <c:v>24</c:v>
                </c:pt>
                <c:pt idx="192">
                  <c:v>25</c:v>
                </c:pt>
                <c:pt idx="193">
                  <c:v>26</c:v>
                </c:pt>
                <c:pt idx="194">
                  <c:v>27</c:v>
                </c:pt>
                <c:pt idx="195">
                  <c:v>28</c:v>
                </c:pt>
                <c:pt idx="196">
                  <c:v>29</c:v>
                </c:pt>
                <c:pt idx="197">
                  <c:v>30</c:v>
                </c:pt>
                <c:pt idx="198">
                  <c:v>31</c:v>
                </c:pt>
                <c:pt idx="199">
                  <c:v>32</c:v>
                </c:pt>
                <c:pt idx="200">
                  <c:v>33</c:v>
                </c:pt>
                <c:pt idx="201">
                  <c:v>34</c:v>
                </c:pt>
                <c:pt idx="202">
                  <c:v>35</c:v>
                </c:pt>
                <c:pt idx="203">
                  <c:v>36</c:v>
                </c:pt>
                <c:pt idx="204">
                  <c:v>37</c:v>
                </c:pt>
                <c:pt idx="205">
                  <c:v>38</c:v>
                </c:pt>
                <c:pt idx="206">
                  <c:v>39</c:v>
                </c:pt>
                <c:pt idx="207">
                  <c:v>40</c:v>
                </c:pt>
                <c:pt idx="208">
                  <c:v>41</c:v>
                </c:pt>
                <c:pt idx="209">
                  <c:v>42</c:v>
                </c:pt>
                <c:pt idx="210">
                  <c:v>43</c:v>
                </c:pt>
                <c:pt idx="211">
                  <c:v>44</c:v>
                </c:pt>
                <c:pt idx="212">
                  <c:v>45</c:v>
                </c:pt>
                <c:pt idx="213">
                  <c:v>46</c:v>
                </c:pt>
                <c:pt idx="214">
                  <c:v>47</c:v>
                </c:pt>
                <c:pt idx="215">
                  <c:v>48</c:v>
                </c:pt>
                <c:pt idx="216">
                  <c:v>49</c:v>
                </c:pt>
                <c:pt idx="217">
                  <c:v>50</c:v>
                </c:pt>
                <c:pt idx="218">
                  <c:v>51</c:v>
                </c:pt>
                <c:pt idx="219">
                  <c:v>52</c:v>
                </c:pt>
                <c:pt idx="220">
                  <c:v>53</c:v>
                </c:pt>
                <c:pt idx="221">
                  <c:v>54</c:v>
                </c:pt>
                <c:pt idx="222">
                  <c:v>55</c:v>
                </c:pt>
                <c:pt idx="223">
                  <c:v>56</c:v>
                </c:pt>
                <c:pt idx="224">
                  <c:v>57</c:v>
                </c:pt>
                <c:pt idx="225">
                  <c:v>58</c:v>
                </c:pt>
                <c:pt idx="226">
                  <c:v>59</c:v>
                </c:pt>
                <c:pt idx="227">
                  <c:v>60</c:v>
                </c:pt>
                <c:pt idx="228">
                  <c:v>61</c:v>
                </c:pt>
                <c:pt idx="229">
                  <c:v>62</c:v>
                </c:pt>
                <c:pt idx="230">
                  <c:v>63</c:v>
                </c:pt>
                <c:pt idx="231">
                  <c:v>64</c:v>
                </c:pt>
                <c:pt idx="232">
                  <c:v>65</c:v>
                </c:pt>
                <c:pt idx="233">
                  <c:v>66</c:v>
                </c:pt>
                <c:pt idx="234">
                  <c:v>67</c:v>
                </c:pt>
                <c:pt idx="235">
                  <c:v>68</c:v>
                </c:pt>
                <c:pt idx="236">
                  <c:v>69</c:v>
                </c:pt>
                <c:pt idx="237">
                  <c:v>70</c:v>
                </c:pt>
                <c:pt idx="238">
                  <c:v>71</c:v>
                </c:pt>
                <c:pt idx="239">
                  <c:v>72</c:v>
                </c:pt>
                <c:pt idx="240">
                  <c:v>73</c:v>
                </c:pt>
                <c:pt idx="241">
                  <c:v>74</c:v>
                </c:pt>
                <c:pt idx="242">
                  <c:v>75</c:v>
                </c:pt>
                <c:pt idx="243">
                  <c:v>76</c:v>
                </c:pt>
                <c:pt idx="244">
                  <c:v>77</c:v>
                </c:pt>
                <c:pt idx="245">
                  <c:v>78</c:v>
                </c:pt>
                <c:pt idx="246">
                  <c:v>79</c:v>
                </c:pt>
                <c:pt idx="247">
                  <c:v>80</c:v>
                </c:pt>
                <c:pt idx="248">
                  <c:v>81</c:v>
                </c:pt>
                <c:pt idx="249">
                  <c:v>82</c:v>
                </c:pt>
                <c:pt idx="250">
                  <c:v>83</c:v>
                </c:pt>
                <c:pt idx="251">
                  <c:v>84</c:v>
                </c:pt>
                <c:pt idx="252">
                  <c:v>85</c:v>
                </c:pt>
                <c:pt idx="253">
                  <c:v>86</c:v>
                </c:pt>
                <c:pt idx="254">
                  <c:v>87</c:v>
                </c:pt>
                <c:pt idx="255">
                  <c:v>88</c:v>
                </c:pt>
                <c:pt idx="256">
                  <c:v>89</c:v>
                </c:pt>
                <c:pt idx="257">
                  <c:v>90</c:v>
                </c:pt>
                <c:pt idx="258">
                  <c:v>91</c:v>
                </c:pt>
                <c:pt idx="259">
                  <c:v>92</c:v>
                </c:pt>
                <c:pt idx="260">
                  <c:v>93</c:v>
                </c:pt>
                <c:pt idx="261">
                  <c:v>94</c:v>
                </c:pt>
                <c:pt idx="262">
                  <c:v>95</c:v>
                </c:pt>
                <c:pt idx="263">
                  <c:v>96</c:v>
                </c:pt>
                <c:pt idx="264">
                  <c:v>97</c:v>
                </c:pt>
                <c:pt idx="265">
                  <c:v>98</c:v>
                </c:pt>
                <c:pt idx="266">
                  <c:v>99</c:v>
                </c:pt>
                <c:pt idx="267">
                  <c:v>100</c:v>
                </c:pt>
                <c:pt idx="268">
                  <c:v>101</c:v>
                </c:pt>
                <c:pt idx="269">
                  <c:v>102</c:v>
                </c:pt>
                <c:pt idx="270">
                  <c:v>103</c:v>
                </c:pt>
                <c:pt idx="271">
                  <c:v>104</c:v>
                </c:pt>
                <c:pt idx="272">
                  <c:v>105</c:v>
                </c:pt>
                <c:pt idx="273">
                  <c:v>106</c:v>
                </c:pt>
                <c:pt idx="274">
                  <c:v>107</c:v>
                </c:pt>
                <c:pt idx="275">
                  <c:v>108</c:v>
                </c:pt>
                <c:pt idx="276">
                  <c:v>109</c:v>
                </c:pt>
                <c:pt idx="277">
                  <c:v>110</c:v>
                </c:pt>
                <c:pt idx="278">
                  <c:v>111</c:v>
                </c:pt>
                <c:pt idx="279">
                  <c:v>112</c:v>
                </c:pt>
                <c:pt idx="280">
                  <c:v>113</c:v>
                </c:pt>
                <c:pt idx="281">
                  <c:v>114</c:v>
                </c:pt>
                <c:pt idx="282">
                  <c:v>115</c:v>
                </c:pt>
                <c:pt idx="283">
                  <c:v>116</c:v>
                </c:pt>
                <c:pt idx="284">
                  <c:v>117</c:v>
                </c:pt>
                <c:pt idx="285">
                  <c:v>118</c:v>
                </c:pt>
                <c:pt idx="286">
                  <c:v>119</c:v>
                </c:pt>
                <c:pt idx="287">
                  <c:v>120</c:v>
                </c:pt>
                <c:pt idx="288">
                  <c:v>121</c:v>
                </c:pt>
                <c:pt idx="289">
                  <c:v>122</c:v>
                </c:pt>
                <c:pt idx="290">
                  <c:v>123</c:v>
                </c:pt>
                <c:pt idx="291">
                  <c:v>124</c:v>
                </c:pt>
                <c:pt idx="292">
                  <c:v>125</c:v>
                </c:pt>
                <c:pt idx="293">
                  <c:v>126</c:v>
                </c:pt>
                <c:pt idx="294">
                  <c:v>127</c:v>
                </c:pt>
                <c:pt idx="295">
                  <c:v>128</c:v>
                </c:pt>
                <c:pt idx="296">
                  <c:v>129</c:v>
                </c:pt>
                <c:pt idx="297">
                  <c:v>130</c:v>
                </c:pt>
                <c:pt idx="298">
                  <c:v>131</c:v>
                </c:pt>
                <c:pt idx="299">
                  <c:v>132</c:v>
                </c:pt>
                <c:pt idx="300">
                  <c:v>133</c:v>
                </c:pt>
                <c:pt idx="301">
                  <c:v>134</c:v>
                </c:pt>
                <c:pt idx="302">
                  <c:v>135</c:v>
                </c:pt>
                <c:pt idx="303">
                  <c:v>136</c:v>
                </c:pt>
                <c:pt idx="304">
                  <c:v>137</c:v>
                </c:pt>
                <c:pt idx="305">
                  <c:v>138</c:v>
                </c:pt>
                <c:pt idx="306">
                  <c:v>139</c:v>
                </c:pt>
                <c:pt idx="307">
                  <c:v>140</c:v>
                </c:pt>
                <c:pt idx="308">
                  <c:v>141</c:v>
                </c:pt>
                <c:pt idx="309">
                  <c:v>142</c:v>
                </c:pt>
                <c:pt idx="310">
                  <c:v>143</c:v>
                </c:pt>
                <c:pt idx="311">
                  <c:v>144</c:v>
                </c:pt>
                <c:pt idx="312">
                  <c:v>145</c:v>
                </c:pt>
                <c:pt idx="313">
                  <c:v>146</c:v>
                </c:pt>
                <c:pt idx="314">
                  <c:v>147</c:v>
                </c:pt>
                <c:pt idx="315">
                  <c:v>148</c:v>
                </c:pt>
                <c:pt idx="316">
                  <c:v>149</c:v>
                </c:pt>
                <c:pt idx="317">
                  <c:v>150</c:v>
                </c:pt>
                <c:pt idx="318">
                  <c:v>151</c:v>
                </c:pt>
                <c:pt idx="319">
                  <c:v>152</c:v>
                </c:pt>
                <c:pt idx="320">
                  <c:v>153</c:v>
                </c:pt>
                <c:pt idx="321">
                  <c:v>154</c:v>
                </c:pt>
                <c:pt idx="322">
                  <c:v>155</c:v>
                </c:pt>
                <c:pt idx="323">
                  <c:v>156</c:v>
                </c:pt>
                <c:pt idx="324">
                  <c:v>157</c:v>
                </c:pt>
                <c:pt idx="325">
                  <c:v>158</c:v>
                </c:pt>
                <c:pt idx="326">
                  <c:v>159</c:v>
                </c:pt>
                <c:pt idx="327">
                  <c:v>160</c:v>
                </c:pt>
                <c:pt idx="328">
                  <c:v>161</c:v>
                </c:pt>
                <c:pt idx="329">
                  <c:v>162</c:v>
                </c:pt>
                <c:pt idx="330">
                  <c:v>163</c:v>
                </c:pt>
                <c:pt idx="331">
                  <c:v>164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  <c:pt idx="335">
                  <c:v>168</c:v>
                </c:pt>
                <c:pt idx="336">
                  <c:v>169</c:v>
                </c:pt>
                <c:pt idx="337">
                  <c:v>170</c:v>
                </c:pt>
                <c:pt idx="338">
                  <c:v>171</c:v>
                </c:pt>
                <c:pt idx="339">
                  <c:v>172</c:v>
                </c:pt>
                <c:pt idx="340">
                  <c:v>173</c:v>
                </c:pt>
                <c:pt idx="341">
                  <c:v>174</c:v>
                </c:pt>
                <c:pt idx="342">
                  <c:v>175</c:v>
                </c:pt>
                <c:pt idx="343">
                  <c:v>176</c:v>
                </c:pt>
                <c:pt idx="344">
                  <c:v>177</c:v>
                </c:pt>
                <c:pt idx="345">
                  <c:v>178</c:v>
                </c:pt>
                <c:pt idx="346">
                  <c:v>179</c:v>
                </c:pt>
                <c:pt idx="347">
                  <c:v>180</c:v>
                </c:pt>
                <c:pt idx="348">
                  <c:v>0</c:v>
                </c:pt>
                <c:pt idx="349">
                  <c:v>1</c:v>
                </c:pt>
                <c:pt idx="350">
                  <c:v>2</c:v>
                </c:pt>
                <c:pt idx="351">
                  <c:v>3</c:v>
                </c:pt>
                <c:pt idx="352">
                  <c:v>4</c:v>
                </c:pt>
                <c:pt idx="353">
                  <c:v>5</c:v>
                </c:pt>
                <c:pt idx="354">
                  <c:v>6</c:v>
                </c:pt>
                <c:pt idx="355">
                  <c:v>7</c:v>
                </c:pt>
                <c:pt idx="356">
                  <c:v>8</c:v>
                </c:pt>
                <c:pt idx="357">
                  <c:v>9</c:v>
                </c:pt>
                <c:pt idx="358">
                  <c:v>10</c:v>
                </c:pt>
                <c:pt idx="359">
                  <c:v>11</c:v>
                </c:pt>
                <c:pt idx="360">
                  <c:v>12</c:v>
                </c:pt>
                <c:pt idx="361">
                  <c:v>13</c:v>
                </c:pt>
              </c:numCache>
            </c:numRef>
          </c:xVal>
          <c:yVal>
            <c:numRef>
              <c:f>'Fe36Cr Max + MD'!$H$286:$H$647</c:f>
              <c:numCache>
                <c:formatCode>General</c:formatCode>
                <c:ptCount val="362"/>
                <c:pt idx="0">
                  <c:v>0.78127286027798271</c:v>
                </c:pt>
                <c:pt idx="1">
                  <c:v>0.7784256559766789</c:v>
                </c:pt>
                <c:pt idx="2">
                  <c:v>0.77503628447024853</c:v>
                </c:pt>
                <c:pt idx="3">
                  <c:v>0.77167630057803682</c:v>
                </c:pt>
                <c:pt idx="4">
                  <c:v>0.76889848812095141</c:v>
                </c:pt>
                <c:pt idx="5">
                  <c:v>0.76559139784946262</c:v>
                </c:pt>
                <c:pt idx="6">
                  <c:v>0.7628571428571439</c:v>
                </c:pt>
                <c:pt idx="7">
                  <c:v>0.75960170697012974</c:v>
                </c:pt>
                <c:pt idx="8">
                  <c:v>0.7569099929128299</c:v>
                </c:pt>
                <c:pt idx="9">
                  <c:v>0.75423728813559465</c:v>
                </c:pt>
                <c:pt idx="10">
                  <c:v>0.75211267605634025</c:v>
                </c:pt>
                <c:pt idx="11">
                  <c:v>0.7494736842105264</c:v>
                </c:pt>
                <c:pt idx="12">
                  <c:v>0.74737578726382192</c:v>
                </c:pt>
                <c:pt idx="13">
                  <c:v>0.74528960223307739</c:v>
                </c:pt>
                <c:pt idx="14">
                  <c:v>0.74373259052924923</c:v>
                </c:pt>
                <c:pt idx="15">
                  <c:v>0.74218207088255916</c:v>
                </c:pt>
                <c:pt idx="16">
                  <c:v>0.74063800277392688</c:v>
                </c:pt>
                <c:pt idx="17">
                  <c:v>0.7396121883656519</c:v>
                </c:pt>
                <c:pt idx="18">
                  <c:v>0.73858921161825697</c:v>
                </c:pt>
                <c:pt idx="19">
                  <c:v>0.73756906077348028</c:v>
                </c:pt>
                <c:pt idx="20">
                  <c:v>0.73706004140786918</c:v>
                </c:pt>
                <c:pt idx="21">
                  <c:v>0.73706004140786918</c:v>
                </c:pt>
                <c:pt idx="22">
                  <c:v>0.73706004140786918</c:v>
                </c:pt>
                <c:pt idx="23">
                  <c:v>0.73706004140786918</c:v>
                </c:pt>
                <c:pt idx="24">
                  <c:v>0.73756906077348028</c:v>
                </c:pt>
                <c:pt idx="25">
                  <c:v>0.7380787836903957</c:v>
                </c:pt>
                <c:pt idx="26">
                  <c:v>0.73858921161825697</c:v>
                </c:pt>
                <c:pt idx="27">
                  <c:v>0.7396121883656519</c:v>
                </c:pt>
                <c:pt idx="28">
                  <c:v>0.74115197779319963</c:v>
                </c:pt>
                <c:pt idx="29">
                  <c:v>0.74269819193324182</c:v>
                </c:pt>
                <c:pt idx="30">
                  <c:v>0.74425087108013965</c:v>
                </c:pt>
                <c:pt idx="31">
                  <c:v>0.74581005586592275</c:v>
                </c:pt>
                <c:pt idx="32">
                  <c:v>0.74789915966386566</c:v>
                </c:pt>
                <c:pt idx="33">
                  <c:v>0.75000000000000233</c:v>
                </c:pt>
                <c:pt idx="34">
                  <c:v>0.75264270613108053</c:v>
                </c:pt>
                <c:pt idx="35">
                  <c:v>0.75477031802120309</c:v>
                </c:pt>
                <c:pt idx="36">
                  <c:v>0.75744680851063961</c:v>
                </c:pt>
                <c:pt idx="37">
                  <c:v>0.76068376068376087</c:v>
                </c:pt>
                <c:pt idx="38">
                  <c:v>0.76340243030736399</c:v>
                </c:pt>
                <c:pt idx="39">
                  <c:v>0.76614060258249617</c:v>
                </c:pt>
                <c:pt idx="40">
                  <c:v>0.76945244956772563</c:v>
                </c:pt>
                <c:pt idx="41">
                  <c:v>0.77279305354558625</c:v>
                </c:pt>
                <c:pt idx="42">
                  <c:v>0.77559912854030666</c:v>
                </c:pt>
                <c:pt idx="43">
                  <c:v>0.77899343544858002</c:v>
                </c:pt>
                <c:pt idx="44">
                  <c:v>0.78184480234260589</c:v>
                </c:pt>
                <c:pt idx="45">
                  <c:v>0.78529411764706114</c:v>
                </c:pt>
                <c:pt idx="46">
                  <c:v>0.7881918819188195</c:v>
                </c:pt>
                <c:pt idx="47">
                  <c:v>0.79111111111111132</c:v>
                </c:pt>
                <c:pt idx="48">
                  <c:v>0.79405204460966783</c:v>
                </c:pt>
                <c:pt idx="49">
                  <c:v>0.79642058165548235</c:v>
                </c:pt>
                <c:pt idx="50">
                  <c:v>0.79880329094988933</c:v>
                </c:pt>
                <c:pt idx="51">
                  <c:v>0.80059970014992643</c:v>
                </c:pt>
                <c:pt idx="52">
                  <c:v>0.8018018018018036</c:v>
                </c:pt>
                <c:pt idx="53">
                  <c:v>0.80300751879699317</c:v>
                </c:pt>
                <c:pt idx="54">
                  <c:v>0.80361173814898679</c:v>
                </c:pt>
                <c:pt idx="55">
                  <c:v>0.80361173814898679</c:v>
                </c:pt>
                <c:pt idx="56">
                  <c:v>0.80300751879699317</c:v>
                </c:pt>
                <c:pt idx="57">
                  <c:v>0.8018018018018036</c:v>
                </c:pt>
                <c:pt idx="58">
                  <c:v>0.80000000000000182</c:v>
                </c:pt>
                <c:pt idx="59">
                  <c:v>0.79761015683345993</c:v>
                </c:pt>
                <c:pt idx="60">
                  <c:v>0.79464285714285932</c:v>
                </c:pt>
                <c:pt idx="61">
                  <c:v>0.79169755374351347</c:v>
                </c:pt>
                <c:pt idx="62">
                  <c:v>0.78877400295421074</c:v>
                </c:pt>
                <c:pt idx="63">
                  <c:v>0.78529411764706114</c:v>
                </c:pt>
                <c:pt idx="64">
                  <c:v>0.78184480234260589</c:v>
                </c:pt>
                <c:pt idx="65">
                  <c:v>0.77785870356882947</c:v>
                </c:pt>
                <c:pt idx="66">
                  <c:v>0.77447425670776093</c:v>
                </c:pt>
                <c:pt idx="67">
                  <c:v>0.77111913357400885</c:v>
                </c:pt>
                <c:pt idx="68">
                  <c:v>0.76779295470884512</c:v>
                </c:pt>
                <c:pt idx="69">
                  <c:v>0.76504297994269588</c:v>
                </c:pt>
                <c:pt idx="91">
                  <c:v>0.76834532374100784</c:v>
                </c:pt>
                <c:pt idx="92">
                  <c:v>0.77167630057803682</c:v>
                </c:pt>
                <c:pt idx="93">
                  <c:v>0.77503628447024853</c:v>
                </c:pt>
                <c:pt idx="94">
                  <c:v>0.77899343544858002</c:v>
                </c:pt>
                <c:pt idx="95">
                  <c:v>0.78299120234604136</c:v>
                </c:pt>
                <c:pt idx="96">
                  <c:v>0.78703021370670723</c:v>
                </c:pt>
                <c:pt idx="97">
                  <c:v>0.79111111111111132</c:v>
                </c:pt>
                <c:pt idx="98">
                  <c:v>0.79464285714285932</c:v>
                </c:pt>
                <c:pt idx="99">
                  <c:v>0.79880329094988933</c:v>
                </c:pt>
                <c:pt idx="100">
                  <c:v>0.80300751879699317</c:v>
                </c:pt>
                <c:pt idx="101">
                  <c:v>0.80664652567975814</c:v>
                </c:pt>
                <c:pt idx="102">
                  <c:v>0.8103186646433993</c:v>
                </c:pt>
                <c:pt idx="103">
                  <c:v>0.81402439024390405</c:v>
                </c:pt>
                <c:pt idx="104">
                  <c:v>0.81713848508033726</c:v>
                </c:pt>
                <c:pt idx="105">
                  <c:v>0.82027649769585276</c:v>
                </c:pt>
                <c:pt idx="106">
                  <c:v>0.82280431432973777</c:v>
                </c:pt>
                <c:pt idx="107">
                  <c:v>0.82534775888717349</c:v>
                </c:pt>
                <c:pt idx="108">
                  <c:v>0.82726568551510526</c:v>
                </c:pt>
                <c:pt idx="109">
                  <c:v>0.82854926299457199</c:v>
                </c:pt>
                <c:pt idx="110">
                  <c:v>0.82983682983683116</c:v>
                </c:pt>
                <c:pt idx="111">
                  <c:v>0.83048211508553837</c:v>
                </c:pt>
                <c:pt idx="112">
                  <c:v>0.83048211508553837</c:v>
                </c:pt>
                <c:pt idx="113">
                  <c:v>0.82983682983683116</c:v>
                </c:pt>
                <c:pt idx="114">
                  <c:v>0.82919254658385322</c:v>
                </c:pt>
                <c:pt idx="115">
                  <c:v>0.82726568551510526</c:v>
                </c:pt>
                <c:pt idx="116">
                  <c:v>0.82598607888631115</c:v>
                </c:pt>
                <c:pt idx="117">
                  <c:v>0.82343870470316149</c:v>
                </c:pt>
                <c:pt idx="118">
                  <c:v>0.82090699461952399</c:v>
                </c:pt>
                <c:pt idx="119">
                  <c:v>0.81839080459770197</c:v>
                </c:pt>
                <c:pt idx="120">
                  <c:v>0.81526717557252026</c:v>
                </c:pt>
                <c:pt idx="121">
                  <c:v>0.81216730038023077</c:v>
                </c:pt>
                <c:pt idx="122">
                  <c:v>0.8084784254352787</c:v>
                </c:pt>
                <c:pt idx="123">
                  <c:v>0.80542986425339524</c:v>
                </c:pt>
                <c:pt idx="124">
                  <c:v>0.8018018018018036</c:v>
                </c:pt>
                <c:pt idx="125">
                  <c:v>0.79820627802690836</c:v>
                </c:pt>
                <c:pt idx="126">
                  <c:v>0.79405204460966783</c:v>
                </c:pt>
                <c:pt idx="127">
                  <c:v>0.79052553663952618</c:v>
                </c:pt>
                <c:pt idx="128">
                  <c:v>0.78703021370670723</c:v>
                </c:pt>
                <c:pt idx="129">
                  <c:v>0.78356566397652383</c:v>
                </c:pt>
                <c:pt idx="130">
                  <c:v>0.78013148283418565</c:v>
                </c:pt>
                <c:pt idx="131">
                  <c:v>0.77672727272727515</c:v>
                </c:pt>
                <c:pt idx="132">
                  <c:v>0.77335264301231232</c:v>
                </c:pt>
                <c:pt idx="133">
                  <c:v>0.77000720980533577</c:v>
                </c:pt>
                <c:pt idx="134">
                  <c:v>0.76724137931034464</c:v>
                </c:pt>
                <c:pt idx="135">
                  <c:v>0.76449534717251344</c:v>
                </c:pt>
                <c:pt idx="136">
                  <c:v>0.76231263383297709</c:v>
                </c:pt>
                <c:pt idx="137">
                  <c:v>0.76014234875445086</c:v>
                </c:pt>
                <c:pt idx="138">
                  <c:v>0.7579843860894262</c:v>
                </c:pt>
                <c:pt idx="139">
                  <c:v>0.75583864118896182</c:v>
                </c:pt>
                <c:pt idx="140">
                  <c:v>0.75477031802120309</c:v>
                </c:pt>
                <c:pt idx="141">
                  <c:v>0.75317348377997217</c:v>
                </c:pt>
                <c:pt idx="142">
                  <c:v>0.75211267605634025</c:v>
                </c:pt>
                <c:pt idx="143">
                  <c:v>0.75158339197748225</c:v>
                </c:pt>
                <c:pt idx="144">
                  <c:v>0.75105485232067737</c:v>
                </c:pt>
                <c:pt idx="145">
                  <c:v>0.75105485232067737</c:v>
                </c:pt>
                <c:pt idx="146">
                  <c:v>0.75105485232067737</c:v>
                </c:pt>
                <c:pt idx="147">
                  <c:v>0.75158339197748225</c:v>
                </c:pt>
                <c:pt idx="148">
                  <c:v>0.75211267605634025</c:v>
                </c:pt>
                <c:pt idx="149">
                  <c:v>0.75317348377997217</c:v>
                </c:pt>
                <c:pt idx="150">
                  <c:v>0.75423728813559465</c:v>
                </c:pt>
                <c:pt idx="151">
                  <c:v>0.75583864118896182</c:v>
                </c:pt>
                <c:pt idx="152">
                  <c:v>0.7579843860894262</c:v>
                </c:pt>
                <c:pt idx="153">
                  <c:v>0.75960170697012974</c:v>
                </c:pt>
                <c:pt idx="154">
                  <c:v>0.76231263383297709</c:v>
                </c:pt>
                <c:pt idx="155">
                  <c:v>0.76449534717251344</c:v>
                </c:pt>
                <c:pt idx="156">
                  <c:v>0.76724137931034464</c:v>
                </c:pt>
                <c:pt idx="157">
                  <c:v>0.77000720980533577</c:v>
                </c:pt>
                <c:pt idx="158">
                  <c:v>0.77335264301231232</c:v>
                </c:pt>
                <c:pt idx="159">
                  <c:v>0.77616279069767524</c:v>
                </c:pt>
                <c:pt idx="160">
                  <c:v>0.77956204379562288</c:v>
                </c:pt>
                <c:pt idx="161">
                  <c:v>0.78299120234604136</c:v>
                </c:pt>
                <c:pt idx="162">
                  <c:v>0.78587196467991283</c:v>
                </c:pt>
                <c:pt idx="163">
                  <c:v>0.78935698447893543</c:v>
                </c:pt>
                <c:pt idx="164">
                  <c:v>0.79228486646884499</c:v>
                </c:pt>
                <c:pt idx="165">
                  <c:v>0.79523454951600892</c:v>
                </c:pt>
                <c:pt idx="166">
                  <c:v>0.79761015683345993</c:v>
                </c:pt>
                <c:pt idx="251">
                  <c:v>0.91910499139414792</c:v>
                </c:pt>
                <c:pt idx="252">
                  <c:v>0.92307692307692379</c:v>
                </c:pt>
                <c:pt idx="253">
                  <c:v>0.92708333333333315</c:v>
                </c:pt>
                <c:pt idx="254">
                  <c:v>0.93031358885017612</c:v>
                </c:pt>
                <c:pt idx="255">
                  <c:v>0.93438320209973824</c:v>
                </c:pt>
                <c:pt idx="256">
                  <c:v>0.93848857644991235</c:v>
                </c:pt>
                <c:pt idx="257">
                  <c:v>0.94263018534863174</c:v>
                </c:pt>
                <c:pt idx="258">
                  <c:v>0.94680851063829796</c:v>
                </c:pt>
                <c:pt idx="259">
                  <c:v>0.95102404274265562</c:v>
                </c:pt>
                <c:pt idx="260">
                  <c:v>0.9552772808586788</c:v>
                </c:pt>
                <c:pt idx="261">
                  <c:v>0.95956873315363866</c:v>
                </c:pt>
                <c:pt idx="262">
                  <c:v>0.96389891696751018</c:v>
                </c:pt>
                <c:pt idx="263">
                  <c:v>0.96826835902085417</c:v>
                </c:pt>
                <c:pt idx="264">
                  <c:v>0.97179253867152138</c:v>
                </c:pt>
                <c:pt idx="265">
                  <c:v>0.97623400365630841</c:v>
                </c:pt>
                <c:pt idx="266">
                  <c:v>0.97981651376147028</c:v>
                </c:pt>
                <c:pt idx="267">
                  <c:v>0.98342541436464137</c:v>
                </c:pt>
                <c:pt idx="268">
                  <c:v>0.98706099815157278</c:v>
                </c:pt>
                <c:pt idx="269">
                  <c:v>0.98980537534754554</c:v>
                </c:pt>
                <c:pt idx="270">
                  <c:v>0.99256505576208331</c:v>
                </c:pt>
                <c:pt idx="271">
                  <c:v>0.99441340782123122</c:v>
                </c:pt>
                <c:pt idx="272">
                  <c:v>0.99626865671641973</c:v>
                </c:pt>
                <c:pt idx="273">
                  <c:v>0.99813084112149741</c:v>
                </c:pt>
                <c:pt idx="274">
                  <c:v>0.999064546304958</c:v>
                </c:pt>
                <c:pt idx="27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BE-0049-AABC-CDC0D65240A5}"/>
            </c:ext>
          </c:extLst>
        </c:ser>
        <c:ser>
          <c:idx val="5"/>
          <c:order val="3"/>
          <c:tx>
            <c:strRef>
              <c:f>'Fe36Cr Max + MD'!$A$648</c:f>
              <c:strCache>
                <c:ptCount val="1"/>
                <c:pt idx="0">
                  <c:v>Thermally Equilibrated SAW</c:v>
                </c:pt>
              </c:strCache>
            </c:strRef>
          </c:tx>
          <c:spPr>
            <a:ln w="19050">
              <a:noFill/>
            </a:ln>
          </c:spPr>
          <c:xVal>
            <c:numRef>
              <c:f>'Fe36Cr Max + MD'!$D$648:$D$1009</c:f>
              <c:numCache>
                <c:formatCode>General</c:formatCode>
                <c:ptCount val="362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  <c:pt idx="37">
                  <c:v>51</c:v>
                </c:pt>
                <c:pt idx="38">
                  <c:v>52</c:v>
                </c:pt>
                <c:pt idx="39">
                  <c:v>53</c:v>
                </c:pt>
                <c:pt idx="40">
                  <c:v>54</c:v>
                </c:pt>
                <c:pt idx="41">
                  <c:v>55</c:v>
                </c:pt>
                <c:pt idx="42">
                  <c:v>56</c:v>
                </c:pt>
                <c:pt idx="43">
                  <c:v>57</c:v>
                </c:pt>
                <c:pt idx="44">
                  <c:v>58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62</c:v>
                </c:pt>
                <c:pt idx="49">
                  <c:v>63</c:v>
                </c:pt>
                <c:pt idx="50">
                  <c:v>64</c:v>
                </c:pt>
                <c:pt idx="51">
                  <c:v>65</c:v>
                </c:pt>
                <c:pt idx="52">
                  <c:v>66</c:v>
                </c:pt>
                <c:pt idx="53">
                  <c:v>67</c:v>
                </c:pt>
                <c:pt idx="54">
                  <c:v>68</c:v>
                </c:pt>
                <c:pt idx="55">
                  <c:v>69</c:v>
                </c:pt>
                <c:pt idx="56">
                  <c:v>70</c:v>
                </c:pt>
                <c:pt idx="57">
                  <c:v>71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88</c:v>
                </c:pt>
                <c:pt idx="75">
                  <c:v>89</c:v>
                </c:pt>
                <c:pt idx="76">
                  <c:v>90</c:v>
                </c:pt>
                <c:pt idx="77">
                  <c:v>91</c:v>
                </c:pt>
                <c:pt idx="78">
                  <c:v>92</c:v>
                </c:pt>
                <c:pt idx="79">
                  <c:v>93</c:v>
                </c:pt>
                <c:pt idx="80">
                  <c:v>94</c:v>
                </c:pt>
                <c:pt idx="81">
                  <c:v>95</c:v>
                </c:pt>
                <c:pt idx="82">
                  <c:v>96</c:v>
                </c:pt>
                <c:pt idx="83">
                  <c:v>97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108</c:v>
                </c:pt>
                <c:pt idx="95">
                  <c:v>109</c:v>
                </c:pt>
                <c:pt idx="96">
                  <c:v>110</c:v>
                </c:pt>
                <c:pt idx="97">
                  <c:v>111</c:v>
                </c:pt>
                <c:pt idx="98">
                  <c:v>112</c:v>
                </c:pt>
                <c:pt idx="99">
                  <c:v>113</c:v>
                </c:pt>
                <c:pt idx="100">
                  <c:v>114</c:v>
                </c:pt>
                <c:pt idx="101">
                  <c:v>115</c:v>
                </c:pt>
                <c:pt idx="102">
                  <c:v>116</c:v>
                </c:pt>
                <c:pt idx="103">
                  <c:v>117</c:v>
                </c:pt>
                <c:pt idx="104">
                  <c:v>118</c:v>
                </c:pt>
                <c:pt idx="105">
                  <c:v>119</c:v>
                </c:pt>
                <c:pt idx="106">
                  <c:v>120</c:v>
                </c:pt>
                <c:pt idx="107">
                  <c:v>121</c:v>
                </c:pt>
                <c:pt idx="108">
                  <c:v>122</c:v>
                </c:pt>
                <c:pt idx="109">
                  <c:v>123</c:v>
                </c:pt>
                <c:pt idx="110">
                  <c:v>124</c:v>
                </c:pt>
                <c:pt idx="111">
                  <c:v>125</c:v>
                </c:pt>
                <c:pt idx="112">
                  <c:v>126</c:v>
                </c:pt>
                <c:pt idx="113">
                  <c:v>127</c:v>
                </c:pt>
                <c:pt idx="114">
                  <c:v>128</c:v>
                </c:pt>
                <c:pt idx="115">
                  <c:v>129</c:v>
                </c:pt>
                <c:pt idx="116">
                  <c:v>130</c:v>
                </c:pt>
                <c:pt idx="117">
                  <c:v>131</c:v>
                </c:pt>
                <c:pt idx="118">
                  <c:v>132</c:v>
                </c:pt>
                <c:pt idx="119">
                  <c:v>133</c:v>
                </c:pt>
                <c:pt idx="120">
                  <c:v>134</c:v>
                </c:pt>
                <c:pt idx="121">
                  <c:v>135</c:v>
                </c:pt>
                <c:pt idx="122">
                  <c:v>136</c:v>
                </c:pt>
                <c:pt idx="123">
                  <c:v>137</c:v>
                </c:pt>
                <c:pt idx="124">
                  <c:v>138</c:v>
                </c:pt>
                <c:pt idx="125">
                  <c:v>139</c:v>
                </c:pt>
                <c:pt idx="126">
                  <c:v>140</c:v>
                </c:pt>
                <c:pt idx="127">
                  <c:v>141</c:v>
                </c:pt>
                <c:pt idx="128">
                  <c:v>142</c:v>
                </c:pt>
                <c:pt idx="129">
                  <c:v>143</c:v>
                </c:pt>
                <c:pt idx="130">
                  <c:v>144</c:v>
                </c:pt>
                <c:pt idx="131">
                  <c:v>145</c:v>
                </c:pt>
                <c:pt idx="132">
                  <c:v>146</c:v>
                </c:pt>
                <c:pt idx="133">
                  <c:v>147</c:v>
                </c:pt>
                <c:pt idx="134">
                  <c:v>148</c:v>
                </c:pt>
                <c:pt idx="135">
                  <c:v>149</c:v>
                </c:pt>
                <c:pt idx="136">
                  <c:v>150</c:v>
                </c:pt>
                <c:pt idx="137">
                  <c:v>151</c:v>
                </c:pt>
                <c:pt idx="138">
                  <c:v>152</c:v>
                </c:pt>
                <c:pt idx="139">
                  <c:v>153</c:v>
                </c:pt>
                <c:pt idx="140">
                  <c:v>154</c:v>
                </c:pt>
                <c:pt idx="141">
                  <c:v>155</c:v>
                </c:pt>
                <c:pt idx="142">
                  <c:v>156</c:v>
                </c:pt>
                <c:pt idx="143">
                  <c:v>157</c:v>
                </c:pt>
                <c:pt idx="144">
                  <c:v>158</c:v>
                </c:pt>
                <c:pt idx="145">
                  <c:v>159</c:v>
                </c:pt>
                <c:pt idx="146">
                  <c:v>160</c:v>
                </c:pt>
                <c:pt idx="147">
                  <c:v>161</c:v>
                </c:pt>
                <c:pt idx="148">
                  <c:v>162</c:v>
                </c:pt>
                <c:pt idx="149">
                  <c:v>163</c:v>
                </c:pt>
                <c:pt idx="150">
                  <c:v>164</c:v>
                </c:pt>
                <c:pt idx="151">
                  <c:v>165</c:v>
                </c:pt>
                <c:pt idx="152">
                  <c:v>166</c:v>
                </c:pt>
                <c:pt idx="153">
                  <c:v>167</c:v>
                </c:pt>
                <c:pt idx="154">
                  <c:v>168</c:v>
                </c:pt>
                <c:pt idx="155">
                  <c:v>169</c:v>
                </c:pt>
                <c:pt idx="156">
                  <c:v>170</c:v>
                </c:pt>
                <c:pt idx="157">
                  <c:v>171</c:v>
                </c:pt>
                <c:pt idx="158">
                  <c:v>172</c:v>
                </c:pt>
                <c:pt idx="159">
                  <c:v>173</c:v>
                </c:pt>
                <c:pt idx="160">
                  <c:v>174</c:v>
                </c:pt>
                <c:pt idx="161">
                  <c:v>175</c:v>
                </c:pt>
                <c:pt idx="162">
                  <c:v>176</c:v>
                </c:pt>
                <c:pt idx="163">
                  <c:v>177</c:v>
                </c:pt>
                <c:pt idx="164">
                  <c:v>178</c:v>
                </c:pt>
                <c:pt idx="165">
                  <c:v>179</c:v>
                </c:pt>
                <c:pt idx="166">
                  <c:v>180</c:v>
                </c:pt>
                <c:pt idx="167">
                  <c:v>0</c:v>
                </c:pt>
                <c:pt idx="168">
                  <c:v>1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5</c:v>
                </c:pt>
                <c:pt idx="173">
                  <c:v>6</c:v>
                </c:pt>
                <c:pt idx="174">
                  <c:v>7</c:v>
                </c:pt>
                <c:pt idx="175">
                  <c:v>8</c:v>
                </c:pt>
                <c:pt idx="176">
                  <c:v>9</c:v>
                </c:pt>
                <c:pt idx="177">
                  <c:v>10</c:v>
                </c:pt>
                <c:pt idx="178">
                  <c:v>11</c:v>
                </c:pt>
                <c:pt idx="179">
                  <c:v>12</c:v>
                </c:pt>
                <c:pt idx="180">
                  <c:v>13</c:v>
                </c:pt>
                <c:pt idx="181">
                  <c:v>14</c:v>
                </c:pt>
                <c:pt idx="182">
                  <c:v>15</c:v>
                </c:pt>
                <c:pt idx="183">
                  <c:v>16</c:v>
                </c:pt>
                <c:pt idx="184">
                  <c:v>17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21</c:v>
                </c:pt>
                <c:pt idx="189">
                  <c:v>22</c:v>
                </c:pt>
                <c:pt idx="190">
                  <c:v>23</c:v>
                </c:pt>
                <c:pt idx="191">
                  <c:v>24</c:v>
                </c:pt>
                <c:pt idx="192">
                  <c:v>25</c:v>
                </c:pt>
                <c:pt idx="193">
                  <c:v>26</c:v>
                </c:pt>
                <c:pt idx="194">
                  <c:v>27</c:v>
                </c:pt>
                <c:pt idx="195">
                  <c:v>28</c:v>
                </c:pt>
                <c:pt idx="196">
                  <c:v>29</c:v>
                </c:pt>
                <c:pt idx="197">
                  <c:v>30</c:v>
                </c:pt>
                <c:pt idx="198">
                  <c:v>31</c:v>
                </c:pt>
                <c:pt idx="199">
                  <c:v>32</c:v>
                </c:pt>
                <c:pt idx="200">
                  <c:v>33</c:v>
                </c:pt>
                <c:pt idx="201">
                  <c:v>34</c:v>
                </c:pt>
                <c:pt idx="202">
                  <c:v>35</c:v>
                </c:pt>
                <c:pt idx="203">
                  <c:v>36</c:v>
                </c:pt>
                <c:pt idx="204">
                  <c:v>37</c:v>
                </c:pt>
                <c:pt idx="205">
                  <c:v>38</c:v>
                </c:pt>
                <c:pt idx="206">
                  <c:v>39</c:v>
                </c:pt>
                <c:pt idx="207">
                  <c:v>40</c:v>
                </c:pt>
                <c:pt idx="208">
                  <c:v>41</c:v>
                </c:pt>
                <c:pt idx="209">
                  <c:v>42</c:v>
                </c:pt>
                <c:pt idx="210">
                  <c:v>43</c:v>
                </c:pt>
                <c:pt idx="211">
                  <c:v>44</c:v>
                </c:pt>
                <c:pt idx="212">
                  <c:v>45</c:v>
                </c:pt>
                <c:pt idx="213">
                  <c:v>46</c:v>
                </c:pt>
                <c:pt idx="214">
                  <c:v>47</c:v>
                </c:pt>
                <c:pt idx="215">
                  <c:v>48</c:v>
                </c:pt>
                <c:pt idx="216">
                  <c:v>49</c:v>
                </c:pt>
                <c:pt idx="217">
                  <c:v>50</c:v>
                </c:pt>
                <c:pt idx="218">
                  <c:v>51</c:v>
                </c:pt>
                <c:pt idx="219">
                  <c:v>52</c:v>
                </c:pt>
                <c:pt idx="220">
                  <c:v>53</c:v>
                </c:pt>
                <c:pt idx="221">
                  <c:v>54</c:v>
                </c:pt>
                <c:pt idx="222">
                  <c:v>55</c:v>
                </c:pt>
                <c:pt idx="223">
                  <c:v>56</c:v>
                </c:pt>
                <c:pt idx="224">
                  <c:v>57</c:v>
                </c:pt>
                <c:pt idx="225">
                  <c:v>58</c:v>
                </c:pt>
                <c:pt idx="226">
                  <c:v>59</c:v>
                </c:pt>
                <c:pt idx="227">
                  <c:v>60</c:v>
                </c:pt>
                <c:pt idx="228">
                  <c:v>61</c:v>
                </c:pt>
                <c:pt idx="229">
                  <c:v>62</c:v>
                </c:pt>
                <c:pt idx="230">
                  <c:v>63</c:v>
                </c:pt>
                <c:pt idx="231">
                  <c:v>64</c:v>
                </c:pt>
                <c:pt idx="232">
                  <c:v>65</c:v>
                </c:pt>
                <c:pt idx="233">
                  <c:v>66</c:v>
                </c:pt>
                <c:pt idx="234">
                  <c:v>67</c:v>
                </c:pt>
                <c:pt idx="235">
                  <c:v>68</c:v>
                </c:pt>
                <c:pt idx="236">
                  <c:v>69</c:v>
                </c:pt>
                <c:pt idx="237">
                  <c:v>70</c:v>
                </c:pt>
                <c:pt idx="238">
                  <c:v>71</c:v>
                </c:pt>
                <c:pt idx="239">
                  <c:v>72</c:v>
                </c:pt>
                <c:pt idx="240">
                  <c:v>73</c:v>
                </c:pt>
                <c:pt idx="241">
                  <c:v>74</c:v>
                </c:pt>
                <c:pt idx="242">
                  <c:v>75</c:v>
                </c:pt>
                <c:pt idx="243">
                  <c:v>76</c:v>
                </c:pt>
                <c:pt idx="244">
                  <c:v>77</c:v>
                </c:pt>
                <c:pt idx="245">
                  <c:v>78</c:v>
                </c:pt>
                <c:pt idx="246">
                  <c:v>79</c:v>
                </c:pt>
                <c:pt idx="247">
                  <c:v>80</c:v>
                </c:pt>
                <c:pt idx="248">
                  <c:v>81</c:v>
                </c:pt>
                <c:pt idx="249">
                  <c:v>82</c:v>
                </c:pt>
                <c:pt idx="250">
                  <c:v>83</c:v>
                </c:pt>
                <c:pt idx="251">
                  <c:v>84</c:v>
                </c:pt>
                <c:pt idx="252">
                  <c:v>85</c:v>
                </c:pt>
                <c:pt idx="253">
                  <c:v>86</c:v>
                </c:pt>
                <c:pt idx="254">
                  <c:v>87</c:v>
                </c:pt>
                <c:pt idx="255">
                  <c:v>88</c:v>
                </c:pt>
                <c:pt idx="256">
                  <c:v>89</c:v>
                </c:pt>
                <c:pt idx="257">
                  <c:v>90</c:v>
                </c:pt>
                <c:pt idx="258">
                  <c:v>91</c:v>
                </c:pt>
                <c:pt idx="259">
                  <c:v>92</c:v>
                </c:pt>
                <c:pt idx="260">
                  <c:v>93</c:v>
                </c:pt>
                <c:pt idx="261">
                  <c:v>94</c:v>
                </c:pt>
                <c:pt idx="262">
                  <c:v>95</c:v>
                </c:pt>
                <c:pt idx="263">
                  <c:v>96</c:v>
                </c:pt>
                <c:pt idx="264">
                  <c:v>97</c:v>
                </c:pt>
                <c:pt idx="265">
                  <c:v>98</c:v>
                </c:pt>
                <c:pt idx="266">
                  <c:v>99</c:v>
                </c:pt>
                <c:pt idx="267">
                  <c:v>100</c:v>
                </c:pt>
                <c:pt idx="268">
                  <c:v>101</c:v>
                </c:pt>
                <c:pt idx="269">
                  <c:v>102</c:v>
                </c:pt>
                <c:pt idx="270">
                  <c:v>103</c:v>
                </c:pt>
                <c:pt idx="271">
                  <c:v>104</c:v>
                </c:pt>
                <c:pt idx="272">
                  <c:v>105</c:v>
                </c:pt>
                <c:pt idx="273">
                  <c:v>106</c:v>
                </c:pt>
                <c:pt idx="274">
                  <c:v>107</c:v>
                </c:pt>
                <c:pt idx="275">
                  <c:v>108</c:v>
                </c:pt>
                <c:pt idx="276">
                  <c:v>109</c:v>
                </c:pt>
                <c:pt idx="277">
                  <c:v>110</c:v>
                </c:pt>
                <c:pt idx="278">
                  <c:v>111</c:v>
                </c:pt>
                <c:pt idx="279">
                  <c:v>112</c:v>
                </c:pt>
                <c:pt idx="280">
                  <c:v>113</c:v>
                </c:pt>
                <c:pt idx="281">
                  <c:v>114</c:v>
                </c:pt>
                <c:pt idx="282">
                  <c:v>115</c:v>
                </c:pt>
                <c:pt idx="283">
                  <c:v>116</c:v>
                </c:pt>
                <c:pt idx="284">
                  <c:v>117</c:v>
                </c:pt>
                <c:pt idx="285">
                  <c:v>118</c:v>
                </c:pt>
                <c:pt idx="286">
                  <c:v>119</c:v>
                </c:pt>
                <c:pt idx="287">
                  <c:v>120</c:v>
                </c:pt>
                <c:pt idx="288">
                  <c:v>121</c:v>
                </c:pt>
                <c:pt idx="289">
                  <c:v>122</c:v>
                </c:pt>
                <c:pt idx="290">
                  <c:v>123</c:v>
                </c:pt>
                <c:pt idx="291">
                  <c:v>124</c:v>
                </c:pt>
                <c:pt idx="292">
                  <c:v>125</c:v>
                </c:pt>
                <c:pt idx="293">
                  <c:v>126</c:v>
                </c:pt>
                <c:pt idx="294">
                  <c:v>127</c:v>
                </c:pt>
                <c:pt idx="295">
                  <c:v>128</c:v>
                </c:pt>
                <c:pt idx="296">
                  <c:v>129</c:v>
                </c:pt>
                <c:pt idx="297">
                  <c:v>130</c:v>
                </c:pt>
                <c:pt idx="298">
                  <c:v>131</c:v>
                </c:pt>
                <c:pt idx="299">
                  <c:v>132</c:v>
                </c:pt>
                <c:pt idx="300">
                  <c:v>133</c:v>
                </c:pt>
                <c:pt idx="301">
                  <c:v>134</c:v>
                </c:pt>
                <c:pt idx="302">
                  <c:v>135</c:v>
                </c:pt>
                <c:pt idx="303">
                  <c:v>136</c:v>
                </c:pt>
                <c:pt idx="304">
                  <c:v>137</c:v>
                </c:pt>
                <c:pt idx="305">
                  <c:v>138</c:v>
                </c:pt>
                <c:pt idx="306">
                  <c:v>139</c:v>
                </c:pt>
                <c:pt idx="307">
                  <c:v>140</c:v>
                </c:pt>
                <c:pt idx="308">
                  <c:v>141</c:v>
                </c:pt>
                <c:pt idx="309">
                  <c:v>142</c:v>
                </c:pt>
                <c:pt idx="310">
                  <c:v>143</c:v>
                </c:pt>
                <c:pt idx="311">
                  <c:v>144</c:v>
                </c:pt>
                <c:pt idx="312">
                  <c:v>145</c:v>
                </c:pt>
                <c:pt idx="313">
                  <c:v>146</c:v>
                </c:pt>
                <c:pt idx="314">
                  <c:v>147</c:v>
                </c:pt>
                <c:pt idx="315">
                  <c:v>148</c:v>
                </c:pt>
                <c:pt idx="316">
                  <c:v>149</c:v>
                </c:pt>
                <c:pt idx="317">
                  <c:v>150</c:v>
                </c:pt>
                <c:pt idx="318">
                  <c:v>151</c:v>
                </c:pt>
                <c:pt idx="319">
                  <c:v>152</c:v>
                </c:pt>
                <c:pt idx="320">
                  <c:v>153</c:v>
                </c:pt>
                <c:pt idx="321">
                  <c:v>154</c:v>
                </c:pt>
                <c:pt idx="322">
                  <c:v>155</c:v>
                </c:pt>
                <c:pt idx="323">
                  <c:v>156</c:v>
                </c:pt>
                <c:pt idx="324">
                  <c:v>157</c:v>
                </c:pt>
                <c:pt idx="325">
                  <c:v>158</c:v>
                </c:pt>
                <c:pt idx="326">
                  <c:v>159</c:v>
                </c:pt>
                <c:pt idx="327">
                  <c:v>160</c:v>
                </c:pt>
                <c:pt idx="328">
                  <c:v>161</c:v>
                </c:pt>
                <c:pt idx="329">
                  <c:v>162</c:v>
                </c:pt>
                <c:pt idx="330">
                  <c:v>163</c:v>
                </c:pt>
                <c:pt idx="331">
                  <c:v>164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  <c:pt idx="335">
                  <c:v>168</c:v>
                </c:pt>
                <c:pt idx="336">
                  <c:v>169</c:v>
                </c:pt>
                <c:pt idx="337">
                  <c:v>170</c:v>
                </c:pt>
                <c:pt idx="338">
                  <c:v>171</c:v>
                </c:pt>
                <c:pt idx="339">
                  <c:v>172</c:v>
                </c:pt>
                <c:pt idx="340">
                  <c:v>173</c:v>
                </c:pt>
                <c:pt idx="341">
                  <c:v>174</c:v>
                </c:pt>
                <c:pt idx="342">
                  <c:v>175</c:v>
                </c:pt>
                <c:pt idx="343">
                  <c:v>176</c:v>
                </c:pt>
                <c:pt idx="344">
                  <c:v>177</c:v>
                </c:pt>
                <c:pt idx="345">
                  <c:v>178</c:v>
                </c:pt>
                <c:pt idx="346">
                  <c:v>179</c:v>
                </c:pt>
                <c:pt idx="347">
                  <c:v>180</c:v>
                </c:pt>
                <c:pt idx="348">
                  <c:v>0</c:v>
                </c:pt>
                <c:pt idx="349">
                  <c:v>1</c:v>
                </c:pt>
                <c:pt idx="350">
                  <c:v>2</c:v>
                </c:pt>
                <c:pt idx="351">
                  <c:v>3</c:v>
                </c:pt>
                <c:pt idx="352">
                  <c:v>4</c:v>
                </c:pt>
                <c:pt idx="353">
                  <c:v>5</c:v>
                </c:pt>
                <c:pt idx="354">
                  <c:v>6</c:v>
                </c:pt>
                <c:pt idx="355">
                  <c:v>7</c:v>
                </c:pt>
                <c:pt idx="356">
                  <c:v>8</c:v>
                </c:pt>
                <c:pt idx="357">
                  <c:v>9</c:v>
                </c:pt>
                <c:pt idx="358">
                  <c:v>10</c:v>
                </c:pt>
                <c:pt idx="359">
                  <c:v>11</c:v>
                </c:pt>
                <c:pt idx="360">
                  <c:v>12</c:v>
                </c:pt>
                <c:pt idx="361">
                  <c:v>13</c:v>
                </c:pt>
              </c:numCache>
            </c:numRef>
          </c:xVal>
          <c:yVal>
            <c:numRef>
              <c:f>'Fe36Cr Max + MD'!$H$648:$H$1009</c:f>
              <c:numCache>
                <c:formatCode>General</c:formatCode>
                <c:ptCount val="362"/>
                <c:pt idx="0">
                  <c:v>0.75744680851063961</c:v>
                </c:pt>
                <c:pt idx="1">
                  <c:v>0.75423728813559465</c:v>
                </c:pt>
                <c:pt idx="2">
                  <c:v>0.75052705551651466</c:v>
                </c:pt>
                <c:pt idx="3">
                  <c:v>0.74737578726382192</c:v>
                </c:pt>
                <c:pt idx="4">
                  <c:v>0.74425087108013965</c:v>
                </c:pt>
                <c:pt idx="5">
                  <c:v>0.74063800277392688</c:v>
                </c:pt>
                <c:pt idx="6">
                  <c:v>0.73756906077348028</c:v>
                </c:pt>
                <c:pt idx="7">
                  <c:v>0.73452544704264322</c:v>
                </c:pt>
                <c:pt idx="8">
                  <c:v>0.7315068493150686</c:v>
                </c:pt>
                <c:pt idx="9">
                  <c:v>0.72851296043656255</c:v>
                </c:pt>
                <c:pt idx="10">
                  <c:v>0.72603670972127932</c:v>
                </c:pt>
                <c:pt idx="11">
                  <c:v>0.72357723577235955</c:v>
                </c:pt>
                <c:pt idx="12">
                  <c:v>0.72113436866981884</c:v>
                </c:pt>
                <c:pt idx="13">
                  <c:v>0.71919191919192116</c:v>
                </c:pt>
                <c:pt idx="14">
                  <c:v>0.7172599059771656</c:v>
                </c:pt>
                <c:pt idx="15">
                  <c:v>0.71581769436997489</c:v>
                </c:pt>
                <c:pt idx="16">
                  <c:v>0.71438127090301118</c:v>
                </c:pt>
                <c:pt idx="17">
                  <c:v>0.71295060080106865</c:v>
                </c:pt>
                <c:pt idx="18">
                  <c:v>0.71199999999999986</c:v>
                </c:pt>
                <c:pt idx="19">
                  <c:v>0.71105193075898876</c:v>
                </c:pt>
                <c:pt idx="20">
                  <c:v>0.7105788423153695</c:v>
                </c:pt>
                <c:pt idx="21">
                  <c:v>0.71010638297872486</c:v>
                </c:pt>
                <c:pt idx="22">
                  <c:v>0.71010638297872486</c:v>
                </c:pt>
                <c:pt idx="23">
                  <c:v>0.71010638297872486</c:v>
                </c:pt>
                <c:pt idx="24">
                  <c:v>0.7105788423153695</c:v>
                </c:pt>
                <c:pt idx="25">
                  <c:v>0.71105193075898876</c:v>
                </c:pt>
                <c:pt idx="26">
                  <c:v>0.71199999999999986</c:v>
                </c:pt>
                <c:pt idx="27">
                  <c:v>0.71295060080106865</c:v>
                </c:pt>
                <c:pt idx="28">
                  <c:v>0.71438127090301118</c:v>
                </c:pt>
                <c:pt idx="29">
                  <c:v>0.71581769436997489</c:v>
                </c:pt>
                <c:pt idx="30">
                  <c:v>0.71774193548387233</c:v>
                </c:pt>
                <c:pt idx="31">
                  <c:v>0.71967654986523133</c:v>
                </c:pt>
                <c:pt idx="32">
                  <c:v>0.72162162162162413</c:v>
                </c:pt>
                <c:pt idx="33">
                  <c:v>0.72406779661016951</c:v>
                </c:pt>
                <c:pt idx="34">
                  <c:v>0.72653061224489857</c:v>
                </c:pt>
                <c:pt idx="35">
                  <c:v>0.72901023890785233</c:v>
                </c:pt>
                <c:pt idx="36">
                  <c:v>0.73200822481151517</c:v>
                </c:pt>
                <c:pt idx="37">
                  <c:v>0.73503097040605692</c:v>
                </c:pt>
                <c:pt idx="38">
                  <c:v>0.7380787836903957</c:v>
                </c:pt>
                <c:pt idx="39">
                  <c:v>0.74115197779319963</c:v>
                </c:pt>
                <c:pt idx="40">
                  <c:v>0.74425087108013965</c:v>
                </c:pt>
                <c:pt idx="41">
                  <c:v>0.74789915966386566</c:v>
                </c:pt>
                <c:pt idx="42">
                  <c:v>0.75105485232067737</c:v>
                </c:pt>
                <c:pt idx="43">
                  <c:v>0.75477031802120309</c:v>
                </c:pt>
                <c:pt idx="44">
                  <c:v>0.7579843860894262</c:v>
                </c:pt>
                <c:pt idx="45">
                  <c:v>0.76122594440484836</c:v>
                </c:pt>
                <c:pt idx="46">
                  <c:v>0.76449534717251344</c:v>
                </c:pt>
                <c:pt idx="47">
                  <c:v>0.76779295470884512</c:v>
                </c:pt>
                <c:pt idx="48">
                  <c:v>0.77056277056277001</c:v>
                </c:pt>
                <c:pt idx="49">
                  <c:v>0.77335264301231232</c:v>
                </c:pt>
                <c:pt idx="50">
                  <c:v>0.77559912854030666</c:v>
                </c:pt>
                <c:pt idx="51">
                  <c:v>0.77785870356882947</c:v>
                </c:pt>
                <c:pt idx="52">
                  <c:v>0.77899343544858002</c:v>
                </c:pt>
                <c:pt idx="53">
                  <c:v>0.78013148283418565</c:v>
                </c:pt>
                <c:pt idx="54">
                  <c:v>0.78070175438596512</c:v>
                </c:pt>
                <c:pt idx="55">
                  <c:v>0.78070175438596512</c:v>
                </c:pt>
                <c:pt idx="56">
                  <c:v>0.78013148283418565</c:v>
                </c:pt>
                <c:pt idx="57">
                  <c:v>0.7784256559766789</c:v>
                </c:pt>
                <c:pt idx="58">
                  <c:v>0.77616279069767524</c:v>
                </c:pt>
                <c:pt idx="59">
                  <c:v>0.77391304347826162</c:v>
                </c:pt>
                <c:pt idx="60">
                  <c:v>0.77111913357400885</c:v>
                </c:pt>
                <c:pt idx="61">
                  <c:v>0.76779295470884512</c:v>
                </c:pt>
                <c:pt idx="62">
                  <c:v>0.7639484978540777</c:v>
                </c:pt>
                <c:pt idx="63">
                  <c:v>0.76068376068376087</c:v>
                </c:pt>
                <c:pt idx="64">
                  <c:v>0.7569099929128299</c:v>
                </c:pt>
                <c:pt idx="65">
                  <c:v>0.75264270613108053</c:v>
                </c:pt>
                <c:pt idx="66">
                  <c:v>0.74894810659186783</c:v>
                </c:pt>
                <c:pt idx="67">
                  <c:v>0.74528960223307739</c:v>
                </c:pt>
                <c:pt idx="68">
                  <c:v>0.74218207088255916</c:v>
                </c:pt>
                <c:pt idx="69">
                  <c:v>0.73858921161825697</c:v>
                </c:pt>
                <c:pt idx="91">
                  <c:v>0.74166666666666903</c:v>
                </c:pt>
                <c:pt idx="92">
                  <c:v>0.74528960223307739</c:v>
                </c:pt>
                <c:pt idx="93">
                  <c:v>0.74894810659186783</c:v>
                </c:pt>
                <c:pt idx="94">
                  <c:v>0.75317348377997217</c:v>
                </c:pt>
                <c:pt idx="95">
                  <c:v>0.7569099929128299</c:v>
                </c:pt>
                <c:pt idx="96">
                  <c:v>0.76122594440484836</c:v>
                </c:pt>
                <c:pt idx="97">
                  <c:v>0.76559139784946262</c:v>
                </c:pt>
                <c:pt idx="98">
                  <c:v>0.77000720980533577</c:v>
                </c:pt>
                <c:pt idx="99">
                  <c:v>0.77391304347826162</c:v>
                </c:pt>
                <c:pt idx="100">
                  <c:v>0.7784256559766789</c:v>
                </c:pt>
                <c:pt idx="101">
                  <c:v>0.78241758241758219</c:v>
                </c:pt>
                <c:pt idx="102">
                  <c:v>0.78645066273932485</c:v>
                </c:pt>
                <c:pt idx="103">
                  <c:v>0.79052553663952618</c:v>
                </c:pt>
                <c:pt idx="104">
                  <c:v>0.79405204460966783</c:v>
                </c:pt>
                <c:pt idx="105">
                  <c:v>0.79701492537313456</c:v>
                </c:pt>
                <c:pt idx="106">
                  <c:v>0.80000000000000182</c:v>
                </c:pt>
                <c:pt idx="107">
                  <c:v>0.80240420736288542</c:v>
                </c:pt>
                <c:pt idx="108">
                  <c:v>0.80482290881688168</c:v>
                </c:pt>
                <c:pt idx="109">
                  <c:v>0.80603773584905647</c:v>
                </c:pt>
                <c:pt idx="110">
                  <c:v>0.80725623582766681</c:v>
                </c:pt>
                <c:pt idx="111">
                  <c:v>0.80786686838124155</c:v>
                </c:pt>
                <c:pt idx="112">
                  <c:v>0.80786686838124155</c:v>
                </c:pt>
                <c:pt idx="113">
                  <c:v>0.80725623582766681</c:v>
                </c:pt>
                <c:pt idx="114">
                  <c:v>0.80603773584905647</c:v>
                </c:pt>
                <c:pt idx="115">
                  <c:v>0.80482290881688168</c:v>
                </c:pt>
                <c:pt idx="116">
                  <c:v>0.80300751879699317</c:v>
                </c:pt>
                <c:pt idx="117">
                  <c:v>0.80059970014992643</c:v>
                </c:pt>
                <c:pt idx="118">
                  <c:v>0.79820627802690836</c:v>
                </c:pt>
                <c:pt idx="119">
                  <c:v>0.79464285714285932</c:v>
                </c:pt>
                <c:pt idx="120">
                  <c:v>0.79169755374351347</c:v>
                </c:pt>
                <c:pt idx="121">
                  <c:v>0.7881918819188195</c:v>
                </c:pt>
                <c:pt idx="122">
                  <c:v>0.78471711976487957</c:v>
                </c:pt>
                <c:pt idx="123">
                  <c:v>0.78070175438596512</c:v>
                </c:pt>
                <c:pt idx="124">
                  <c:v>0.77672727272727515</c:v>
                </c:pt>
                <c:pt idx="125">
                  <c:v>0.77279305354558625</c:v>
                </c:pt>
                <c:pt idx="126">
                  <c:v>0.76889848812095141</c:v>
                </c:pt>
                <c:pt idx="127">
                  <c:v>0.76504297994269588</c:v>
                </c:pt>
                <c:pt idx="128">
                  <c:v>0.76122594440484836</c:v>
                </c:pt>
                <c:pt idx="129">
                  <c:v>0.75744680851063961</c:v>
                </c:pt>
                <c:pt idx="130">
                  <c:v>0.75370501058574535</c:v>
                </c:pt>
                <c:pt idx="131">
                  <c:v>0.75052705551651466</c:v>
                </c:pt>
                <c:pt idx="132">
                  <c:v>0.74685314685314852</c:v>
                </c:pt>
                <c:pt idx="133">
                  <c:v>0.74373259052924923</c:v>
                </c:pt>
                <c:pt idx="134">
                  <c:v>0.74063800277392688</c:v>
                </c:pt>
                <c:pt idx="135">
                  <c:v>0.73756906077348028</c:v>
                </c:pt>
                <c:pt idx="136">
                  <c:v>0.73503097040605692</c:v>
                </c:pt>
                <c:pt idx="137">
                  <c:v>0.73301304049416716</c:v>
                </c:pt>
                <c:pt idx="138">
                  <c:v>0.73050615595075186</c:v>
                </c:pt>
                <c:pt idx="139">
                  <c:v>0.72901023890785233</c:v>
                </c:pt>
                <c:pt idx="140">
                  <c:v>0.72702518720218046</c:v>
                </c:pt>
                <c:pt idx="141">
                  <c:v>0.72603670972127932</c:v>
                </c:pt>
                <c:pt idx="142">
                  <c:v>0.72505091649694542</c:v>
                </c:pt>
                <c:pt idx="143">
                  <c:v>0.72406779661016951</c:v>
                </c:pt>
                <c:pt idx="144">
                  <c:v>0.72357723577235955</c:v>
                </c:pt>
                <c:pt idx="145">
                  <c:v>0.72357723577235955</c:v>
                </c:pt>
                <c:pt idx="146">
                  <c:v>0.72357723577235955</c:v>
                </c:pt>
                <c:pt idx="147">
                  <c:v>0.72406779661016951</c:v>
                </c:pt>
                <c:pt idx="148">
                  <c:v>0.72505091649694542</c:v>
                </c:pt>
                <c:pt idx="149">
                  <c:v>0.72603670972127932</c:v>
                </c:pt>
                <c:pt idx="150">
                  <c:v>0.72752043596730231</c:v>
                </c:pt>
                <c:pt idx="151">
                  <c:v>0.72901023890785233</c:v>
                </c:pt>
                <c:pt idx="152">
                  <c:v>0.73100616016427244</c:v>
                </c:pt>
                <c:pt idx="153">
                  <c:v>0.73351648351648335</c:v>
                </c:pt>
                <c:pt idx="154">
                  <c:v>0.73604410751206217</c:v>
                </c:pt>
                <c:pt idx="155">
                  <c:v>0.73858921161825697</c:v>
                </c:pt>
                <c:pt idx="156">
                  <c:v>0.74166666666666903</c:v>
                </c:pt>
                <c:pt idx="157">
                  <c:v>0.74476987447698717</c:v>
                </c:pt>
                <c:pt idx="158">
                  <c:v>0.74789915966386566</c:v>
                </c:pt>
                <c:pt idx="159">
                  <c:v>0.75105485232067737</c:v>
                </c:pt>
                <c:pt idx="160">
                  <c:v>0.75477031802120309</c:v>
                </c:pt>
                <c:pt idx="161">
                  <c:v>0.7579843860894262</c:v>
                </c:pt>
                <c:pt idx="162">
                  <c:v>0.76176890156918919</c:v>
                </c:pt>
                <c:pt idx="163">
                  <c:v>0.76504297994269588</c:v>
                </c:pt>
                <c:pt idx="164">
                  <c:v>0.76834532374100784</c:v>
                </c:pt>
                <c:pt idx="165">
                  <c:v>0.77167630057803682</c:v>
                </c:pt>
                <c:pt idx="166">
                  <c:v>0.77447425670776093</c:v>
                </c:pt>
                <c:pt idx="167">
                  <c:v>0.77672727272727515</c:v>
                </c:pt>
                <c:pt idx="168">
                  <c:v>0.7784256559766789</c:v>
                </c:pt>
                <c:pt idx="169">
                  <c:v>0.77956204379562288</c:v>
                </c:pt>
                <c:pt idx="170">
                  <c:v>0.78013148283418565</c:v>
                </c:pt>
                <c:pt idx="171">
                  <c:v>0.77956204379562288</c:v>
                </c:pt>
                <c:pt idx="172">
                  <c:v>0.77899343544858002</c:v>
                </c:pt>
                <c:pt idx="173">
                  <c:v>0.77729257641921479</c:v>
                </c:pt>
                <c:pt idx="174">
                  <c:v>0.77559912854030666</c:v>
                </c:pt>
                <c:pt idx="175">
                  <c:v>0.77279305354558625</c:v>
                </c:pt>
                <c:pt idx="176">
                  <c:v>0.77056277056277001</c:v>
                </c:pt>
                <c:pt idx="177">
                  <c:v>0.76724137931034464</c:v>
                </c:pt>
                <c:pt idx="178">
                  <c:v>0.7639484978540777</c:v>
                </c:pt>
                <c:pt idx="179">
                  <c:v>0.76068376068376087</c:v>
                </c:pt>
                <c:pt idx="180">
                  <c:v>0.75744680851063961</c:v>
                </c:pt>
                <c:pt idx="251">
                  <c:v>0.89447236180904721</c:v>
                </c:pt>
                <c:pt idx="252">
                  <c:v>0.89823380992430613</c:v>
                </c:pt>
                <c:pt idx="253">
                  <c:v>0.90202702702702786</c:v>
                </c:pt>
                <c:pt idx="254">
                  <c:v>0.90662139219015381</c:v>
                </c:pt>
                <c:pt idx="255">
                  <c:v>0.91048593350383777</c:v>
                </c:pt>
                <c:pt idx="256">
                  <c:v>0.91438356164383583</c:v>
                </c:pt>
                <c:pt idx="257">
                  <c:v>0.91910499139414792</c:v>
                </c:pt>
                <c:pt idx="258">
                  <c:v>0.92307692307692379</c:v>
                </c:pt>
                <c:pt idx="259">
                  <c:v>0.92788879235447486</c:v>
                </c:pt>
                <c:pt idx="260">
                  <c:v>0.93193717277487087</c:v>
                </c:pt>
                <c:pt idx="261">
                  <c:v>0.93684210526315881</c:v>
                </c:pt>
                <c:pt idx="262">
                  <c:v>0.94096916299559474</c:v>
                </c:pt>
                <c:pt idx="263">
                  <c:v>0.94596988485385547</c:v>
                </c:pt>
                <c:pt idx="264">
                  <c:v>0.9501779359430621</c:v>
                </c:pt>
                <c:pt idx="265">
                  <c:v>0.95442359249329978</c:v>
                </c:pt>
                <c:pt idx="266">
                  <c:v>0.95870736086175934</c:v>
                </c:pt>
                <c:pt idx="267">
                  <c:v>0.96216216216216244</c:v>
                </c:pt>
                <c:pt idx="268">
                  <c:v>0.96564195298372746</c:v>
                </c:pt>
                <c:pt idx="269">
                  <c:v>0.96914700544464616</c:v>
                </c:pt>
                <c:pt idx="270">
                  <c:v>0.97267759562841705</c:v>
                </c:pt>
                <c:pt idx="271">
                  <c:v>0.97445255474452785</c:v>
                </c:pt>
                <c:pt idx="272">
                  <c:v>0.97712717291857487</c:v>
                </c:pt>
                <c:pt idx="273">
                  <c:v>0.97891842346471314</c:v>
                </c:pt>
                <c:pt idx="274">
                  <c:v>0.97981651376147028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BE-0049-AABC-CDC0D6524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Relative Surface Angle [degrees]</a:t>
                </a:r>
              </a:p>
            </c:rich>
          </c:tx>
          <c:layout>
            <c:manualLayout>
              <c:xMode val="edge"/>
              <c:yMode val="edge"/>
              <c:x val="0.33838425892873036"/>
              <c:y val="0.894924754817805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</c:valAx>
      <c:valAx>
        <c:axId val="1791294527"/>
        <c:scaling>
          <c:orientation val="minMax"/>
          <c:max val="1"/>
          <c:min val="0.65000000000000013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2.9157658795603811E-2"/>
              <c:y val="0.1337271052204790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5.000000000000001E-2"/>
      </c:valAx>
    </c:plotArea>
    <c:legend>
      <c:legendPos val="t"/>
      <c:layout>
        <c:manualLayout>
          <c:xMode val="edge"/>
          <c:yMode val="edge"/>
          <c:x val="0.65291553443891037"/>
          <c:y val="0.15736424285258113"/>
          <c:w val="0.34708447627996075"/>
          <c:h val="0.32163306085306259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4/13/24 1st Homogenization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'Fe36Cr Max Reformat'!$G$9</c:f>
              <c:strCache>
                <c:ptCount val="1"/>
                <c:pt idx="0">
                  <c:v>SAW_speed[ms^-1]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Reformat'!$C$10:$C$55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Reformat'!$G$10:$G$55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0-A545-A7C9-6A02B99B5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4/27/24 1hr</a:t>
            </a:r>
            <a:r>
              <a:rPr lang="en-US" baseline="0"/>
              <a:t> 500C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Reformat'!$C$56:$C$103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Reformat'!$G$56:$G$103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'Fe36Cr Max Reformat'!#REF!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3C3-6743-A67A-3A191FA89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4/28/24 10hr</a:t>
            </a:r>
            <a:r>
              <a:rPr lang="en-US" baseline="0"/>
              <a:t> 500C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Reformat'!$C$104:$C$137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Reformat'!$G$104:$G$137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'Fe36Cr Max Reformat'!#REF!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84B-B547-9D75-A83A41148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5/10/2024-5/19/2024 Polished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Reformat'!$C$138:$C$186</c:f>
              <c:numCache>
                <c:formatCode>0</c:formatCode>
                <c:ptCount val="49"/>
                <c:pt idx="0" formatCode="General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Reformat'!$G$138:$G$186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'Fe36Cr Max Reformat'!#REF!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79C-0243-AC16-E7D0D25B9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7/11/2024 3rd Homogenization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Reformat'!$C$236:$C$285</c:f>
              <c:numCache>
                <c:formatCode>General</c:formatCode>
                <c:ptCount val="50"/>
                <c:pt idx="0">
                  <c:v>-8</c:v>
                </c:pt>
                <c:pt idx="1">
                  <c:v>-4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52</c:v>
                </c:pt>
                <c:pt idx="16">
                  <c:v>56</c:v>
                </c:pt>
                <c:pt idx="17">
                  <c:v>60</c:v>
                </c:pt>
                <c:pt idx="18">
                  <c:v>64</c:v>
                </c:pt>
                <c:pt idx="19">
                  <c:v>68</c:v>
                </c:pt>
                <c:pt idx="20">
                  <c:v>72</c:v>
                </c:pt>
                <c:pt idx="21">
                  <c:v>76</c:v>
                </c:pt>
                <c:pt idx="22">
                  <c:v>80</c:v>
                </c:pt>
                <c:pt idx="23">
                  <c:v>84</c:v>
                </c:pt>
                <c:pt idx="24">
                  <c:v>88</c:v>
                </c:pt>
                <c:pt idx="25">
                  <c:v>92</c:v>
                </c:pt>
                <c:pt idx="26">
                  <c:v>96</c:v>
                </c:pt>
                <c:pt idx="27">
                  <c:v>100</c:v>
                </c:pt>
                <c:pt idx="28">
                  <c:v>104</c:v>
                </c:pt>
                <c:pt idx="29">
                  <c:v>108</c:v>
                </c:pt>
                <c:pt idx="30">
                  <c:v>112</c:v>
                </c:pt>
                <c:pt idx="31">
                  <c:v>116</c:v>
                </c:pt>
                <c:pt idx="32">
                  <c:v>120</c:v>
                </c:pt>
                <c:pt idx="33">
                  <c:v>124</c:v>
                </c:pt>
                <c:pt idx="34">
                  <c:v>128</c:v>
                </c:pt>
                <c:pt idx="35">
                  <c:v>132</c:v>
                </c:pt>
                <c:pt idx="36">
                  <c:v>136</c:v>
                </c:pt>
                <c:pt idx="37">
                  <c:v>140</c:v>
                </c:pt>
                <c:pt idx="38">
                  <c:v>144</c:v>
                </c:pt>
                <c:pt idx="39">
                  <c:v>148</c:v>
                </c:pt>
                <c:pt idx="40">
                  <c:v>152</c:v>
                </c:pt>
                <c:pt idx="41">
                  <c:v>156</c:v>
                </c:pt>
                <c:pt idx="42">
                  <c:v>160</c:v>
                </c:pt>
                <c:pt idx="43">
                  <c:v>164</c:v>
                </c:pt>
                <c:pt idx="44">
                  <c:v>168</c:v>
                </c:pt>
                <c:pt idx="45">
                  <c:v>172</c:v>
                </c:pt>
                <c:pt idx="46">
                  <c:v>176</c:v>
                </c:pt>
                <c:pt idx="47">
                  <c:v>180</c:v>
                </c:pt>
                <c:pt idx="48">
                  <c:v>184</c:v>
                </c:pt>
                <c:pt idx="49">
                  <c:v>188</c:v>
                </c:pt>
              </c:numCache>
            </c:numRef>
          </c:xVal>
          <c:yVal>
            <c:numRef>
              <c:f>'Fe36Cr Max Reformat'!$G$236:$G$285</c:f>
              <c:numCache>
                <c:formatCode>0.00</c:formatCode>
                <c:ptCount val="50"/>
                <c:pt idx="0">
                  <c:v>2801.71</c:v>
                </c:pt>
                <c:pt idx="1">
                  <c:v>2855.21</c:v>
                </c:pt>
                <c:pt idx="2">
                  <c:v>2902.28</c:v>
                </c:pt>
                <c:pt idx="3">
                  <c:v>2918.79</c:v>
                </c:pt>
                <c:pt idx="4">
                  <c:v>2885.36</c:v>
                </c:pt>
                <c:pt idx="5">
                  <c:v>2836.8</c:v>
                </c:pt>
                <c:pt idx="6">
                  <c:v>2788.31</c:v>
                </c:pt>
                <c:pt idx="7">
                  <c:v>2746.26</c:v>
                </c:pt>
                <c:pt idx="8">
                  <c:v>2707.68</c:v>
                </c:pt>
                <c:pt idx="9">
                  <c:v>2679.1</c:v>
                </c:pt>
                <c:pt idx="10">
                  <c:v>2647.64</c:v>
                </c:pt>
                <c:pt idx="11">
                  <c:v>2641.63</c:v>
                </c:pt>
                <c:pt idx="12">
                  <c:v>2645.04</c:v>
                </c:pt>
                <c:pt idx="13">
                  <c:v>2689.64</c:v>
                </c:pt>
                <c:pt idx="14">
                  <c:v>2709.99</c:v>
                </c:pt>
                <c:pt idx="15">
                  <c:v>2756.29</c:v>
                </c:pt>
                <c:pt idx="16">
                  <c:v>2606.7800000000002</c:v>
                </c:pt>
                <c:pt idx="17">
                  <c:v>2626.14</c:v>
                </c:pt>
                <c:pt idx="18">
                  <c:v>2909.63</c:v>
                </c:pt>
                <c:pt idx="19">
                  <c:v>2938.93</c:v>
                </c:pt>
                <c:pt idx="20">
                  <c:v>2927.01</c:v>
                </c:pt>
                <c:pt idx="21">
                  <c:v>2882.75</c:v>
                </c:pt>
                <c:pt idx="22">
                  <c:v>3340.73</c:v>
                </c:pt>
                <c:pt idx="23">
                  <c:v>3352.28</c:v>
                </c:pt>
                <c:pt idx="24">
                  <c:v>3381.97</c:v>
                </c:pt>
                <c:pt idx="25">
                  <c:v>3425.27</c:v>
                </c:pt>
                <c:pt idx="26">
                  <c:v>3477.5</c:v>
                </c:pt>
                <c:pt idx="27">
                  <c:v>3496.09</c:v>
                </c:pt>
                <c:pt idx="28">
                  <c:v>3545.64</c:v>
                </c:pt>
                <c:pt idx="29">
                  <c:v>3567.4</c:v>
                </c:pt>
                <c:pt idx="30">
                  <c:v>3496.81</c:v>
                </c:pt>
                <c:pt idx="31">
                  <c:v>2950.25</c:v>
                </c:pt>
                <c:pt idx="32">
                  <c:v>3009.35</c:v>
                </c:pt>
                <c:pt idx="33">
                  <c:v>3027.71</c:v>
                </c:pt>
                <c:pt idx="34">
                  <c:v>3023.74</c:v>
                </c:pt>
                <c:pt idx="35">
                  <c:v>2991.44</c:v>
                </c:pt>
                <c:pt idx="36">
                  <c:v>2952.67</c:v>
                </c:pt>
                <c:pt idx="37">
                  <c:v>2889.2</c:v>
                </c:pt>
                <c:pt idx="38">
                  <c:v>2825.65</c:v>
                </c:pt>
                <c:pt idx="39">
                  <c:v>2914.15</c:v>
                </c:pt>
                <c:pt idx="40">
                  <c:v>2754.28</c:v>
                </c:pt>
                <c:pt idx="41">
                  <c:v>2733.49</c:v>
                </c:pt>
                <c:pt idx="42">
                  <c:v>2714.5</c:v>
                </c:pt>
                <c:pt idx="43">
                  <c:v>2686.93</c:v>
                </c:pt>
                <c:pt idx="44">
                  <c:v>2728.17</c:v>
                </c:pt>
                <c:pt idx="45">
                  <c:v>2689.63</c:v>
                </c:pt>
                <c:pt idx="46">
                  <c:v>2698.6</c:v>
                </c:pt>
                <c:pt idx="47">
                  <c:v>2654.38</c:v>
                </c:pt>
                <c:pt idx="48">
                  <c:v>2662.52</c:v>
                </c:pt>
                <c:pt idx="49">
                  <c:v>2727.59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E5-DF47-B322-CE853ED21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5/25/2024</a:t>
            </a:r>
            <a:r>
              <a:rPr lang="en-US" baseline="0"/>
              <a:t> 2nd Homogenization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'Fe36Cr Max Reformat'!$C$187:$C$235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Reformat'!$G$187:$G$235</c:f>
              <c:numCache>
                <c:formatCode>0.00</c:formatCode>
                <c:ptCount val="49"/>
                <c:pt idx="0">
                  <c:v>2912.63</c:v>
                </c:pt>
                <c:pt idx="1">
                  <c:v>2918.54</c:v>
                </c:pt>
                <c:pt idx="2">
                  <c:v>2883.85</c:v>
                </c:pt>
                <c:pt idx="3">
                  <c:v>2833.31</c:v>
                </c:pt>
                <c:pt idx="4">
                  <c:v>2782.36</c:v>
                </c:pt>
                <c:pt idx="5">
                  <c:v>2739.77</c:v>
                </c:pt>
                <c:pt idx="6">
                  <c:v>2705.83</c:v>
                </c:pt>
                <c:pt idx="7">
                  <c:v>2674.53</c:v>
                </c:pt>
                <c:pt idx="8">
                  <c:v>2649.28</c:v>
                </c:pt>
                <c:pt idx="9">
                  <c:v>2668.04</c:v>
                </c:pt>
                <c:pt idx="10">
                  <c:v>2673.74</c:v>
                </c:pt>
                <c:pt idx="11">
                  <c:v>2703.25</c:v>
                </c:pt>
                <c:pt idx="12">
                  <c:v>2738.57</c:v>
                </c:pt>
                <c:pt idx="13">
                  <c:v>2714.81</c:v>
                </c:pt>
                <c:pt idx="14">
                  <c:v>2797.16</c:v>
                </c:pt>
                <c:pt idx="15">
                  <c:v>2874.37</c:v>
                </c:pt>
                <c:pt idx="16">
                  <c:v>2915.04</c:v>
                </c:pt>
                <c:pt idx="17">
                  <c:v>2938.32</c:v>
                </c:pt>
                <c:pt idx="18">
                  <c:v>2897.89</c:v>
                </c:pt>
                <c:pt idx="19">
                  <c:v>2775.79</c:v>
                </c:pt>
                <c:pt idx="20">
                  <c:v>3325.78</c:v>
                </c:pt>
                <c:pt idx="21">
                  <c:v>3332.4</c:v>
                </c:pt>
                <c:pt idx="22">
                  <c:v>3212.53</c:v>
                </c:pt>
                <c:pt idx="23">
                  <c:v>3401.34</c:v>
                </c:pt>
                <c:pt idx="24">
                  <c:v>3463.72</c:v>
                </c:pt>
                <c:pt idx="25">
                  <c:v>3482.44</c:v>
                </c:pt>
                <c:pt idx="26">
                  <c:v>3561.59</c:v>
                </c:pt>
                <c:pt idx="27">
                  <c:v>3541.41</c:v>
                </c:pt>
                <c:pt idx="28">
                  <c:v>2933.84</c:v>
                </c:pt>
                <c:pt idx="29">
                  <c:v>2991.48</c:v>
                </c:pt>
                <c:pt idx="30">
                  <c:v>3024.97</c:v>
                </c:pt>
                <c:pt idx="31">
                  <c:v>3031.79</c:v>
                </c:pt>
                <c:pt idx="32">
                  <c:v>3009.79</c:v>
                </c:pt>
                <c:pt idx="33">
                  <c:v>2984.62</c:v>
                </c:pt>
                <c:pt idx="34">
                  <c:v>2919.69</c:v>
                </c:pt>
                <c:pt idx="35">
                  <c:v>2903.62</c:v>
                </c:pt>
                <c:pt idx="36">
                  <c:v>2815.94</c:v>
                </c:pt>
                <c:pt idx="37">
                  <c:v>2784.22</c:v>
                </c:pt>
                <c:pt idx="38">
                  <c:v>2755.88</c:v>
                </c:pt>
                <c:pt idx="39">
                  <c:v>2727.17</c:v>
                </c:pt>
                <c:pt idx="40">
                  <c:v>2734.55</c:v>
                </c:pt>
                <c:pt idx="41">
                  <c:v>2746.06</c:v>
                </c:pt>
                <c:pt idx="42">
                  <c:v>2770.3</c:v>
                </c:pt>
                <c:pt idx="43">
                  <c:v>2816.48</c:v>
                </c:pt>
                <c:pt idx="44">
                  <c:v>2863.26</c:v>
                </c:pt>
                <c:pt idx="45">
                  <c:v>2915.02</c:v>
                </c:pt>
                <c:pt idx="46">
                  <c:v>2918.5</c:v>
                </c:pt>
                <c:pt idx="47">
                  <c:v>2877.57</c:v>
                </c:pt>
                <c:pt idx="48">
                  <c:v>2824.06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63-B24D-84B3-2C6095841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</a:t>
            </a:r>
            <a:r>
              <a:rPr lang="en-US" baseline="0"/>
              <a:t> of Polishing </a:t>
            </a:r>
            <a:r>
              <a:rPr lang="en-US"/>
              <a:t>SAW</a:t>
            </a:r>
            <a:r>
              <a:rPr lang="en-US" baseline="0"/>
              <a:t> Speed vs Degrees Rotation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500C 10hr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'Fe36Cr Max Reformat'!$C$104:$C$137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Reformat'!$G$104:$G$137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C-4542-9913-4C20E935D110}"/>
            </c:ext>
          </c:extLst>
        </c:ser>
        <c:ser>
          <c:idx val="3"/>
          <c:order val="1"/>
          <c:tx>
            <c:v>500C 10hr polished</c:v>
          </c:tx>
          <c:spPr>
            <a:ln w="25400">
              <a:noFill/>
            </a:ln>
          </c:spPr>
          <c:marker>
            <c:symbol val="triangle"/>
            <c:size val="7"/>
          </c:marker>
          <c:xVal>
            <c:numRef>
              <c:f>'Fe36Cr Max Reformat'!$C$138:$C$186</c:f>
              <c:numCache>
                <c:formatCode>0</c:formatCode>
                <c:ptCount val="49"/>
                <c:pt idx="0" formatCode="General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Reformat'!$G$138:$G$186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DC-4542-9913-4C20E935D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Fe36Cr</a:t>
            </a:r>
            <a:r>
              <a:rPr lang="en-US" baseline="0"/>
              <a:t> </a:t>
            </a:r>
            <a:r>
              <a:rPr lang="en-US"/>
              <a:t>SAW</a:t>
            </a:r>
            <a:r>
              <a:rPr lang="en-US" baseline="0"/>
              <a:t> Speed vs Degrees Rotation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xVal>
            <c:numRef>
              <c:f>'Fe36Cr Max Reformat'!$C$10:$C$55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Reformat'!$G$10:$G$55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68-0B45-B740-4D83D0D2060C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xVal>
            <c:numRef>
              <c:f>'Fe36Cr Max Reformat'!$C$56:$C$103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Reformat'!$G$56:$G$103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68-0B45-B740-4D83D0D2060C}"/>
            </c:ext>
          </c:extLst>
        </c:ser>
        <c:ser>
          <c:idx val="2"/>
          <c:order val="2"/>
          <c:tx>
            <c:v>500C 10hr</c:v>
          </c:tx>
          <c:spPr>
            <a:ln w="25400">
              <a:noFill/>
            </a:ln>
          </c:spPr>
          <c:xVal>
            <c:numRef>
              <c:f>'Fe36Cr Max Reformat'!$C$104:$C$137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Reformat'!$G$104:$G$137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68-0B45-B740-4D83D0D2060C}"/>
            </c:ext>
          </c:extLst>
        </c:ser>
        <c:ser>
          <c:idx val="4"/>
          <c:order val="3"/>
          <c:tx>
            <c:v>2nd homogenization</c:v>
          </c:tx>
          <c:spPr>
            <a:ln w="25400">
              <a:noFill/>
            </a:ln>
          </c:spPr>
          <c:xVal>
            <c:numRef>
              <c:f>'Fe36Cr Max Reformat'!$C$187:$C$235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Reformat'!$G$187:$G$235</c:f>
              <c:numCache>
                <c:formatCode>0.00</c:formatCode>
                <c:ptCount val="49"/>
                <c:pt idx="0">
                  <c:v>2912.63</c:v>
                </c:pt>
                <c:pt idx="1">
                  <c:v>2918.54</c:v>
                </c:pt>
                <c:pt idx="2">
                  <c:v>2883.85</c:v>
                </c:pt>
                <c:pt idx="3">
                  <c:v>2833.31</c:v>
                </c:pt>
                <c:pt idx="4">
                  <c:v>2782.36</c:v>
                </c:pt>
                <c:pt idx="5">
                  <c:v>2739.77</c:v>
                </c:pt>
                <c:pt idx="6">
                  <c:v>2705.83</c:v>
                </c:pt>
                <c:pt idx="7">
                  <c:v>2674.53</c:v>
                </c:pt>
                <c:pt idx="8">
                  <c:v>2649.28</c:v>
                </c:pt>
                <c:pt idx="9">
                  <c:v>2668.04</c:v>
                </c:pt>
                <c:pt idx="10">
                  <c:v>2673.74</c:v>
                </c:pt>
                <c:pt idx="11">
                  <c:v>2703.25</c:v>
                </c:pt>
                <c:pt idx="12">
                  <c:v>2738.57</c:v>
                </c:pt>
                <c:pt idx="13">
                  <c:v>2714.81</c:v>
                </c:pt>
                <c:pt idx="14">
                  <c:v>2797.16</c:v>
                </c:pt>
                <c:pt idx="15">
                  <c:v>2874.37</c:v>
                </c:pt>
                <c:pt idx="16">
                  <c:v>2915.04</c:v>
                </c:pt>
                <c:pt idx="17">
                  <c:v>2938.32</c:v>
                </c:pt>
                <c:pt idx="18">
                  <c:v>2897.89</c:v>
                </c:pt>
                <c:pt idx="19">
                  <c:v>2775.79</c:v>
                </c:pt>
                <c:pt idx="20">
                  <c:v>3325.78</c:v>
                </c:pt>
                <c:pt idx="21">
                  <c:v>3332.4</c:v>
                </c:pt>
                <c:pt idx="22">
                  <c:v>3212.53</c:v>
                </c:pt>
                <c:pt idx="23">
                  <c:v>3401.34</c:v>
                </c:pt>
                <c:pt idx="24">
                  <c:v>3463.72</c:v>
                </c:pt>
                <c:pt idx="25">
                  <c:v>3482.44</c:v>
                </c:pt>
                <c:pt idx="26">
                  <c:v>3561.59</c:v>
                </c:pt>
                <c:pt idx="27">
                  <c:v>3541.41</c:v>
                </c:pt>
                <c:pt idx="28">
                  <c:v>2933.84</c:v>
                </c:pt>
                <c:pt idx="29">
                  <c:v>2991.48</c:v>
                </c:pt>
                <c:pt idx="30">
                  <c:v>3024.97</c:v>
                </c:pt>
                <c:pt idx="31">
                  <c:v>3031.79</c:v>
                </c:pt>
                <c:pt idx="32">
                  <c:v>3009.79</c:v>
                </c:pt>
                <c:pt idx="33">
                  <c:v>2984.62</c:v>
                </c:pt>
                <c:pt idx="34">
                  <c:v>2919.69</c:v>
                </c:pt>
                <c:pt idx="35">
                  <c:v>2903.62</c:v>
                </c:pt>
                <c:pt idx="36">
                  <c:v>2815.94</c:v>
                </c:pt>
                <c:pt idx="37">
                  <c:v>2784.22</c:v>
                </c:pt>
                <c:pt idx="38">
                  <c:v>2755.88</c:v>
                </c:pt>
                <c:pt idx="39">
                  <c:v>2727.17</c:v>
                </c:pt>
                <c:pt idx="40">
                  <c:v>2734.55</c:v>
                </c:pt>
                <c:pt idx="41">
                  <c:v>2746.06</c:v>
                </c:pt>
                <c:pt idx="42">
                  <c:v>2770.3</c:v>
                </c:pt>
                <c:pt idx="43">
                  <c:v>2816.48</c:v>
                </c:pt>
                <c:pt idx="44">
                  <c:v>2863.26</c:v>
                </c:pt>
                <c:pt idx="45">
                  <c:v>2915.02</c:v>
                </c:pt>
                <c:pt idx="46">
                  <c:v>2918.5</c:v>
                </c:pt>
                <c:pt idx="47">
                  <c:v>2877.57</c:v>
                </c:pt>
                <c:pt idx="48">
                  <c:v>2824.06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68-0B45-B740-4D83D0D20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Fe36Cr</a:t>
            </a:r>
            <a:r>
              <a:rPr lang="en-US" baseline="0"/>
              <a:t> </a:t>
            </a:r>
            <a:r>
              <a:rPr lang="en-US"/>
              <a:t>SAW</a:t>
            </a:r>
            <a:r>
              <a:rPr lang="en-US" baseline="0"/>
              <a:t> Speed vs Degrees Rotation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>
              <a:noFill/>
            </a:ln>
          </c:spPr>
          <c:xVal>
            <c:numRef>
              <c:f>'Fe36Cr Max Reformat'!$C$10:$C$55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Reformat'!$L$10:$L$55</c:f>
              <c:numCache>
                <c:formatCode>0.00E+00</c:formatCode>
                <c:ptCount val="46"/>
                <c:pt idx="0">
                  <c:v>5.97945E-6</c:v>
                </c:pt>
                <c:pt idx="1">
                  <c:v>6.0019899999999996E-6</c:v>
                </c:pt>
                <c:pt idx="2">
                  <c:v>5.9570199999999996E-6</c:v>
                </c:pt>
                <c:pt idx="3">
                  <c:v>5.81186E-6</c:v>
                </c:pt>
                <c:pt idx="4">
                  <c:v>6.2522E-6</c:v>
                </c:pt>
                <c:pt idx="5">
                  <c:v>5.9039100000000002E-6</c:v>
                </c:pt>
                <c:pt idx="6">
                  <c:v>6.1103700000000004E-6</c:v>
                </c:pt>
                <c:pt idx="7">
                  <c:v>6.02046E-6</c:v>
                </c:pt>
                <c:pt idx="8">
                  <c:v>6.3586399999999998E-6</c:v>
                </c:pt>
                <c:pt idx="9">
                  <c:v>6.4550199999999997E-6</c:v>
                </c:pt>
                <c:pt idx="10">
                  <c:v>6.3233899999999996E-6</c:v>
                </c:pt>
                <c:pt idx="11">
                  <c:v>6.1862000000000002E-6</c:v>
                </c:pt>
                <c:pt idx="12">
                  <c:v>6.0125100000000003E-6</c:v>
                </c:pt>
                <c:pt idx="13">
                  <c:v>5.9182299999999999E-6</c:v>
                </c:pt>
                <c:pt idx="14">
                  <c:v>6.1707500000000002E-6</c:v>
                </c:pt>
                <c:pt idx="15">
                  <c:v>6.0436199999999997E-6</c:v>
                </c:pt>
                <c:pt idx="16">
                  <c:v>6.3127100000000004E-6</c:v>
                </c:pt>
                <c:pt idx="17">
                  <c:v>5.80686E-6</c:v>
                </c:pt>
                <c:pt idx="18">
                  <c:v>6.0287200000000001E-6</c:v>
                </c:pt>
                <c:pt idx="19">
                  <c:v>5.5597700000000001E-6</c:v>
                </c:pt>
                <c:pt idx="20">
                  <c:v>6.36357E-6</c:v>
                </c:pt>
                <c:pt idx="21">
                  <c:v>6.4359599999999996E-6</c:v>
                </c:pt>
                <c:pt idx="22">
                  <c:v>6.3089900000000002E-6</c:v>
                </c:pt>
                <c:pt idx="23">
                  <c:v>6.7247500000000003E-6</c:v>
                </c:pt>
                <c:pt idx="24">
                  <c:v>6.6600099999999996E-6</c:v>
                </c:pt>
                <c:pt idx="25">
                  <c:v>6.3967600000000001E-6</c:v>
                </c:pt>
                <c:pt idx="26">
                  <c:v>6.4415099999999999E-6</c:v>
                </c:pt>
                <c:pt idx="27">
                  <c:v>6.5671500000000003E-6</c:v>
                </c:pt>
                <c:pt idx="28">
                  <c:v>6.4785400000000001E-6</c:v>
                </c:pt>
                <c:pt idx="29">
                  <c:v>6.4007399999999998E-6</c:v>
                </c:pt>
                <c:pt idx="30">
                  <c:v>6.1851600000000003E-6</c:v>
                </c:pt>
                <c:pt idx="31">
                  <c:v>6.4837799999999999E-6</c:v>
                </c:pt>
                <c:pt idx="32">
                  <c:v>6.5293399999999997E-6</c:v>
                </c:pt>
                <c:pt idx="33">
                  <c:v>6.4083199999999998E-6</c:v>
                </c:pt>
                <c:pt idx="34">
                  <c:v>6.5615900000000001E-6</c:v>
                </c:pt>
                <c:pt idx="35">
                  <c:v>6.0364000000000003E-6</c:v>
                </c:pt>
                <c:pt idx="36">
                  <c:v>6.6753700000000001E-6</c:v>
                </c:pt>
                <c:pt idx="37">
                  <c:v>6.8389099999999997E-6</c:v>
                </c:pt>
                <c:pt idx="38">
                  <c:v>6.5040099999999998E-6</c:v>
                </c:pt>
                <c:pt idx="39">
                  <c:v>6.3627500000000002E-6</c:v>
                </c:pt>
                <c:pt idx="40">
                  <c:v>6.1027699999999998E-6</c:v>
                </c:pt>
                <c:pt idx="41">
                  <c:v>6.5919600000000003E-6</c:v>
                </c:pt>
                <c:pt idx="42">
                  <c:v>6.1535700000000003E-6</c:v>
                </c:pt>
                <c:pt idx="43">
                  <c:v>5.7928099999999997E-6</c:v>
                </c:pt>
                <c:pt idx="44">
                  <c:v>6.0768900000000004E-6</c:v>
                </c:pt>
                <c:pt idx="45">
                  <c:v>5.8576700000000003E-6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9C-1E42-82DB-94AEEA79CEEB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xVal>
            <c:numRef>
              <c:f>'Fe36Cr Max Reformat'!$C$56:$C$103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Reformat'!$L$56:$L$103</c:f>
              <c:numCache>
                <c:formatCode>0.00E+00</c:formatCode>
                <c:ptCount val="48"/>
                <c:pt idx="0">
                  <c:v>7.1181789999999999E-6</c:v>
                </c:pt>
                <c:pt idx="1">
                  <c:v>7.1630977999999997E-6</c:v>
                </c:pt>
                <c:pt idx="2">
                  <c:v>6.9967995999999999E-6</c:v>
                </c:pt>
                <c:pt idx="3">
                  <c:v>6.5580410000000002E-6</c:v>
                </c:pt>
                <c:pt idx="4">
                  <c:v>6.6999478999999997E-6</c:v>
                </c:pt>
                <c:pt idx="5">
                  <c:v>6.9721110999999997E-6</c:v>
                </c:pt>
                <c:pt idx="6">
                  <c:v>6.6596137999999998E-6</c:v>
                </c:pt>
                <c:pt idx="7">
                  <c:v>7.1673147000000004E-6</c:v>
                </c:pt>
                <c:pt idx="8">
                  <c:v>6.9089427000000003E-6</c:v>
                </c:pt>
                <c:pt idx="9">
                  <c:v>6.892781E-6</c:v>
                </c:pt>
                <c:pt idx="10">
                  <c:v>6.9443876999999998E-6</c:v>
                </c:pt>
                <c:pt idx="11">
                  <c:v>6.8895939000000004E-6</c:v>
                </c:pt>
                <c:pt idx="12">
                  <c:v>7.0513402999999998E-6</c:v>
                </c:pt>
                <c:pt idx="13">
                  <c:v>7.0791209999999996E-6</c:v>
                </c:pt>
                <c:pt idx="14">
                  <c:v>7.1526170999999997E-6</c:v>
                </c:pt>
                <c:pt idx="15">
                  <c:v>7.3292142999999998E-6</c:v>
                </c:pt>
                <c:pt idx="16">
                  <c:v>6.9118524E-6</c:v>
                </c:pt>
                <c:pt idx="17">
                  <c:v>7.2989543999999997E-6</c:v>
                </c:pt>
                <c:pt idx="18">
                  <c:v>7.4354129999999997E-6</c:v>
                </c:pt>
                <c:pt idx="19">
                  <c:v>7.5782564000000002E-6</c:v>
                </c:pt>
                <c:pt idx="20">
                  <c:v>7.3238515000000001E-6</c:v>
                </c:pt>
                <c:pt idx="21">
                  <c:v>6.9578905999999997E-6</c:v>
                </c:pt>
                <c:pt idx="22">
                  <c:v>7.1456960999999999E-6</c:v>
                </c:pt>
                <c:pt idx="23">
                  <c:v>6.6211055000000001E-6</c:v>
                </c:pt>
                <c:pt idx="24">
                  <c:v>7.2236568E-6</c:v>
                </c:pt>
                <c:pt idx="25">
                  <c:v>7.2014765000000003E-6</c:v>
                </c:pt>
                <c:pt idx="26">
                  <c:v>7.2178312000000003E-6</c:v>
                </c:pt>
                <c:pt idx="27">
                  <c:v>7.2621835000000004E-6</c:v>
                </c:pt>
                <c:pt idx="28">
                  <c:v>7.3720887000000002E-6</c:v>
                </c:pt>
                <c:pt idx="29">
                  <c:v>7.5900572000000001E-6</c:v>
                </c:pt>
                <c:pt idx="30">
                  <c:v>7.4132407000000003E-6</c:v>
                </c:pt>
                <c:pt idx="31">
                  <c:v>7.7852394999999993E-6</c:v>
                </c:pt>
                <c:pt idx="32">
                  <c:v>7.8982571999999992E-6</c:v>
                </c:pt>
                <c:pt idx="33">
                  <c:v>7.3815718999999999E-6</c:v>
                </c:pt>
                <c:pt idx="34">
                  <c:v>7.4653826000000001E-6</c:v>
                </c:pt>
                <c:pt idx="35">
                  <c:v>7.1246404000000004E-6</c:v>
                </c:pt>
                <c:pt idx="36">
                  <c:v>7.1568670999999997E-6</c:v>
                </c:pt>
                <c:pt idx="37">
                  <c:v>7.3766801000000003E-6</c:v>
                </c:pt>
                <c:pt idx="38">
                  <c:v>6.8401222E-6</c:v>
                </c:pt>
                <c:pt idx="39">
                  <c:v>7.1727137000000001E-6</c:v>
                </c:pt>
                <c:pt idx="40">
                  <c:v>6.9521120000000002E-6</c:v>
                </c:pt>
                <c:pt idx="41">
                  <c:v>7.1128037000000002E-6</c:v>
                </c:pt>
                <c:pt idx="42">
                  <c:v>7.3611466000000002E-6</c:v>
                </c:pt>
                <c:pt idx="43">
                  <c:v>7.0282480000000004E-6</c:v>
                </c:pt>
                <c:pt idx="44">
                  <c:v>7.0689178000000004E-6</c:v>
                </c:pt>
                <c:pt idx="45">
                  <c:v>6.7711746999999998E-6</c:v>
                </c:pt>
                <c:pt idx="46">
                  <c:v>7.3183571999999998E-6</c:v>
                </c:pt>
                <c:pt idx="47">
                  <c:v>7.5918156999999997E-6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9C-1E42-82DB-94AEEA79CEEB}"/>
            </c:ext>
          </c:extLst>
        </c:ser>
        <c:ser>
          <c:idx val="2"/>
          <c:order val="2"/>
          <c:tx>
            <c:v>500C 10hr</c:v>
          </c:tx>
          <c:spPr>
            <a:ln w="19050">
              <a:noFill/>
            </a:ln>
          </c:spPr>
          <c:xVal>
            <c:numRef>
              <c:f>'Fe36Cr Max Reformat'!$C$104:$C$137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Reformat'!$L$104:$L$137</c:f>
              <c:numCache>
                <c:formatCode>0.00E+00</c:formatCode>
                <c:ptCount val="34"/>
                <c:pt idx="0">
                  <c:v>7.7588056999999992E-6</c:v>
                </c:pt>
                <c:pt idx="1">
                  <c:v>8.1291604000000004E-6</c:v>
                </c:pt>
                <c:pt idx="2">
                  <c:v>8.2951857E-6</c:v>
                </c:pt>
                <c:pt idx="3">
                  <c:v>7.7070617000000007E-6</c:v>
                </c:pt>
                <c:pt idx="4">
                  <c:v>8.1686199999999997E-6</c:v>
                </c:pt>
                <c:pt idx="5">
                  <c:v>7.4144974999999997E-6</c:v>
                </c:pt>
                <c:pt idx="6">
                  <c:v>7.6257140999999996E-6</c:v>
                </c:pt>
                <c:pt idx="7">
                  <c:v>7.7835638999999994E-6</c:v>
                </c:pt>
                <c:pt idx="8">
                  <c:v>8.1186333000000006E-6</c:v>
                </c:pt>
                <c:pt idx="9">
                  <c:v>8.0205332000000007E-6</c:v>
                </c:pt>
                <c:pt idx="10">
                  <c:v>8.1094814000000003E-6</c:v>
                </c:pt>
                <c:pt idx="11">
                  <c:v>8.2279766000000005E-6</c:v>
                </c:pt>
                <c:pt idx="12">
                  <c:v>8.2985111000000003E-6</c:v>
                </c:pt>
                <c:pt idx="13">
                  <c:v>8.2827982000000008E-6</c:v>
                </c:pt>
                <c:pt idx="14">
                  <c:v>8.2669932999999996E-6</c:v>
                </c:pt>
                <c:pt idx="15">
                  <c:v>7.9083005999999998E-6</c:v>
                </c:pt>
                <c:pt idx="16">
                  <c:v>8.1756889000000003E-6</c:v>
                </c:pt>
                <c:pt idx="17">
                  <c:v>8.2055619999999992E-6</c:v>
                </c:pt>
                <c:pt idx="18">
                  <c:v>8.3359411999999996E-6</c:v>
                </c:pt>
                <c:pt idx="19">
                  <c:v>8.5758191000000004E-6</c:v>
                </c:pt>
                <c:pt idx="20">
                  <c:v>8.0034206999999996E-6</c:v>
                </c:pt>
                <c:pt idx="21">
                  <c:v>8.0699565E-6</c:v>
                </c:pt>
                <c:pt idx="22">
                  <c:v>8.0111176999999997E-6</c:v>
                </c:pt>
                <c:pt idx="23">
                  <c:v>8.4990354999999999E-6</c:v>
                </c:pt>
                <c:pt idx="24">
                  <c:v>7.7994736999999995E-6</c:v>
                </c:pt>
                <c:pt idx="25">
                  <c:v>7.9695969999999992E-6</c:v>
                </c:pt>
                <c:pt idx="26">
                  <c:v>7.8879037000000006E-6</c:v>
                </c:pt>
                <c:pt idx="27">
                  <c:v>8.5502840999999996E-6</c:v>
                </c:pt>
                <c:pt idx="28">
                  <c:v>7.8448021000000003E-6</c:v>
                </c:pt>
                <c:pt idx="29">
                  <c:v>8.1712408999999995E-6</c:v>
                </c:pt>
                <c:pt idx="30">
                  <c:v>7.5561336000000003E-6</c:v>
                </c:pt>
                <c:pt idx="31">
                  <c:v>7.8364095999999993E-6</c:v>
                </c:pt>
                <c:pt idx="32">
                  <c:v>8.1999184999999998E-6</c:v>
                </c:pt>
                <c:pt idx="33">
                  <c:v>7.8714251000000006E-6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9C-1E42-82DB-94AEEA79CEEB}"/>
            </c:ext>
          </c:extLst>
        </c:ser>
        <c:ser>
          <c:idx val="4"/>
          <c:order val="3"/>
          <c:tx>
            <c:v>2nd homogenization</c:v>
          </c:tx>
          <c:spPr>
            <a:ln w="19050">
              <a:noFill/>
            </a:ln>
          </c:spPr>
          <c:xVal>
            <c:numRef>
              <c:f>'Fe36Cr Max Reformat'!$C$187:$C$235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Reformat'!$L$187:$L$235</c:f>
              <c:numCache>
                <c:formatCode>0.00E+00</c:formatCode>
                <c:ptCount val="49"/>
                <c:pt idx="0">
                  <c:v>6.3280061999999999E-6</c:v>
                </c:pt>
                <c:pt idx="1">
                  <c:v>5.9761465999999999E-6</c:v>
                </c:pt>
                <c:pt idx="2">
                  <c:v>6.4707756000000004E-6</c:v>
                </c:pt>
                <c:pt idx="3">
                  <c:v>6.1667863999999998E-6</c:v>
                </c:pt>
                <c:pt idx="4">
                  <c:v>6.4668063000000001E-6</c:v>
                </c:pt>
                <c:pt idx="5">
                  <c:v>6.2637844000000002E-6</c:v>
                </c:pt>
                <c:pt idx="6">
                  <c:v>6.170006E-6</c:v>
                </c:pt>
                <c:pt idx="7">
                  <c:v>6.5068912999999997E-6</c:v>
                </c:pt>
                <c:pt idx="8">
                  <c:v>6.6340655000000004E-6</c:v>
                </c:pt>
                <c:pt idx="9">
                  <c:v>5.9360050999999999E-6</c:v>
                </c:pt>
                <c:pt idx="10">
                  <c:v>6.2028703999999997E-6</c:v>
                </c:pt>
                <c:pt idx="11">
                  <c:v>6.4919812000000003E-6</c:v>
                </c:pt>
                <c:pt idx="12">
                  <c:v>6.3735894999999999E-6</c:v>
                </c:pt>
                <c:pt idx="13">
                  <c:v>6.2706348999999997E-6</c:v>
                </c:pt>
                <c:pt idx="14">
                  <c:v>6.2894061999999999E-6</c:v>
                </c:pt>
                <c:pt idx="15">
                  <c:v>6.5825613000000001E-6</c:v>
                </c:pt>
                <c:pt idx="16">
                  <c:v>6.8023151000000002E-6</c:v>
                </c:pt>
                <c:pt idx="17">
                  <c:v>6.3412616000000002E-6</c:v>
                </c:pt>
                <c:pt idx="18">
                  <c:v>6.7095401000000001E-6</c:v>
                </c:pt>
                <c:pt idx="19">
                  <c:v>6.9112870999999996E-6</c:v>
                </c:pt>
                <c:pt idx="20">
                  <c:v>6.6163798000000003E-6</c:v>
                </c:pt>
                <c:pt idx="21">
                  <c:v>6.4076783000000001E-6</c:v>
                </c:pt>
                <c:pt idx="22">
                  <c:v>6.7519385E-6</c:v>
                </c:pt>
                <c:pt idx="23">
                  <c:v>6.9877553000000003E-6</c:v>
                </c:pt>
                <c:pt idx="24">
                  <c:v>6.4985543999999997E-6</c:v>
                </c:pt>
                <c:pt idx="25">
                  <c:v>6.8006415999999999E-6</c:v>
                </c:pt>
                <c:pt idx="26">
                  <c:v>6.6627350999999996E-6</c:v>
                </c:pt>
                <c:pt idx="27">
                  <c:v>6.6449380000000003E-6</c:v>
                </c:pt>
                <c:pt idx="28">
                  <c:v>6.44535E-6</c:v>
                </c:pt>
                <c:pt idx="29">
                  <c:v>6.7444514000000003E-6</c:v>
                </c:pt>
                <c:pt idx="30">
                  <c:v>6.9045613999999997E-6</c:v>
                </c:pt>
                <c:pt idx="31">
                  <c:v>7.0151266999999998E-6</c:v>
                </c:pt>
                <c:pt idx="32">
                  <c:v>6.5504525000000003E-6</c:v>
                </c:pt>
                <c:pt idx="33">
                  <c:v>6.7563129999999997E-6</c:v>
                </c:pt>
                <c:pt idx="34">
                  <c:v>6.8154161000000004E-6</c:v>
                </c:pt>
                <c:pt idx="35">
                  <c:v>6.8398840999999999E-6</c:v>
                </c:pt>
                <c:pt idx="36">
                  <c:v>7.2625760999999998E-6</c:v>
                </c:pt>
                <c:pt idx="37">
                  <c:v>6.7463601999999999E-6</c:v>
                </c:pt>
                <c:pt idx="38">
                  <c:v>6.4799651999999998E-6</c:v>
                </c:pt>
                <c:pt idx="39">
                  <c:v>7.0869558999999998E-6</c:v>
                </c:pt>
                <c:pt idx="40">
                  <c:v>6.1700493999999998E-6</c:v>
                </c:pt>
                <c:pt idx="41">
                  <c:v>6.3616899999999997E-6</c:v>
                </c:pt>
                <c:pt idx="42">
                  <c:v>6.0917594E-6</c:v>
                </c:pt>
                <c:pt idx="43">
                  <c:v>6.5803735999999997E-6</c:v>
                </c:pt>
                <c:pt idx="44">
                  <c:v>6.2555873999999999E-6</c:v>
                </c:pt>
                <c:pt idx="45">
                  <c:v>6.4105016999999997E-6</c:v>
                </c:pt>
                <c:pt idx="46">
                  <c:v>5.9925357000000001E-6</c:v>
                </c:pt>
                <c:pt idx="47">
                  <c:v>6.1740682999999997E-6</c:v>
                </c:pt>
                <c:pt idx="48">
                  <c:v>6.2332585999999999E-6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9C-1E42-82DB-94AEEA79C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ax val="1.0000000000000004E-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Fe36Cr</a:t>
            </a:r>
            <a:r>
              <a:rPr lang="en-US" baseline="0"/>
              <a:t> </a:t>
            </a:r>
            <a:r>
              <a:rPr lang="en-US"/>
              <a:t>SAW</a:t>
            </a:r>
            <a:r>
              <a:rPr lang="en-US" baseline="0"/>
              <a:t> Speed vs Degrees Rotation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>
              <a:noFill/>
            </a:ln>
          </c:spPr>
          <c:xVal>
            <c:numRef>
              <c:f>'Fe36Cr Max Reformat'!$C$10:$C$55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Reformat'!$T$10:$T$55</c:f>
              <c:numCache>
                <c:formatCode>0.00E+00</c:formatCode>
                <c:ptCount val="46"/>
                <c:pt idx="0">
                  <c:v>3.1462400000000003E-8</c:v>
                </c:pt>
                <c:pt idx="1">
                  <c:v>2.5179599999999999E-8</c:v>
                </c:pt>
                <c:pt idx="2">
                  <c:v>2.9015900000000001E-8</c:v>
                </c:pt>
                <c:pt idx="3">
                  <c:v>2.7288599999999999E-8</c:v>
                </c:pt>
                <c:pt idx="4">
                  <c:v>2.6225000000000002E-8</c:v>
                </c:pt>
                <c:pt idx="5">
                  <c:v>2.6304100000000001E-8</c:v>
                </c:pt>
                <c:pt idx="6">
                  <c:v>3.7387100000000001E-8</c:v>
                </c:pt>
                <c:pt idx="7">
                  <c:v>3.30693E-8</c:v>
                </c:pt>
                <c:pt idx="8">
                  <c:v>3.2657900000000002E-8</c:v>
                </c:pt>
                <c:pt idx="9">
                  <c:v>3.20882E-8</c:v>
                </c:pt>
                <c:pt idx="10">
                  <c:v>3.5196699999999998E-8</c:v>
                </c:pt>
                <c:pt idx="11">
                  <c:v>1.8181400000000001E-8</c:v>
                </c:pt>
                <c:pt idx="12">
                  <c:v>3.0532099999999997E-8</c:v>
                </c:pt>
                <c:pt idx="13">
                  <c:v>2.90663E-8</c:v>
                </c:pt>
                <c:pt idx="14">
                  <c:v>2.62331E-8</c:v>
                </c:pt>
                <c:pt idx="15">
                  <c:v>2.6292300000000001E-8</c:v>
                </c:pt>
                <c:pt idx="16">
                  <c:v>2.7615700000000001E-8</c:v>
                </c:pt>
                <c:pt idx="17">
                  <c:v>2.18126E-8</c:v>
                </c:pt>
                <c:pt idx="18">
                  <c:v>2.5353100000000001E-8</c:v>
                </c:pt>
                <c:pt idx="19">
                  <c:v>2.9306000000000001E-8</c:v>
                </c:pt>
                <c:pt idx="20">
                  <c:v>1.48356E-8</c:v>
                </c:pt>
                <c:pt idx="21">
                  <c:v>3.4856999999999999E-8</c:v>
                </c:pt>
                <c:pt idx="22">
                  <c:v>1.8255E-8</c:v>
                </c:pt>
                <c:pt idx="23">
                  <c:v>2.4520000000000001E-8</c:v>
                </c:pt>
                <c:pt idx="24">
                  <c:v>2.44088E-8</c:v>
                </c:pt>
                <c:pt idx="25">
                  <c:v>2.55317E-8</c:v>
                </c:pt>
                <c:pt idx="26">
                  <c:v>2.8428300000000001E-8</c:v>
                </c:pt>
                <c:pt idx="27">
                  <c:v>2.2013E-8</c:v>
                </c:pt>
                <c:pt idx="28">
                  <c:v>3.0559399999999998E-8</c:v>
                </c:pt>
                <c:pt idx="29">
                  <c:v>2.5729600000000001E-8</c:v>
                </c:pt>
                <c:pt idx="30">
                  <c:v>2.5389399999999998E-8</c:v>
                </c:pt>
                <c:pt idx="31">
                  <c:v>2.9704900000000002E-8</c:v>
                </c:pt>
                <c:pt idx="32">
                  <c:v>2.76636E-8</c:v>
                </c:pt>
                <c:pt idx="33">
                  <c:v>3.0231600000000001E-8</c:v>
                </c:pt>
                <c:pt idx="34">
                  <c:v>2.57532E-8</c:v>
                </c:pt>
                <c:pt idx="35">
                  <c:v>2.5627799999999999E-8</c:v>
                </c:pt>
                <c:pt idx="36">
                  <c:v>2.82356E-8</c:v>
                </c:pt>
                <c:pt idx="37">
                  <c:v>3.0357300000000001E-8</c:v>
                </c:pt>
                <c:pt idx="38">
                  <c:v>3.05964E-8</c:v>
                </c:pt>
                <c:pt idx="39">
                  <c:v>2.54303E-8</c:v>
                </c:pt>
                <c:pt idx="40">
                  <c:v>3.0195699999999998E-8</c:v>
                </c:pt>
                <c:pt idx="41">
                  <c:v>2.6845E-8</c:v>
                </c:pt>
                <c:pt idx="42">
                  <c:v>3.3893999999999999E-8</c:v>
                </c:pt>
                <c:pt idx="43">
                  <c:v>3.0712599999999997E-8</c:v>
                </c:pt>
                <c:pt idx="44">
                  <c:v>2.8874999999999999E-8</c:v>
                </c:pt>
                <c:pt idx="45">
                  <c:v>2.3752E-8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F9-054B-812B-45290F503FEB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xVal>
            <c:numRef>
              <c:f>'Fe36Cr Max Reformat'!$C$56:$C$103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Reformat'!$T$56:$T$103</c:f>
              <c:numCache>
                <c:formatCode>0.00E+00</c:formatCode>
                <c:ptCount val="48"/>
                <c:pt idx="0">
                  <c:v>2.8287149999999999E-8</c:v>
                </c:pt>
                <c:pt idx="1">
                  <c:v>2.1329069000000001E-8</c:v>
                </c:pt>
                <c:pt idx="2">
                  <c:v>2.7758522E-8</c:v>
                </c:pt>
                <c:pt idx="3">
                  <c:v>2.9495701999999999E-8</c:v>
                </c:pt>
                <c:pt idx="4">
                  <c:v>2.6210392E-8</c:v>
                </c:pt>
                <c:pt idx="5">
                  <c:v>3.0569389000000002E-8</c:v>
                </c:pt>
                <c:pt idx="6">
                  <c:v>2.9796895999999999E-8</c:v>
                </c:pt>
                <c:pt idx="7">
                  <c:v>2.9609053000000001E-8</c:v>
                </c:pt>
                <c:pt idx="8">
                  <c:v>2.852298E-8</c:v>
                </c:pt>
                <c:pt idx="9">
                  <c:v>2.8944840000000001E-8</c:v>
                </c:pt>
                <c:pt idx="10">
                  <c:v>2.9647004999999999E-8</c:v>
                </c:pt>
                <c:pt idx="11">
                  <c:v>2.7536345E-8</c:v>
                </c:pt>
                <c:pt idx="12">
                  <c:v>2.8983465000000002E-8</c:v>
                </c:pt>
                <c:pt idx="13">
                  <c:v>2.3279880999999999E-8</c:v>
                </c:pt>
                <c:pt idx="14">
                  <c:v>2.5972822E-8</c:v>
                </c:pt>
                <c:pt idx="15">
                  <c:v>2.6129678E-8</c:v>
                </c:pt>
                <c:pt idx="16">
                  <c:v>2.7315083E-8</c:v>
                </c:pt>
                <c:pt idx="17">
                  <c:v>2.6132322999999999E-8</c:v>
                </c:pt>
                <c:pt idx="18">
                  <c:v>3.0015925999999998E-8</c:v>
                </c:pt>
                <c:pt idx="19">
                  <c:v>3.1941971000000003E-8</c:v>
                </c:pt>
                <c:pt idx="20">
                  <c:v>3.0572817000000003E-8</c:v>
                </c:pt>
                <c:pt idx="21">
                  <c:v>2.9343952999999999E-8</c:v>
                </c:pt>
                <c:pt idx="22">
                  <c:v>2.8464462000000001E-8</c:v>
                </c:pt>
                <c:pt idx="23">
                  <c:v>5.0218748E-9</c:v>
                </c:pt>
                <c:pt idx="24">
                  <c:v>2.2801461000000002E-8</c:v>
                </c:pt>
                <c:pt idx="25">
                  <c:v>2.6106637E-8</c:v>
                </c:pt>
                <c:pt idx="26">
                  <c:v>2.7489702000000001E-8</c:v>
                </c:pt>
                <c:pt idx="27">
                  <c:v>2.8809378999999998E-8</c:v>
                </c:pt>
                <c:pt idx="28">
                  <c:v>2.1625230000000001E-8</c:v>
                </c:pt>
                <c:pt idx="29">
                  <c:v>2.6558316E-8</c:v>
                </c:pt>
                <c:pt idx="30">
                  <c:v>2.6425107000000001E-8</c:v>
                </c:pt>
                <c:pt idx="31">
                  <c:v>2.5931496999999999E-8</c:v>
                </c:pt>
                <c:pt idx="32">
                  <c:v>2.8782797999999999E-8</c:v>
                </c:pt>
                <c:pt idx="33">
                  <c:v>3.0014690999999999E-8</c:v>
                </c:pt>
                <c:pt idx="34">
                  <c:v>2.8286372999999999E-8</c:v>
                </c:pt>
                <c:pt idx="35">
                  <c:v>2.9284043E-8</c:v>
                </c:pt>
                <c:pt idx="36">
                  <c:v>2.7422093999999999E-8</c:v>
                </c:pt>
                <c:pt idx="37">
                  <c:v>2.5643936000000001E-8</c:v>
                </c:pt>
                <c:pt idx="38">
                  <c:v>2.5817309000000001E-8</c:v>
                </c:pt>
                <c:pt idx="39">
                  <c:v>2.8084955999999999E-8</c:v>
                </c:pt>
                <c:pt idx="40">
                  <c:v>2.8728786E-8</c:v>
                </c:pt>
                <c:pt idx="41">
                  <c:v>2.9256044000000002E-8</c:v>
                </c:pt>
                <c:pt idx="42">
                  <c:v>2.7147446999999998E-8</c:v>
                </c:pt>
                <c:pt idx="43">
                  <c:v>2.5149021999999999E-8</c:v>
                </c:pt>
                <c:pt idx="44">
                  <c:v>2.9861798999999998E-8</c:v>
                </c:pt>
                <c:pt idx="45">
                  <c:v>2.6866914000000001E-8</c:v>
                </c:pt>
                <c:pt idx="46">
                  <c:v>2.1939962000000001E-8</c:v>
                </c:pt>
                <c:pt idx="47">
                  <c:v>2.7138655000000002E-8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F9-054B-812B-45290F503FEB}"/>
            </c:ext>
          </c:extLst>
        </c:ser>
        <c:ser>
          <c:idx val="2"/>
          <c:order val="2"/>
          <c:tx>
            <c:v>500C 10hr</c:v>
          </c:tx>
          <c:spPr>
            <a:ln w="19050">
              <a:noFill/>
            </a:ln>
          </c:spPr>
          <c:xVal>
            <c:numRef>
              <c:f>'Fe36Cr Max Reformat'!$C$104:$C$137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Reformat'!$T$104:$T$137</c:f>
              <c:numCache>
                <c:formatCode>0.00E+00</c:formatCode>
                <c:ptCount val="34"/>
                <c:pt idx="0">
                  <c:v>2.2248663000000001E-8</c:v>
                </c:pt>
                <c:pt idx="1">
                  <c:v>2.5630083999999999E-8</c:v>
                </c:pt>
                <c:pt idx="2">
                  <c:v>2.8621777000000002E-8</c:v>
                </c:pt>
                <c:pt idx="3">
                  <c:v>2.7462701E-8</c:v>
                </c:pt>
                <c:pt idx="4">
                  <c:v>2.3736025E-8</c:v>
                </c:pt>
                <c:pt idx="5">
                  <c:v>2.6134979999999999E-8</c:v>
                </c:pt>
                <c:pt idx="6">
                  <c:v>2.6113064000000001E-8</c:v>
                </c:pt>
                <c:pt idx="7">
                  <c:v>2.7863119000000001E-8</c:v>
                </c:pt>
                <c:pt idx="8">
                  <c:v>2.7041177000000001E-8</c:v>
                </c:pt>
                <c:pt idx="9">
                  <c:v>2.6839836999999998E-8</c:v>
                </c:pt>
                <c:pt idx="10">
                  <c:v>2.4075777999999999E-8</c:v>
                </c:pt>
                <c:pt idx="11">
                  <c:v>2.4252214E-8</c:v>
                </c:pt>
                <c:pt idx="12">
                  <c:v>2.4615920000000001E-8</c:v>
                </c:pt>
                <c:pt idx="13">
                  <c:v>2.4227135999999999E-8</c:v>
                </c:pt>
                <c:pt idx="14">
                  <c:v>2.2755998999999998E-8</c:v>
                </c:pt>
                <c:pt idx="15">
                  <c:v>2.5129106E-8</c:v>
                </c:pt>
                <c:pt idx="16">
                  <c:v>2.7908261000000001E-8</c:v>
                </c:pt>
                <c:pt idx="17">
                  <c:v>2.8758599000000001E-8</c:v>
                </c:pt>
                <c:pt idx="18">
                  <c:v>2.9082759999999999E-8</c:v>
                </c:pt>
                <c:pt idx="19">
                  <c:v>2.6615398000000002E-8</c:v>
                </c:pt>
                <c:pt idx="20">
                  <c:v>2.5030464999999999E-8</c:v>
                </c:pt>
                <c:pt idx="21">
                  <c:v>2.8908945E-8</c:v>
                </c:pt>
                <c:pt idx="22">
                  <c:v>2.4844044999999998E-8</c:v>
                </c:pt>
                <c:pt idx="23">
                  <c:v>2.4872753000000001E-8</c:v>
                </c:pt>
                <c:pt idx="24">
                  <c:v>2.6868811E-8</c:v>
                </c:pt>
                <c:pt idx="25">
                  <c:v>2.5455585E-8</c:v>
                </c:pt>
                <c:pt idx="26">
                  <c:v>2.8705319E-8</c:v>
                </c:pt>
                <c:pt idx="27">
                  <c:v>2.8009104E-8</c:v>
                </c:pt>
                <c:pt idx="28">
                  <c:v>2.0049667000000001E-8</c:v>
                </c:pt>
                <c:pt idx="29">
                  <c:v>2.6955491E-8</c:v>
                </c:pt>
                <c:pt idx="30">
                  <c:v>2.3668770000000001E-8</c:v>
                </c:pt>
                <c:pt idx="31">
                  <c:v>2.6244931999999999E-8</c:v>
                </c:pt>
                <c:pt idx="32">
                  <c:v>2.8336541E-8</c:v>
                </c:pt>
                <c:pt idx="33">
                  <c:v>3.0210822000000001E-8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F9-054B-812B-45290F503FEB}"/>
            </c:ext>
          </c:extLst>
        </c:ser>
        <c:ser>
          <c:idx val="4"/>
          <c:order val="3"/>
          <c:tx>
            <c:v>2nd homogenization</c:v>
          </c:tx>
          <c:spPr>
            <a:ln w="19050">
              <a:noFill/>
            </a:ln>
          </c:spPr>
          <c:xVal>
            <c:numRef>
              <c:f>'Fe36Cr Max Reformat'!$C$187:$C$235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Reformat'!$T$187:$T$235</c:f>
              <c:numCache>
                <c:formatCode>0.00E+00</c:formatCode>
                <c:ptCount val="49"/>
                <c:pt idx="0">
                  <c:v>2.9182776999999999E-8</c:v>
                </c:pt>
                <c:pt idx="1">
                  <c:v>2.9826280000000002E-8</c:v>
                </c:pt>
                <c:pt idx="2">
                  <c:v>3.2176259000000003E-8</c:v>
                </c:pt>
                <c:pt idx="3">
                  <c:v>3.1911219999999998E-8</c:v>
                </c:pt>
                <c:pt idx="4">
                  <c:v>2.8718101999999999E-8</c:v>
                </c:pt>
                <c:pt idx="5">
                  <c:v>2.8619592E-8</c:v>
                </c:pt>
                <c:pt idx="6">
                  <c:v>3.2049514000000003E-8</c:v>
                </c:pt>
                <c:pt idx="7">
                  <c:v>3.0812369E-8</c:v>
                </c:pt>
                <c:pt idx="8">
                  <c:v>3.0660101E-8</c:v>
                </c:pt>
                <c:pt idx="9">
                  <c:v>3.1691003999999997E-8</c:v>
                </c:pt>
                <c:pt idx="10">
                  <c:v>2.8067640000000001E-8</c:v>
                </c:pt>
                <c:pt idx="11">
                  <c:v>2.9596272E-8</c:v>
                </c:pt>
                <c:pt idx="12">
                  <c:v>2.7899366999999998E-8</c:v>
                </c:pt>
                <c:pt idx="13">
                  <c:v>2.5482665E-8</c:v>
                </c:pt>
                <c:pt idx="14">
                  <c:v>2.1175134999999999E-8</c:v>
                </c:pt>
                <c:pt idx="15">
                  <c:v>2.8171841000000001E-8</c:v>
                </c:pt>
                <c:pt idx="16">
                  <c:v>2.6026345999999999E-8</c:v>
                </c:pt>
                <c:pt idx="17">
                  <c:v>3.5119397999999999E-8</c:v>
                </c:pt>
                <c:pt idx="18">
                  <c:v>3.2292217999999999E-8</c:v>
                </c:pt>
                <c:pt idx="19">
                  <c:v>1.5953402E-8</c:v>
                </c:pt>
                <c:pt idx="20">
                  <c:v>2.8703015E-8</c:v>
                </c:pt>
                <c:pt idx="21">
                  <c:v>2.2595309000000001E-8</c:v>
                </c:pt>
                <c:pt idx="22">
                  <c:v>1.2402175E-8</c:v>
                </c:pt>
                <c:pt idx="23">
                  <c:v>2.2000954000000001E-8</c:v>
                </c:pt>
                <c:pt idx="24">
                  <c:v>5.1601023999999999E-9</c:v>
                </c:pt>
                <c:pt idx="25">
                  <c:v>2.0677351E-8</c:v>
                </c:pt>
                <c:pt idx="26">
                  <c:v>2.9837231999999999E-8</c:v>
                </c:pt>
                <c:pt idx="27">
                  <c:v>1.9997289E-8</c:v>
                </c:pt>
                <c:pt idx="28">
                  <c:v>3.5517241E-8</c:v>
                </c:pt>
                <c:pt idx="29">
                  <c:v>3.2688577000000003E-8</c:v>
                </c:pt>
                <c:pt idx="30">
                  <c:v>3.1597275E-8</c:v>
                </c:pt>
                <c:pt idx="31">
                  <c:v>3.0883044E-8</c:v>
                </c:pt>
                <c:pt idx="32">
                  <c:v>3.1324417E-8</c:v>
                </c:pt>
                <c:pt idx="33">
                  <c:v>3.4632932000000001E-8</c:v>
                </c:pt>
                <c:pt idx="34">
                  <c:v>3.0204629999999999E-8</c:v>
                </c:pt>
                <c:pt idx="35">
                  <c:v>2.2961493000000001E-8</c:v>
                </c:pt>
                <c:pt idx="36">
                  <c:v>3.2762635999999997E-8</c:v>
                </c:pt>
                <c:pt idx="37">
                  <c:v>3.1373834E-8</c:v>
                </c:pt>
                <c:pt idx="38">
                  <c:v>3.6635191000000001E-8</c:v>
                </c:pt>
                <c:pt idx="39">
                  <c:v>2.7415064999999999E-8</c:v>
                </c:pt>
                <c:pt idx="40">
                  <c:v>3.5255878999999999E-8</c:v>
                </c:pt>
                <c:pt idx="41">
                  <c:v>3.4609009999999999E-8</c:v>
                </c:pt>
                <c:pt idx="42">
                  <c:v>3.5488581000000003E-8</c:v>
                </c:pt>
                <c:pt idx="43">
                  <c:v>4.0322512E-8</c:v>
                </c:pt>
                <c:pt idx="44">
                  <c:v>2.8596725E-8</c:v>
                </c:pt>
                <c:pt idx="45">
                  <c:v>2.8909840000000001E-8</c:v>
                </c:pt>
                <c:pt idx="46">
                  <c:v>2.8862434E-8</c:v>
                </c:pt>
                <c:pt idx="47">
                  <c:v>3.3830535999999998E-8</c:v>
                </c:pt>
                <c:pt idx="48">
                  <c:v>4.1791812000000001E-8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F9-054B-812B-45290F503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Fe36Cr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Reformat'!$C$10:$C$55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Reformat'!$G$10:$G$55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12-9442-964E-B250E565355A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'Fe36Cr Max Reformat'!$C$56:$C$103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Reformat'!$G$56:$G$103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12-9442-964E-B250E565355A}"/>
            </c:ext>
          </c:extLst>
        </c:ser>
        <c:ser>
          <c:idx val="2"/>
          <c:order val="2"/>
          <c:tx>
            <c:v>500C 10hr</c:v>
          </c:tx>
          <c:spPr>
            <a:ln w="25400">
              <a:noFill/>
            </a:ln>
          </c:spPr>
          <c:marker>
            <c:symbol val="circle"/>
            <c:size val="7"/>
          </c:marker>
          <c:xVal>
            <c:numRef>
              <c:f>'Fe36Cr Max Reformat'!$C$104:$C$137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Reformat'!$G$104:$G$137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12-9442-964E-B250E565355A}"/>
            </c:ext>
          </c:extLst>
        </c:ser>
        <c:ser>
          <c:idx val="3"/>
          <c:order val="3"/>
          <c:tx>
            <c:v>500C 10hr polished</c:v>
          </c:tx>
          <c:spPr>
            <a:ln w="25400">
              <a:noFill/>
            </a:ln>
          </c:spPr>
          <c:marker>
            <c:symbol val="circle"/>
            <c:size val="7"/>
          </c:marker>
          <c:xVal>
            <c:numRef>
              <c:f>'Fe36Cr Max Reformat'!$C$138:$C$186</c:f>
              <c:numCache>
                <c:formatCode>0</c:formatCode>
                <c:ptCount val="49"/>
                <c:pt idx="0" formatCode="General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Reformat'!$G$138:$G$186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12-9442-964E-B250E565355A}"/>
            </c:ext>
          </c:extLst>
        </c:ser>
        <c:ser>
          <c:idx val="4"/>
          <c:order val="4"/>
          <c:tx>
            <c:v>2nd homogenization</c:v>
          </c:tx>
          <c:spPr>
            <a:ln w="25400">
              <a:noFill/>
            </a:ln>
          </c:spPr>
          <c:marker>
            <c:symbol val="circle"/>
            <c:size val="7"/>
          </c:marker>
          <c:xVal>
            <c:numRef>
              <c:f>'Fe36Cr Max Reformat'!$C$187:$C$235</c:f>
              <c:numCache>
                <c:formatCode>General</c:formatCode>
                <c:ptCount val="49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Reformat'!$G$187:$G$235</c:f>
              <c:numCache>
                <c:formatCode>0.00</c:formatCode>
                <c:ptCount val="49"/>
                <c:pt idx="0">
                  <c:v>2912.63</c:v>
                </c:pt>
                <c:pt idx="1">
                  <c:v>2918.54</c:v>
                </c:pt>
                <c:pt idx="2">
                  <c:v>2883.85</c:v>
                </c:pt>
                <c:pt idx="3">
                  <c:v>2833.31</c:v>
                </c:pt>
                <c:pt idx="4">
                  <c:v>2782.36</c:v>
                </c:pt>
                <c:pt idx="5">
                  <c:v>2739.77</c:v>
                </c:pt>
                <c:pt idx="6">
                  <c:v>2705.83</c:v>
                </c:pt>
                <c:pt idx="7">
                  <c:v>2674.53</c:v>
                </c:pt>
                <c:pt idx="8">
                  <c:v>2649.28</c:v>
                </c:pt>
                <c:pt idx="9">
                  <c:v>2668.04</c:v>
                </c:pt>
                <c:pt idx="10">
                  <c:v>2673.74</c:v>
                </c:pt>
                <c:pt idx="11">
                  <c:v>2703.25</c:v>
                </c:pt>
                <c:pt idx="12">
                  <c:v>2738.57</c:v>
                </c:pt>
                <c:pt idx="13">
                  <c:v>2714.81</c:v>
                </c:pt>
                <c:pt idx="14">
                  <c:v>2797.16</c:v>
                </c:pt>
                <c:pt idx="15">
                  <c:v>2874.37</c:v>
                </c:pt>
                <c:pt idx="16">
                  <c:v>2915.04</c:v>
                </c:pt>
                <c:pt idx="17">
                  <c:v>2938.32</c:v>
                </c:pt>
                <c:pt idx="18">
                  <c:v>2897.89</c:v>
                </c:pt>
                <c:pt idx="19">
                  <c:v>2775.79</c:v>
                </c:pt>
                <c:pt idx="20">
                  <c:v>3325.78</c:v>
                </c:pt>
                <c:pt idx="21">
                  <c:v>3332.4</c:v>
                </c:pt>
                <c:pt idx="22">
                  <c:v>3212.53</c:v>
                </c:pt>
                <c:pt idx="23">
                  <c:v>3401.34</c:v>
                </c:pt>
                <c:pt idx="24">
                  <c:v>3463.72</c:v>
                </c:pt>
                <c:pt idx="25">
                  <c:v>3482.44</c:v>
                </c:pt>
                <c:pt idx="26">
                  <c:v>3561.59</c:v>
                </c:pt>
                <c:pt idx="27">
                  <c:v>3541.41</c:v>
                </c:pt>
                <c:pt idx="28">
                  <c:v>2933.84</c:v>
                </c:pt>
                <c:pt idx="29">
                  <c:v>2991.48</c:v>
                </c:pt>
                <c:pt idx="30">
                  <c:v>3024.97</c:v>
                </c:pt>
                <c:pt idx="31">
                  <c:v>3031.79</c:v>
                </c:pt>
                <c:pt idx="32">
                  <c:v>3009.79</c:v>
                </c:pt>
                <c:pt idx="33">
                  <c:v>2984.62</c:v>
                </c:pt>
                <c:pt idx="34">
                  <c:v>2919.69</c:v>
                </c:pt>
                <c:pt idx="35">
                  <c:v>2903.62</c:v>
                </c:pt>
                <c:pt idx="36">
                  <c:v>2815.94</c:v>
                </c:pt>
                <c:pt idx="37">
                  <c:v>2784.22</c:v>
                </c:pt>
                <c:pt idx="38">
                  <c:v>2755.88</c:v>
                </c:pt>
                <c:pt idx="39">
                  <c:v>2727.17</c:v>
                </c:pt>
                <c:pt idx="40">
                  <c:v>2734.55</c:v>
                </c:pt>
                <c:pt idx="41">
                  <c:v>2746.06</c:v>
                </c:pt>
                <c:pt idx="42">
                  <c:v>2770.3</c:v>
                </c:pt>
                <c:pt idx="43">
                  <c:v>2816.48</c:v>
                </c:pt>
                <c:pt idx="44">
                  <c:v>2863.26</c:v>
                </c:pt>
                <c:pt idx="45">
                  <c:v>2915.02</c:v>
                </c:pt>
                <c:pt idx="46">
                  <c:v>2918.5</c:v>
                </c:pt>
                <c:pt idx="47">
                  <c:v>2877.57</c:v>
                </c:pt>
                <c:pt idx="48">
                  <c:v>2824.06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12-9442-964E-B250E565355A}"/>
            </c:ext>
          </c:extLst>
        </c:ser>
        <c:ser>
          <c:idx val="5"/>
          <c:order val="5"/>
          <c:tx>
            <c:v>3rd homogenization</c:v>
          </c:tx>
          <c:spPr>
            <a:ln w="25400">
              <a:noFill/>
            </a:ln>
          </c:spPr>
          <c:xVal>
            <c:numRef>
              <c:f>'Fe36Cr Max Reformat'!$C$236:$C$285</c:f>
              <c:numCache>
                <c:formatCode>General</c:formatCode>
                <c:ptCount val="50"/>
                <c:pt idx="0">
                  <c:v>-8</c:v>
                </c:pt>
                <c:pt idx="1">
                  <c:v>-4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52</c:v>
                </c:pt>
                <c:pt idx="16">
                  <c:v>56</c:v>
                </c:pt>
                <c:pt idx="17">
                  <c:v>60</c:v>
                </c:pt>
                <c:pt idx="18">
                  <c:v>64</c:v>
                </c:pt>
                <c:pt idx="19">
                  <c:v>68</c:v>
                </c:pt>
                <c:pt idx="20">
                  <c:v>72</c:v>
                </c:pt>
                <c:pt idx="21">
                  <c:v>76</c:v>
                </c:pt>
                <c:pt idx="22">
                  <c:v>80</c:v>
                </c:pt>
                <c:pt idx="23">
                  <c:v>84</c:v>
                </c:pt>
                <c:pt idx="24">
                  <c:v>88</c:v>
                </c:pt>
                <c:pt idx="25">
                  <c:v>92</c:v>
                </c:pt>
                <c:pt idx="26">
                  <c:v>96</c:v>
                </c:pt>
                <c:pt idx="27">
                  <c:v>100</c:v>
                </c:pt>
                <c:pt idx="28">
                  <c:v>104</c:v>
                </c:pt>
                <c:pt idx="29">
                  <c:v>108</c:v>
                </c:pt>
                <c:pt idx="30">
                  <c:v>112</c:v>
                </c:pt>
                <c:pt idx="31">
                  <c:v>116</c:v>
                </c:pt>
                <c:pt idx="32">
                  <c:v>120</c:v>
                </c:pt>
                <c:pt idx="33">
                  <c:v>124</c:v>
                </c:pt>
                <c:pt idx="34">
                  <c:v>128</c:v>
                </c:pt>
                <c:pt idx="35">
                  <c:v>132</c:v>
                </c:pt>
                <c:pt idx="36">
                  <c:v>136</c:v>
                </c:pt>
                <c:pt idx="37">
                  <c:v>140</c:v>
                </c:pt>
                <c:pt idx="38">
                  <c:v>144</c:v>
                </c:pt>
                <c:pt idx="39">
                  <c:v>148</c:v>
                </c:pt>
                <c:pt idx="40">
                  <c:v>152</c:v>
                </c:pt>
                <c:pt idx="41">
                  <c:v>156</c:v>
                </c:pt>
                <c:pt idx="42">
                  <c:v>160</c:v>
                </c:pt>
                <c:pt idx="43">
                  <c:v>164</c:v>
                </c:pt>
                <c:pt idx="44">
                  <c:v>168</c:v>
                </c:pt>
                <c:pt idx="45">
                  <c:v>172</c:v>
                </c:pt>
                <c:pt idx="46">
                  <c:v>176</c:v>
                </c:pt>
                <c:pt idx="47">
                  <c:v>180</c:v>
                </c:pt>
                <c:pt idx="48">
                  <c:v>184</c:v>
                </c:pt>
                <c:pt idx="49">
                  <c:v>188</c:v>
                </c:pt>
              </c:numCache>
            </c:numRef>
          </c:xVal>
          <c:yVal>
            <c:numRef>
              <c:f>'Fe36Cr Max Reformat'!$G$236:$G$285</c:f>
              <c:numCache>
                <c:formatCode>0.00</c:formatCode>
                <c:ptCount val="50"/>
                <c:pt idx="0">
                  <c:v>2801.71</c:v>
                </c:pt>
                <c:pt idx="1">
                  <c:v>2855.21</c:v>
                </c:pt>
                <c:pt idx="2">
                  <c:v>2902.28</c:v>
                </c:pt>
                <c:pt idx="3">
                  <c:v>2918.79</c:v>
                </c:pt>
                <c:pt idx="4">
                  <c:v>2885.36</c:v>
                </c:pt>
                <c:pt idx="5">
                  <c:v>2836.8</c:v>
                </c:pt>
                <c:pt idx="6">
                  <c:v>2788.31</c:v>
                </c:pt>
                <c:pt idx="7">
                  <c:v>2746.26</c:v>
                </c:pt>
                <c:pt idx="8">
                  <c:v>2707.68</c:v>
                </c:pt>
                <c:pt idx="9">
                  <c:v>2679.1</c:v>
                </c:pt>
                <c:pt idx="10">
                  <c:v>2647.64</c:v>
                </c:pt>
                <c:pt idx="11">
                  <c:v>2641.63</c:v>
                </c:pt>
                <c:pt idx="12">
                  <c:v>2645.04</c:v>
                </c:pt>
                <c:pt idx="13">
                  <c:v>2689.64</c:v>
                </c:pt>
                <c:pt idx="14">
                  <c:v>2709.99</c:v>
                </c:pt>
                <c:pt idx="15">
                  <c:v>2756.29</c:v>
                </c:pt>
                <c:pt idx="16">
                  <c:v>2606.7800000000002</c:v>
                </c:pt>
                <c:pt idx="17">
                  <c:v>2626.14</c:v>
                </c:pt>
                <c:pt idx="18">
                  <c:v>2909.63</c:v>
                </c:pt>
                <c:pt idx="19">
                  <c:v>2938.93</c:v>
                </c:pt>
                <c:pt idx="20">
                  <c:v>2927.01</c:v>
                </c:pt>
                <c:pt idx="21">
                  <c:v>2882.75</c:v>
                </c:pt>
                <c:pt idx="22">
                  <c:v>3340.73</c:v>
                </c:pt>
                <c:pt idx="23">
                  <c:v>3352.28</c:v>
                </c:pt>
                <c:pt idx="24">
                  <c:v>3381.97</c:v>
                </c:pt>
                <c:pt idx="25">
                  <c:v>3425.27</c:v>
                </c:pt>
                <c:pt idx="26">
                  <c:v>3477.5</c:v>
                </c:pt>
                <c:pt idx="27">
                  <c:v>3496.09</c:v>
                </c:pt>
                <c:pt idx="28">
                  <c:v>3545.64</c:v>
                </c:pt>
                <c:pt idx="29">
                  <c:v>3567.4</c:v>
                </c:pt>
                <c:pt idx="30">
                  <c:v>3496.81</c:v>
                </c:pt>
                <c:pt idx="31">
                  <c:v>2950.25</c:v>
                </c:pt>
                <c:pt idx="32">
                  <c:v>3009.35</c:v>
                </c:pt>
                <c:pt idx="33">
                  <c:v>3027.71</c:v>
                </c:pt>
                <c:pt idx="34">
                  <c:v>3023.74</c:v>
                </c:pt>
                <c:pt idx="35">
                  <c:v>2991.44</c:v>
                </c:pt>
                <c:pt idx="36">
                  <c:v>2952.67</c:v>
                </c:pt>
                <c:pt idx="37">
                  <c:v>2889.2</c:v>
                </c:pt>
                <c:pt idx="38">
                  <c:v>2825.65</c:v>
                </c:pt>
                <c:pt idx="39">
                  <c:v>2914.15</c:v>
                </c:pt>
                <c:pt idx="40">
                  <c:v>2754.28</c:v>
                </c:pt>
                <c:pt idx="41">
                  <c:v>2733.49</c:v>
                </c:pt>
                <c:pt idx="42">
                  <c:v>2714.5</c:v>
                </c:pt>
                <c:pt idx="43">
                  <c:v>2686.93</c:v>
                </c:pt>
                <c:pt idx="44">
                  <c:v>2728.17</c:v>
                </c:pt>
                <c:pt idx="45">
                  <c:v>2689.63</c:v>
                </c:pt>
                <c:pt idx="46">
                  <c:v>2698.6</c:v>
                </c:pt>
                <c:pt idx="47">
                  <c:v>2654.38</c:v>
                </c:pt>
                <c:pt idx="48">
                  <c:v>2662.52</c:v>
                </c:pt>
                <c:pt idx="49">
                  <c:v>2727.59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12-9442-964E-B250E5653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Fe-36Cr </a:t>
            </a:r>
          </a:p>
        </c:rich>
      </c:tx>
      <c:layout>
        <c:manualLayout>
          <c:xMode val="edge"/>
          <c:yMode val="edge"/>
          <c:x val="0.51271196757774118"/>
          <c:y val="1.89114523362530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606938145443833"/>
          <c:y val="0.13712710911136108"/>
          <c:w val="0.7236080404567925"/>
          <c:h val="0.65810123734533188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Reformat'!$E$10:$E$55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Reformat'!$G$10:$G$55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C-344D-B769-0C1EEF16FFD6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'Fe36Cr Max Reformat'!$C$56:$C$103</c:f>
              <c:numCache>
                <c:formatCode>0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'Fe36Cr Max Reformat'!$G$56:$G$103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8C-344D-B769-0C1EEF16FFD6}"/>
            </c:ext>
          </c:extLst>
        </c:ser>
        <c:ser>
          <c:idx val="2"/>
          <c:order val="2"/>
          <c:tx>
            <c:v>500C 10hr</c:v>
          </c:tx>
          <c:spPr>
            <a:ln w="25400">
              <a:noFill/>
            </a:ln>
          </c:spPr>
          <c:marker>
            <c:symbol val="circle"/>
            <c:size val="6"/>
          </c:marker>
          <c:xVal>
            <c:numRef>
              <c:f>'Fe36Cr Max Reformat'!$C$104:$C$137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Reformat'!$G$104:$G$137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8C-344D-B769-0C1EEF16FFD6}"/>
            </c:ext>
          </c:extLst>
        </c:ser>
        <c:ser>
          <c:idx val="3"/>
          <c:order val="3"/>
          <c:tx>
            <c:v>500C 10hr re-polished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Reformat'!$C$138:$C$186</c:f>
              <c:numCache>
                <c:formatCode>0</c:formatCode>
                <c:ptCount val="49"/>
                <c:pt idx="0" formatCode="General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136</c:v>
                </c:pt>
                <c:pt idx="36">
                  <c:v>140</c:v>
                </c:pt>
                <c:pt idx="37">
                  <c:v>144</c:v>
                </c:pt>
                <c:pt idx="38">
                  <c:v>148</c:v>
                </c:pt>
                <c:pt idx="39">
                  <c:v>152</c:v>
                </c:pt>
                <c:pt idx="40">
                  <c:v>156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  <c:pt idx="48">
                  <c:v>188</c:v>
                </c:pt>
              </c:numCache>
            </c:numRef>
          </c:xVal>
          <c:yVal>
            <c:numRef>
              <c:f>'Fe36Cr Max Reformat'!$G$138:$G$186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F-764E-85D4-6B8C2E17B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Relative Surface Angle [degrees]</a:t>
                </a:r>
              </a:p>
            </c:rich>
          </c:tx>
          <c:layout>
            <c:manualLayout>
              <c:xMode val="edge"/>
              <c:yMode val="edge"/>
              <c:x val="0.33838425892873036"/>
              <c:y val="0.894924754817805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</c:valAx>
      <c:valAx>
        <c:axId val="1791294527"/>
        <c:scaling>
          <c:orientation val="minMax"/>
          <c:max val="3550"/>
          <c:min val="2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5.1609193810044779E-2"/>
              <c:y val="0.1337271891722504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layout>
        <c:manualLayout>
          <c:xMode val="edge"/>
          <c:yMode val="edge"/>
          <c:x val="0.70788772293211899"/>
          <c:y val="0.16210451007530419"/>
          <c:w val="0.29211232678034826"/>
          <c:h val="5.0088256483151447E-2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'Fe36Cr Max Reformat'!$AD$4:$AD$7</c:f>
                <c:numCache>
                  <c:formatCode>General</c:formatCode>
                  <c:ptCount val="4"/>
                  <c:pt idx="0">
                    <c:v>6.1119714861084455</c:v>
                  </c:pt>
                  <c:pt idx="1">
                    <c:v>12.408119653409695</c:v>
                  </c:pt>
                  <c:pt idx="2">
                    <c:v>4.5606395750304971</c:v>
                  </c:pt>
                  <c:pt idx="3">
                    <c:v>12.797911287914451</c:v>
                  </c:pt>
                </c:numCache>
              </c:numRef>
            </c:plus>
            <c:minus>
              <c:numRef>
                <c:f>'Fe36Cr Max Reformat'!$AD$4:$AD$7</c:f>
                <c:numCache>
                  <c:formatCode>General</c:formatCode>
                  <c:ptCount val="4"/>
                  <c:pt idx="0">
                    <c:v>6.1119714861084455</c:v>
                  </c:pt>
                  <c:pt idx="1">
                    <c:v>12.408119653409695</c:v>
                  </c:pt>
                  <c:pt idx="2">
                    <c:v>4.5606395750304971</c:v>
                  </c:pt>
                  <c:pt idx="3">
                    <c:v>12.797911287914451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'Fe36Cr Max Reformat'!$AA$4:$AA$7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11</c:v>
                </c:pt>
                <c:pt idx="3">
                  <c:v>14</c:v>
                </c:pt>
              </c:numCache>
            </c:numRef>
          </c:xVal>
          <c:yVal>
            <c:numRef>
              <c:f>'Fe36Cr Max Reformat'!$AC$4:$AC$7</c:f>
              <c:numCache>
                <c:formatCode>0.00</c:formatCode>
                <c:ptCount val="4"/>
                <c:pt idx="0" formatCode="General">
                  <c:v>2703.5915150000001</c:v>
                </c:pt>
                <c:pt idx="1">
                  <c:v>2728.73</c:v>
                </c:pt>
                <c:pt idx="2">
                  <c:v>2759.42</c:v>
                </c:pt>
                <c:pt idx="3">
                  <c:v>2649.28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14-A94B-B77B-0FCA8CA8D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827840"/>
        <c:axId val="1693264768"/>
      </c:scatterChart>
      <c:valAx>
        <c:axId val="1692827840"/>
        <c:scaling>
          <c:orientation val="minMax"/>
          <c:min val="-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3264768"/>
        <c:crossesAt val="2600"/>
        <c:crossBetween val="midCat"/>
      </c:valAx>
      <c:valAx>
        <c:axId val="1693264768"/>
        <c:scaling>
          <c:orientation val="minMax"/>
          <c:max val="2800"/>
          <c:min val="26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SAW Speed [m/s]</a:t>
                </a:r>
              </a:p>
            </c:rich>
          </c:tx>
          <c:layout>
            <c:manualLayout>
              <c:xMode val="edge"/>
              <c:yMode val="edge"/>
              <c:x val="1.0251176891770087E-2"/>
              <c:y val="0.17460090649360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2827840"/>
        <c:crossesAt val="-1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'Fe36Cr Max Reformat'!$AD$8:$AD$10</c:f>
                <c:numCache>
                  <c:formatCode>General</c:formatCode>
                  <c:ptCount val="3"/>
                  <c:pt idx="0">
                    <c:v>6</c:v>
                  </c:pt>
                  <c:pt idx="1">
                    <c:v>5.3</c:v>
                  </c:pt>
                  <c:pt idx="2">
                    <c:v>7.5</c:v>
                  </c:pt>
                </c:numCache>
              </c:numRef>
            </c:plus>
            <c:minus>
              <c:numRef>
                <c:f>'Fe36Cr Max Reformat'!$AD$8:$AD$10</c:f>
                <c:numCache>
                  <c:formatCode>General</c:formatCode>
                  <c:ptCount val="3"/>
                  <c:pt idx="0">
                    <c:v>6</c:v>
                  </c:pt>
                  <c:pt idx="1">
                    <c:v>5.3</c:v>
                  </c:pt>
                  <c:pt idx="2">
                    <c:v>7.5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'Fe36Cr Max Reformat'!$AA$8:$AA$10</c:f>
              <c:numCache>
                <c:formatCode>General</c:formatCode>
                <c:ptCount val="3"/>
                <c:pt idx="0">
                  <c:v>1</c:v>
                </c:pt>
                <c:pt idx="1">
                  <c:v>11</c:v>
                </c:pt>
                <c:pt idx="2">
                  <c:v>14</c:v>
                </c:pt>
              </c:numCache>
            </c:numRef>
          </c:xVal>
          <c:yVal>
            <c:numRef>
              <c:f>'Fe36Cr Max Reformat'!$AC$8:$AC$10</c:f>
              <c:numCache>
                <c:formatCode>General</c:formatCode>
                <c:ptCount val="3"/>
                <c:pt idx="0">
                  <c:v>2750.6</c:v>
                </c:pt>
                <c:pt idx="1">
                  <c:v>2732.2</c:v>
                </c:pt>
                <c:pt idx="2">
                  <c:v>2735.6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40-5C4B-B06B-E631804EB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827840"/>
        <c:axId val="1693264768"/>
      </c:scatterChart>
      <c:valAx>
        <c:axId val="1692827840"/>
        <c:scaling>
          <c:orientation val="minMax"/>
          <c:min val="-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3264768"/>
        <c:crossesAt val="2640"/>
        <c:crossBetween val="midCat"/>
      </c:valAx>
      <c:valAx>
        <c:axId val="1693264768"/>
        <c:scaling>
          <c:orientation val="minMax"/>
          <c:max val="2800"/>
          <c:min val="26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SAW Speed [m/s]</a:t>
                </a:r>
              </a:p>
            </c:rich>
          </c:tx>
          <c:layout>
            <c:manualLayout>
              <c:xMode val="edge"/>
              <c:yMode val="edge"/>
              <c:x val="1.0251176891770087E-2"/>
              <c:y val="0.17460090649360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2827840"/>
        <c:crossesAt val="-1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'Fe36Cr Max Reformat'!$AD$11:$AD$14</c:f>
                <c:numCache>
                  <c:formatCode>General</c:formatCode>
                  <c:ptCount val="4"/>
                  <c:pt idx="0">
                    <c:v>23.5</c:v>
                  </c:pt>
                  <c:pt idx="1">
                    <c:v>32.1</c:v>
                  </c:pt>
                  <c:pt idx="2">
                    <c:v>27</c:v>
                  </c:pt>
                  <c:pt idx="3">
                    <c:v>20.100000000000001</c:v>
                  </c:pt>
                </c:numCache>
              </c:numRef>
            </c:plus>
            <c:minus>
              <c:numRef>
                <c:f>'Fe36Cr Max Reformat'!$AD$11:$AD$14</c:f>
                <c:numCache>
                  <c:formatCode>General</c:formatCode>
                  <c:ptCount val="4"/>
                  <c:pt idx="0">
                    <c:v>23.5</c:v>
                  </c:pt>
                  <c:pt idx="1">
                    <c:v>32.1</c:v>
                  </c:pt>
                  <c:pt idx="2">
                    <c:v>27</c:v>
                  </c:pt>
                  <c:pt idx="3">
                    <c:v>20.100000000000001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'Fe36Cr Max Reformat'!$AA$11:$AA$14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11</c:v>
                </c:pt>
                <c:pt idx="3">
                  <c:v>14</c:v>
                </c:pt>
              </c:numCache>
            </c:numRef>
          </c:xVal>
          <c:yVal>
            <c:numRef>
              <c:f>'Fe36Cr Max Reformat'!$AC$11:$AC$14</c:f>
              <c:numCache>
                <c:formatCode>General</c:formatCode>
                <c:ptCount val="4"/>
                <c:pt idx="0">
                  <c:v>2924.8</c:v>
                </c:pt>
                <c:pt idx="1">
                  <c:v>2949</c:v>
                </c:pt>
                <c:pt idx="2">
                  <c:v>2965</c:v>
                </c:pt>
                <c:pt idx="3">
                  <c:v>2917.1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75-A24F-9754-3E189CC03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827840"/>
        <c:axId val="1693264768"/>
      </c:scatterChart>
      <c:valAx>
        <c:axId val="1692827840"/>
        <c:scaling>
          <c:orientation val="minMax"/>
          <c:min val="-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3264768"/>
        <c:crossesAt val="2640"/>
        <c:crossBetween val="midCat"/>
      </c:valAx>
      <c:valAx>
        <c:axId val="1693264768"/>
        <c:scaling>
          <c:orientation val="minMax"/>
          <c:max val="3000"/>
          <c:min val="28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SAW Speed [m/s]</a:t>
                </a:r>
              </a:p>
            </c:rich>
          </c:tx>
          <c:layout>
            <c:manualLayout>
              <c:xMode val="edge"/>
              <c:yMode val="edge"/>
              <c:x val="1.0251176891770087E-2"/>
              <c:y val="0.17460090649360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2827840"/>
        <c:crossesAt val="-1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'Fe36Cr Max Reformat'!$Y$15</c:f>
              <c:strCache>
                <c:ptCount val="1"/>
                <c:pt idx="0">
                  <c:v>Relative Maxima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'Fe36Cr Max Reformat'!$AD$15:$AD$17</c:f>
                <c:numCache>
                  <c:formatCode>General</c:formatCode>
                  <c:ptCount val="3"/>
                  <c:pt idx="0">
                    <c:v>10.199999999999999</c:v>
                  </c:pt>
                  <c:pt idx="1">
                    <c:v>12.7</c:v>
                  </c:pt>
                  <c:pt idx="2">
                    <c:v>12.7</c:v>
                  </c:pt>
                </c:numCache>
              </c:numRef>
            </c:plus>
            <c:minus>
              <c:numRef>
                <c:f>'Fe36Cr Max Reformat'!$AD$15:$AD$17</c:f>
                <c:numCache>
                  <c:formatCode>General</c:formatCode>
                  <c:ptCount val="3"/>
                  <c:pt idx="0">
                    <c:v>10.199999999999999</c:v>
                  </c:pt>
                  <c:pt idx="1">
                    <c:v>12.7</c:v>
                  </c:pt>
                  <c:pt idx="2">
                    <c:v>12.7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'Fe36Cr Max Reformat'!$AA$15:$AA$17</c:f>
              <c:numCache>
                <c:formatCode>General</c:formatCode>
                <c:ptCount val="3"/>
                <c:pt idx="0">
                  <c:v>1</c:v>
                </c:pt>
                <c:pt idx="1">
                  <c:v>11</c:v>
                </c:pt>
                <c:pt idx="2">
                  <c:v>14</c:v>
                </c:pt>
              </c:numCache>
            </c:numRef>
          </c:xVal>
          <c:yVal>
            <c:numRef>
              <c:f>'Fe36Cr Max Reformat'!$AC$15:$AC$17</c:f>
              <c:numCache>
                <c:formatCode>General</c:formatCode>
                <c:ptCount val="3"/>
                <c:pt idx="0">
                  <c:v>2928.5</c:v>
                </c:pt>
                <c:pt idx="1">
                  <c:v>2921.4</c:v>
                </c:pt>
                <c:pt idx="2">
                  <c:v>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AF-0942-844F-3E13C845D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827840"/>
        <c:axId val="1693264768"/>
      </c:scatterChart>
      <c:valAx>
        <c:axId val="1692827840"/>
        <c:scaling>
          <c:orientation val="minMax"/>
          <c:min val="-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3264768"/>
        <c:crossesAt val="2640"/>
        <c:crossBetween val="midCat"/>
      </c:valAx>
      <c:valAx>
        <c:axId val="1693264768"/>
        <c:scaling>
          <c:orientation val="minMax"/>
          <c:max val="3000"/>
          <c:min val="28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SAW Speed [m/s]</a:t>
                </a:r>
              </a:p>
            </c:rich>
          </c:tx>
          <c:layout>
            <c:manualLayout>
              <c:xMode val="edge"/>
              <c:yMode val="edge"/>
              <c:x val="1.0251176891770087E-2"/>
              <c:y val="0.17460090649360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2827840"/>
        <c:crossesAt val="-1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u="sng"/>
            </a:pPr>
            <a:r>
              <a:rPr lang="en-US" u="sng"/>
              <a:t>Fe-26Cr Alloy </a:t>
            </a:r>
          </a:p>
        </c:rich>
      </c:tx>
      <c:layout>
        <c:manualLayout>
          <c:xMode val="edge"/>
          <c:yMode val="edge"/>
          <c:x val="0.41388757848000279"/>
          <c:y val="3.357314148681055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849682611259496"/>
          <c:y val="0.15106591891840856"/>
          <c:w val="0.73423445142044474"/>
          <c:h val="0.67706338865915139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'Fe25Cr Max Edits'!$C$8:$C$55</c:f>
              <c:numCache>
                <c:formatCode>General</c:formatCode>
                <c:ptCount val="48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142</c:v>
                </c:pt>
                <c:pt idx="36">
                  <c:v>146</c:v>
                </c:pt>
                <c:pt idx="37">
                  <c:v>150</c:v>
                </c:pt>
                <c:pt idx="38">
                  <c:v>154</c:v>
                </c:pt>
                <c:pt idx="39">
                  <c:v>158</c:v>
                </c:pt>
                <c:pt idx="40">
                  <c:v>162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</c:numCache>
            </c:numRef>
          </c:xVal>
          <c:yVal>
            <c:numRef>
              <c:f>'Fe25Cr Max Edits'!$E$8:$E$55</c:f>
              <c:numCache>
                <c:formatCode>General</c:formatCode>
                <c:ptCount val="48"/>
                <c:pt idx="0">
                  <c:v>2830.5794800063973</c:v>
                </c:pt>
                <c:pt idx="1">
                  <c:v>2834.9474927685328</c:v>
                </c:pt>
                <c:pt idx="2">
                  <c:v>2801.1846019109148</c:v>
                </c:pt>
                <c:pt idx="3">
                  <c:v>2769.8093071384606</c:v>
                </c:pt>
                <c:pt idx="4">
                  <c:v>2757.3226542473635</c:v>
                </c:pt>
                <c:pt idx="5">
                  <c:v>2747.8232733375376</c:v>
                </c:pt>
                <c:pt idx="6">
                  <c:v>2746.4835592444133</c:v>
                </c:pt>
                <c:pt idx="7">
                  <c:v>2757.5464811921361</c:v>
                </c:pt>
                <c:pt idx="8">
                  <c:v>2777.2059331860592</c:v>
                </c:pt>
                <c:pt idx="9">
                  <c:v>2803.89497224874</c:v>
                </c:pt>
                <c:pt idx="10">
                  <c:v>2833.1310181402168</c:v>
                </c:pt>
                <c:pt idx="11">
                  <c:v>2876.0446615704077</c:v>
                </c:pt>
                <c:pt idx="12">
                  <c:v>2916.9954939616846</c:v>
                </c:pt>
                <c:pt idx="13">
                  <c:v>2936.635336670498</c:v>
                </c:pt>
                <c:pt idx="14">
                  <c:v>2931.8622445078613</c:v>
                </c:pt>
                <c:pt idx="15">
                  <c:v>2868.758865321191</c:v>
                </c:pt>
                <c:pt idx="16">
                  <c:v>3294.759630981569</c:v>
                </c:pt>
                <c:pt idx="17">
                  <c:v>3290.5544743060295</c:v>
                </c:pt>
                <c:pt idx="18">
                  <c:v>3288.5236831239408</c:v>
                </c:pt>
                <c:pt idx="19">
                  <c:v>3280.6372712907528</c:v>
                </c:pt>
                <c:pt idx="20">
                  <c:v>3268.0848811966562</c:v>
                </c:pt>
                <c:pt idx="21">
                  <c:v>3273.2857558748051</c:v>
                </c:pt>
                <c:pt idx="22">
                  <c:v>3284.3705980489708</c:v>
                </c:pt>
                <c:pt idx="23">
                  <c:v>3315.7170149845601</c:v>
                </c:pt>
                <c:pt idx="24">
                  <c:v>3349.3826744077514</c:v>
                </c:pt>
                <c:pt idx="25">
                  <c:v>3015.1666233243195</c:v>
                </c:pt>
                <c:pt idx="26">
                  <c:v>3060.7226853179468</c:v>
                </c:pt>
                <c:pt idx="27">
                  <c:v>3055.9518748343075</c:v>
                </c:pt>
                <c:pt idx="28">
                  <c:v>3030.7096396552784</c:v>
                </c:pt>
                <c:pt idx="29">
                  <c:v>3006.3455382909469</c:v>
                </c:pt>
                <c:pt idx="30">
                  <c:v>2967.0923422691926</c:v>
                </c:pt>
                <c:pt idx="31">
                  <c:v>2936.5849982784157</c:v>
                </c:pt>
                <c:pt idx="32">
                  <c:v>2900.9993054940492</c:v>
                </c:pt>
                <c:pt idx="33">
                  <c:v>2873.6950776345625</c:v>
                </c:pt>
                <c:pt idx="34">
                  <c:v>2856.1336230046613</c:v>
                </c:pt>
                <c:pt idx="35">
                  <c:v>2846.7984353696334</c:v>
                </c:pt>
                <c:pt idx="36">
                  <c:v>2850.4188695903395</c:v>
                </c:pt>
                <c:pt idx="37">
                  <c:v>2858.1662071288251</c:v>
                </c:pt>
                <c:pt idx="38">
                  <c:v>2828.8420632909288</c:v>
                </c:pt>
                <c:pt idx="39">
                  <c:v>2837.5552231422271</c:v>
                </c:pt>
                <c:pt idx="40">
                  <c:v>3007.3079600410711</c:v>
                </c:pt>
                <c:pt idx="41">
                  <c:v>3035.9740260443632</c:v>
                </c:pt>
                <c:pt idx="42">
                  <c:v>3051.2878783844144</c:v>
                </c:pt>
                <c:pt idx="43">
                  <c:v>3041.5305259595289</c:v>
                </c:pt>
                <c:pt idx="44">
                  <c:v>2836.1689504516967</c:v>
                </c:pt>
                <c:pt idx="45">
                  <c:v>2837.9122589746498</c:v>
                </c:pt>
                <c:pt idx="46">
                  <c:v>2824.4643775454083</c:v>
                </c:pt>
                <c:pt idx="47">
                  <c:v>2790.2751991894197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4-7846-8577-3BD01EE9F91F}"/>
            </c:ext>
          </c:extLst>
        </c:ser>
        <c:ser>
          <c:idx val="2"/>
          <c:order val="1"/>
          <c:tx>
            <c:v>500C 20hr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'Fe25Cr Max Edits'!$C$102:$C$153</c:f>
              <c:numCache>
                <c:formatCode>General</c:formatCode>
                <c:ptCount val="52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180</c:v>
                </c:pt>
                <c:pt idx="32">
                  <c:v>184</c:v>
                </c:pt>
                <c:pt idx="33">
                  <c:v>0</c:v>
                </c:pt>
                <c:pt idx="34">
                  <c:v>4</c:v>
                </c:pt>
                <c:pt idx="35">
                  <c:v>8</c:v>
                </c:pt>
                <c:pt idx="36">
                  <c:v>12</c:v>
                </c:pt>
                <c:pt idx="37">
                  <c:v>16</c:v>
                </c:pt>
                <c:pt idx="38">
                  <c:v>20</c:v>
                </c:pt>
                <c:pt idx="39">
                  <c:v>24</c:v>
                </c:pt>
                <c:pt idx="40">
                  <c:v>28</c:v>
                </c:pt>
                <c:pt idx="41">
                  <c:v>32</c:v>
                </c:pt>
                <c:pt idx="42">
                  <c:v>36</c:v>
                </c:pt>
                <c:pt idx="43">
                  <c:v>40</c:v>
                </c:pt>
                <c:pt idx="44">
                  <c:v>44</c:v>
                </c:pt>
                <c:pt idx="45">
                  <c:v>48</c:v>
                </c:pt>
                <c:pt idx="46">
                  <c:v>52</c:v>
                </c:pt>
                <c:pt idx="47">
                  <c:v>56</c:v>
                </c:pt>
                <c:pt idx="48">
                  <c:v>60</c:v>
                </c:pt>
                <c:pt idx="49">
                  <c:v>64</c:v>
                </c:pt>
                <c:pt idx="50">
                  <c:v>68</c:v>
                </c:pt>
                <c:pt idx="51">
                  <c:v>72</c:v>
                </c:pt>
              </c:numCache>
            </c:numRef>
          </c:xVal>
          <c:yVal>
            <c:numRef>
              <c:f>'Fe25Cr Max Edits'!$E$102:$E$153</c:f>
              <c:numCache>
                <c:formatCode>General</c:formatCode>
                <c:ptCount val="52"/>
                <c:pt idx="0">
                  <c:v>2893.9469065238854</c:v>
                </c:pt>
                <c:pt idx="1">
                  <c:v>2930.8265273557195</c:v>
                </c:pt>
                <c:pt idx="2">
                  <c:v>2924.7152139980249</c:v>
                </c:pt>
                <c:pt idx="3">
                  <c:v>2809.6735746050708</c:v>
                </c:pt>
                <c:pt idx="4">
                  <c:v>3282.5848321362437</c:v>
                </c:pt>
                <c:pt idx="5">
                  <c:v>3272.7632815945944</c:v>
                </c:pt>
                <c:pt idx="6">
                  <c:v>3256.9488755946641</c:v>
                </c:pt>
                <c:pt idx="7">
                  <c:v>3251.3015168061215</c:v>
                </c:pt>
                <c:pt idx="8">
                  <c:v>3257.273535753824</c:v>
                </c:pt>
                <c:pt idx="9">
                  <c:v>3255.0917165555807</c:v>
                </c:pt>
                <c:pt idx="10">
                  <c:v>3264.0104753978885</c:v>
                </c:pt>
                <c:pt idx="11">
                  <c:v>3303.8847886163726</c:v>
                </c:pt>
                <c:pt idx="12">
                  <c:v>3338.2829858360719</c:v>
                </c:pt>
                <c:pt idx="13">
                  <c:v>3016.9248503009835</c:v>
                </c:pt>
                <c:pt idx="14">
                  <c:v>3040.5231674961087</c:v>
                </c:pt>
                <c:pt idx="15">
                  <c:v>3039.5409678583533</c:v>
                </c:pt>
                <c:pt idx="16">
                  <c:v>3004.2462177441494</c:v>
                </c:pt>
                <c:pt idx="17">
                  <c:v>2968.8745052384152</c:v>
                </c:pt>
                <c:pt idx="18">
                  <c:v>2932.2230715159053</c:v>
                </c:pt>
                <c:pt idx="19">
                  <c:v>2907.8959009209207</c:v>
                </c:pt>
                <c:pt idx="20">
                  <c:v>2879.8608959762441</c:v>
                </c:pt>
                <c:pt idx="21">
                  <c:v>2853.2396762471226</c:v>
                </c:pt>
                <c:pt idx="22">
                  <c:v>2845.5131441509275</c:v>
                </c:pt>
                <c:pt idx="23">
                  <c:v>2836.0911343091889</c:v>
                </c:pt>
                <c:pt idx="24">
                  <c:v>2842.729343819412</c:v>
                </c:pt>
                <c:pt idx="25">
                  <c:v>2839.6190333833042</c:v>
                </c:pt>
                <c:pt idx="26">
                  <c:v>2841.317646527596</c:v>
                </c:pt>
                <c:pt idx="27">
                  <c:v>3070.9902525829784</c:v>
                </c:pt>
                <c:pt idx="28">
                  <c:v>2952.024987854556</c:v>
                </c:pt>
                <c:pt idx="29">
                  <c:v>3013.242087689438</c:v>
                </c:pt>
                <c:pt idx="30">
                  <c:v>3026.9671316001522</c:v>
                </c:pt>
                <c:pt idx="31">
                  <c:v>3014.3749771486696</c:v>
                </c:pt>
                <c:pt idx="32">
                  <c:v>2808.841878940922</c:v>
                </c:pt>
                <c:pt idx="33">
                  <c:v>2832.8675360809189</c:v>
                </c:pt>
                <c:pt idx="34">
                  <c:v>2816.1169856084493</c:v>
                </c:pt>
                <c:pt idx="35">
                  <c:v>2780.1036838094956</c:v>
                </c:pt>
                <c:pt idx="36">
                  <c:v>2757.1276298077828</c:v>
                </c:pt>
                <c:pt idx="37">
                  <c:v>2743.0211392763422</c:v>
                </c:pt>
                <c:pt idx="38">
                  <c:v>2732.4758999074484</c:v>
                </c:pt>
                <c:pt idx="39">
                  <c:v>2730.2102762897312</c:v>
                </c:pt>
                <c:pt idx="40">
                  <c:v>2744.1672124149763</c:v>
                </c:pt>
                <c:pt idx="41">
                  <c:v>2756.8068971527227</c:v>
                </c:pt>
                <c:pt idx="42">
                  <c:v>2798.132334013394</c:v>
                </c:pt>
                <c:pt idx="43">
                  <c:v>2831.8985440665897</c:v>
                </c:pt>
                <c:pt idx="44">
                  <c:v>2856.7150357793912</c:v>
                </c:pt>
                <c:pt idx="45">
                  <c:v>2905.1131610173566</c:v>
                </c:pt>
                <c:pt idx="46">
                  <c:v>2925.2350655260771</c:v>
                </c:pt>
                <c:pt idx="47">
                  <c:v>2928.700451082359</c:v>
                </c:pt>
                <c:pt idx="48">
                  <c:v>3311.6514539824525</c:v>
                </c:pt>
                <c:pt idx="49">
                  <c:v>3287.6819021997258</c:v>
                </c:pt>
                <c:pt idx="50">
                  <c:v>3273.3133519792282</c:v>
                </c:pt>
                <c:pt idx="51">
                  <c:v>3264.2795376248932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4-7846-8577-3BD01EE9F91F}"/>
            </c:ext>
          </c:extLst>
        </c:ser>
        <c:ser>
          <c:idx val="1"/>
          <c:order val="2"/>
          <c:tx>
            <c:v>2nd homogenization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</c:spPr>
          </c:marker>
          <c:xVal>
            <c:numRef>
              <c:f>'Fe25Cr Max Edits'!$C$56:$C$101</c:f>
              <c:numCache>
                <c:formatCode>General</c:formatCode>
                <c:ptCount val="46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0</c:v>
                </c:pt>
                <c:pt idx="32">
                  <c:v>4</c:v>
                </c:pt>
                <c:pt idx="33">
                  <c:v>8</c:v>
                </c:pt>
                <c:pt idx="34">
                  <c:v>12</c:v>
                </c:pt>
                <c:pt idx="35">
                  <c:v>16</c:v>
                </c:pt>
                <c:pt idx="36">
                  <c:v>20</c:v>
                </c:pt>
                <c:pt idx="37">
                  <c:v>24</c:v>
                </c:pt>
                <c:pt idx="38">
                  <c:v>28</c:v>
                </c:pt>
                <c:pt idx="39">
                  <c:v>32</c:v>
                </c:pt>
                <c:pt idx="40">
                  <c:v>36</c:v>
                </c:pt>
                <c:pt idx="41">
                  <c:v>40</c:v>
                </c:pt>
                <c:pt idx="42">
                  <c:v>44</c:v>
                </c:pt>
                <c:pt idx="43">
                  <c:v>48</c:v>
                </c:pt>
                <c:pt idx="44">
                  <c:v>52</c:v>
                </c:pt>
                <c:pt idx="45">
                  <c:v>56</c:v>
                </c:pt>
              </c:numCache>
            </c:numRef>
          </c:xVal>
          <c:yVal>
            <c:numRef>
              <c:f>'Fe25Cr Max Edits'!$E$56:$E$101</c:f>
              <c:numCache>
                <c:formatCode>General</c:formatCode>
                <c:ptCount val="46"/>
                <c:pt idx="0">
                  <c:v>2912.4696912703689</c:v>
                </c:pt>
                <c:pt idx="1">
                  <c:v>2859.2366759746915</c:v>
                </c:pt>
                <c:pt idx="2">
                  <c:v>3295.4347238599671</c:v>
                </c:pt>
                <c:pt idx="3">
                  <c:v>3284.6744733653231</c:v>
                </c:pt>
                <c:pt idx="4">
                  <c:v>3278.5911183924486</c:v>
                </c:pt>
                <c:pt idx="5">
                  <c:v>3269.0360358181269</c:v>
                </c:pt>
                <c:pt idx="6">
                  <c:v>3265.3370507740319</c:v>
                </c:pt>
                <c:pt idx="7">
                  <c:v>3264.4340392456538</c:v>
                </c:pt>
                <c:pt idx="8">
                  <c:v>3269.9682605335779</c:v>
                </c:pt>
                <c:pt idx="9">
                  <c:v>3290.3163812974376</c:v>
                </c:pt>
                <c:pt idx="10">
                  <c:v>3328.323430699339</c:v>
                </c:pt>
                <c:pt idx="11">
                  <c:v>3005.7060346632784</c:v>
                </c:pt>
                <c:pt idx="12">
                  <c:v>3047.5561228132183</c:v>
                </c:pt>
                <c:pt idx="13">
                  <c:v>3050.8835858358802</c:v>
                </c:pt>
                <c:pt idx="14">
                  <c:v>3028.909915553967</c:v>
                </c:pt>
                <c:pt idx="15">
                  <c:v>2995.5710172537802</c:v>
                </c:pt>
                <c:pt idx="16">
                  <c:v>2962.8315632957288</c:v>
                </c:pt>
                <c:pt idx="17">
                  <c:v>2928.8707195337925</c:v>
                </c:pt>
                <c:pt idx="18">
                  <c:v>2896.1677365379587</c:v>
                </c:pt>
                <c:pt idx="19">
                  <c:v>2872.2129396235136</c:v>
                </c:pt>
                <c:pt idx="20">
                  <c:v>2850.6944865545538</c:v>
                </c:pt>
                <c:pt idx="21">
                  <c:v>2842.4341632584851</c:v>
                </c:pt>
                <c:pt idx="22">
                  <c:v>2835.8737910306909</c:v>
                </c:pt>
                <c:pt idx="23">
                  <c:v>2837.6445901408802</c:v>
                </c:pt>
                <c:pt idx="24">
                  <c:v>2844.5202604442097</c:v>
                </c:pt>
                <c:pt idx="25">
                  <c:v>2784.7935173662545</c:v>
                </c:pt>
                <c:pt idx="26">
                  <c:v>2951.8436317883875</c:v>
                </c:pt>
                <c:pt idx="27">
                  <c:v>3011.2584429590347</c:v>
                </c:pt>
                <c:pt idx="28">
                  <c:v>3037.4177656325501</c:v>
                </c:pt>
                <c:pt idx="29">
                  <c:v>3028.5543962543957</c:v>
                </c:pt>
                <c:pt idx="30">
                  <c:v>2769.9598943602896</c:v>
                </c:pt>
                <c:pt idx="31">
                  <c:v>2828.6063228652179</c:v>
                </c:pt>
                <c:pt idx="32">
                  <c:v>2818.7274178491584</c:v>
                </c:pt>
                <c:pt idx="33">
                  <c:v>2792.5783945273865</c:v>
                </c:pt>
                <c:pt idx="34">
                  <c:v>2763.468121114448</c:v>
                </c:pt>
                <c:pt idx="35">
                  <c:v>2742.8082132012469</c:v>
                </c:pt>
                <c:pt idx="36">
                  <c:v>2732.0947043199667</c:v>
                </c:pt>
                <c:pt idx="37">
                  <c:v>2726.8730056772592</c:v>
                </c:pt>
                <c:pt idx="38">
                  <c:v>2737.5054033329911</c:v>
                </c:pt>
                <c:pt idx="39">
                  <c:v>2762.4649778266103</c:v>
                </c:pt>
                <c:pt idx="40">
                  <c:v>2797.0717504190484</c:v>
                </c:pt>
                <c:pt idx="41">
                  <c:v>2829.4871140266673</c:v>
                </c:pt>
                <c:pt idx="42">
                  <c:v>2869.6828873985914</c:v>
                </c:pt>
                <c:pt idx="43">
                  <c:v>2907.5751288555575</c:v>
                </c:pt>
                <c:pt idx="44">
                  <c:v>2932.6348039433847</c:v>
                </c:pt>
                <c:pt idx="45">
                  <c:v>2923.8789122226863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04-7846-8577-3BD01EE9F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sz="1800" b="0" i="0" baseline="0">
                    <a:effectLst/>
                  </a:rPr>
                  <a:t>Relative Surface Angle [degrees]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  <c:minorUnit val="10"/>
      </c:valAx>
      <c:valAx>
        <c:axId val="1791294527"/>
        <c:scaling>
          <c:orientation val="minMax"/>
          <c:max val="3550"/>
          <c:min val="2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1.7621145374449341E-2"/>
              <c:y val="0.115094695896825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layout>
        <c:manualLayout>
          <c:xMode val="edge"/>
          <c:yMode val="edge"/>
          <c:x val="0.66203315139001151"/>
          <c:y val="0.17261341527459809"/>
          <c:w val="0.33436323379760069"/>
          <c:h val="0.1353844531399841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u="sng"/>
            </a:pPr>
            <a:r>
              <a:rPr lang="en-US" u="sng"/>
              <a:t>Fe-36Cr Alloy </a:t>
            </a:r>
          </a:p>
        </c:rich>
      </c:tx>
      <c:layout>
        <c:manualLayout>
          <c:xMode val="edge"/>
          <c:yMode val="edge"/>
          <c:x val="0.43990417099357082"/>
          <c:y val="2.36333283523457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606938145443833"/>
          <c:y val="0.13712710911136108"/>
          <c:w val="0.7236080404567925"/>
          <c:h val="0.65810123734533188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Reformat'!$E$10:$E$55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Reformat'!$G$10:$G$55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8D-1B4E-8361-C6EC64CEE1B4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'Fe36Cr Max Reformat'!$E$56:$E$103</c:f>
              <c:numCache>
                <c:formatCode>0</c:formatCode>
                <c:ptCount val="48"/>
                <c:pt idx="0">
                  <c:v>-8</c:v>
                </c:pt>
                <c:pt idx="1">
                  <c:v>-4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52</c:v>
                </c:pt>
                <c:pt idx="16">
                  <c:v>56</c:v>
                </c:pt>
                <c:pt idx="17">
                  <c:v>60</c:v>
                </c:pt>
                <c:pt idx="18">
                  <c:v>64</c:v>
                </c:pt>
                <c:pt idx="19">
                  <c:v>68</c:v>
                </c:pt>
                <c:pt idx="20">
                  <c:v>72</c:v>
                </c:pt>
                <c:pt idx="21">
                  <c:v>76</c:v>
                </c:pt>
                <c:pt idx="22">
                  <c:v>80</c:v>
                </c:pt>
                <c:pt idx="23">
                  <c:v>84</c:v>
                </c:pt>
                <c:pt idx="24">
                  <c:v>88</c:v>
                </c:pt>
                <c:pt idx="25">
                  <c:v>92</c:v>
                </c:pt>
                <c:pt idx="26">
                  <c:v>96</c:v>
                </c:pt>
                <c:pt idx="27">
                  <c:v>100</c:v>
                </c:pt>
                <c:pt idx="28">
                  <c:v>104</c:v>
                </c:pt>
                <c:pt idx="29">
                  <c:v>108</c:v>
                </c:pt>
                <c:pt idx="30">
                  <c:v>112</c:v>
                </c:pt>
                <c:pt idx="31">
                  <c:v>116</c:v>
                </c:pt>
                <c:pt idx="32">
                  <c:v>120</c:v>
                </c:pt>
                <c:pt idx="33">
                  <c:v>124</c:v>
                </c:pt>
                <c:pt idx="34">
                  <c:v>128</c:v>
                </c:pt>
                <c:pt idx="35">
                  <c:v>132</c:v>
                </c:pt>
                <c:pt idx="36">
                  <c:v>136</c:v>
                </c:pt>
                <c:pt idx="37">
                  <c:v>140</c:v>
                </c:pt>
                <c:pt idx="38">
                  <c:v>144</c:v>
                </c:pt>
                <c:pt idx="39">
                  <c:v>148</c:v>
                </c:pt>
                <c:pt idx="40">
                  <c:v>152</c:v>
                </c:pt>
                <c:pt idx="41">
                  <c:v>156</c:v>
                </c:pt>
                <c:pt idx="42">
                  <c:v>160</c:v>
                </c:pt>
                <c:pt idx="43">
                  <c:v>164</c:v>
                </c:pt>
                <c:pt idx="44">
                  <c:v>168</c:v>
                </c:pt>
                <c:pt idx="45">
                  <c:v>172</c:v>
                </c:pt>
                <c:pt idx="46">
                  <c:v>176</c:v>
                </c:pt>
                <c:pt idx="47">
                  <c:v>180</c:v>
                </c:pt>
              </c:numCache>
            </c:numRef>
          </c:xVal>
          <c:yVal>
            <c:numRef>
              <c:f>'Fe36Cr Max Reformat'!$G$56:$G$103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8D-1B4E-8361-C6EC64CEE1B4}"/>
            </c:ext>
          </c:extLst>
        </c:ser>
        <c:ser>
          <c:idx val="2"/>
          <c:order val="2"/>
          <c:tx>
            <c:v>500C 10hr</c:v>
          </c:tx>
          <c:spPr>
            <a:ln w="25400">
              <a:noFill/>
            </a:ln>
          </c:spPr>
          <c:marker>
            <c:symbol val="circle"/>
            <c:size val="6"/>
          </c:marker>
          <c:xVal>
            <c:numRef>
              <c:f>'Fe36Cr Max Reformat'!$C$104:$C$137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Reformat'!$G$104:$G$137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8D-1B4E-8361-C6EC64CEE1B4}"/>
            </c:ext>
          </c:extLst>
        </c:ser>
        <c:ser>
          <c:idx val="3"/>
          <c:order val="3"/>
          <c:tx>
            <c:v>500C 10hr re-polished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Reformat'!$E$138:$E$186</c:f>
              <c:numCache>
                <c:formatCode>0</c:formatCode>
                <c:ptCount val="49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  <c:pt idx="48">
                  <c:v>192</c:v>
                </c:pt>
              </c:numCache>
            </c:numRef>
          </c:xVal>
          <c:yVal>
            <c:numRef>
              <c:f>'Fe36Cr Max Reformat'!$G$138:$G$186</c:f>
              <c:numCache>
                <c:formatCode>0.00</c:formatCode>
                <c:ptCount val="49"/>
                <c:pt idx="0">
                  <c:v>2941.46</c:v>
                </c:pt>
                <c:pt idx="1">
                  <c:v>2989.97</c:v>
                </c:pt>
                <c:pt idx="2">
                  <c:v>2982.85</c:v>
                </c:pt>
                <c:pt idx="3">
                  <c:v>2956.57</c:v>
                </c:pt>
                <c:pt idx="4">
                  <c:v>2894.84</c:v>
                </c:pt>
                <c:pt idx="5">
                  <c:v>2757.5</c:v>
                </c:pt>
                <c:pt idx="6">
                  <c:v>2811.09</c:v>
                </c:pt>
                <c:pt idx="7">
                  <c:v>2792.37</c:v>
                </c:pt>
                <c:pt idx="8">
                  <c:v>2773.83</c:v>
                </c:pt>
                <c:pt idx="9">
                  <c:v>2760.11</c:v>
                </c:pt>
                <c:pt idx="10">
                  <c:v>2773.31</c:v>
                </c:pt>
                <c:pt idx="11">
                  <c:v>2791.4</c:v>
                </c:pt>
                <c:pt idx="12">
                  <c:v>2812.66</c:v>
                </c:pt>
                <c:pt idx="13">
                  <c:v>2842.87</c:v>
                </c:pt>
                <c:pt idx="14">
                  <c:v>2966.14</c:v>
                </c:pt>
                <c:pt idx="15">
                  <c:v>2924.6</c:v>
                </c:pt>
                <c:pt idx="16">
                  <c:v>2950.39</c:v>
                </c:pt>
                <c:pt idx="17">
                  <c:v>2976.78</c:v>
                </c:pt>
                <c:pt idx="18">
                  <c:v>2997.11</c:v>
                </c:pt>
                <c:pt idx="19">
                  <c:v>2989.88</c:v>
                </c:pt>
                <c:pt idx="20">
                  <c:v>2823.99</c:v>
                </c:pt>
                <c:pt idx="21">
                  <c:v>3405.66</c:v>
                </c:pt>
                <c:pt idx="22">
                  <c:v>3416.92</c:v>
                </c:pt>
                <c:pt idx="23">
                  <c:v>3446.72</c:v>
                </c:pt>
                <c:pt idx="24">
                  <c:v>3479.07</c:v>
                </c:pt>
                <c:pt idx="25">
                  <c:v>3517.28</c:v>
                </c:pt>
                <c:pt idx="26">
                  <c:v>3564.02</c:v>
                </c:pt>
                <c:pt idx="27">
                  <c:v>3491.14</c:v>
                </c:pt>
                <c:pt idx="28">
                  <c:v>3515.03</c:v>
                </c:pt>
                <c:pt idx="29">
                  <c:v>2916.84</c:v>
                </c:pt>
                <c:pt idx="30">
                  <c:v>2960.38</c:v>
                </c:pt>
                <c:pt idx="31">
                  <c:v>3018.95</c:v>
                </c:pt>
                <c:pt idx="32">
                  <c:v>3057.79</c:v>
                </c:pt>
                <c:pt idx="33">
                  <c:v>3083.47</c:v>
                </c:pt>
                <c:pt idx="34">
                  <c:v>3066.68</c:v>
                </c:pt>
                <c:pt idx="35">
                  <c:v>3037.54</c:v>
                </c:pt>
                <c:pt idx="36">
                  <c:v>3003.15</c:v>
                </c:pt>
                <c:pt idx="37">
                  <c:v>2777.5</c:v>
                </c:pt>
                <c:pt idx="38">
                  <c:v>2847.04</c:v>
                </c:pt>
                <c:pt idx="39">
                  <c:v>2826.72</c:v>
                </c:pt>
                <c:pt idx="40">
                  <c:v>2809.13</c:v>
                </c:pt>
                <c:pt idx="41">
                  <c:v>2805.34</c:v>
                </c:pt>
                <c:pt idx="42">
                  <c:v>2715.3</c:v>
                </c:pt>
                <c:pt idx="43">
                  <c:v>2855.48</c:v>
                </c:pt>
                <c:pt idx="44">
                  <c:v>2883.37</c:v>
                </c:pt>
                <c:pt idx="45">
                  <c:v>2926.65</c:v>
                </c:pt>
                <c:pt idx="46">
                  <c:v>2953.42</c:v>
                </c:pt>
                <c:pt idx="47">
                  <c:v>2952.27</c:v>
                </c:pt>
                <c:pt idx="48">
                  <c:v>2971.34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8D-1B4E-8361-C6EC64CEE1B4}"/>
            </c:ext>
          </c:extLst>
        </c:ser>
        <c:ser>
          <c:idx val="4"/>
          <c:order val="4"/>
          <c:tx>
            <c:v>Re-homogenization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Reformat'!$E$187:$E$235</c:f>
              <c:numCache>
                <c:formatCode>General</c:formatCode>
                <c:ptCount val="49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40</c:v>
                </c:pt>
                <c:pt idx="10">
                  <c:v>44</c:v>
                </c:pt>
                <c:pt idx="11">
                  <c:v>48</c:v>
                </c:pt>
                <c:pt idx="12">
                  <c:v>52</c:v>
                </c:pt>
                <c:pt idx="13">
                  <c:v>56</c:v>
                </c:pt>
                <c:pt idx="14">
                  <c:v>60</c:v>
                </c:pt>
                <c:pt idx="15">
                  <c:v>64</c:v>
                </c:pt>
                <c:pt idx="16">
                  <c:v>68</c:v>
                </c:pt>
                <c:pt idx="17">
                  <c:v>72</c:v>
                </c:pt>
                <c:pt idx="18">
                  <c:v>76</c:v>
                </c:pt>
                <c:pt idx="19">
                  <c:v>80</c:v>
                </c:pt>
                <c:pt idx="20">
                  <c:v>84</c:v>
                </c:pt>
                <c:pt idx="21">
                  <c:v>88</c:v>
                </c:pt>
                <c:pt idx="22">
                  <c:v>92</c:v>
                </c:pt>
                <c:pt idx="23">
                  <c:v>96</c:v>
                </c:pt>
                <c:pt idx="24">
                  <c:v>100</c:v>
                </c:pt>
                <c:pt idx="25">
                  <c:v>104</c:v>
                </c:pt>
                <c:pt idx="26">
                  <c:v>108</c:v>
                </c:pt>
                <c:pt idx="27">
                  <c:v>112</c:v>
                </c:pt>
                <c:pt idx="28">
                  <c:v>116</c:v>
                </c:pt>
                <c:pt idx="29">
                  <c:v>120</c:v>
                </c:pt>
                <c:pt idx="30">
                  <c:v>124</c:v>
                </c:pt>
                <c:pt idx="31">
                  <c:v>128</c:v>
                </c:pt>
                <c:pt idx="32">
                  <c:v>132</c:v>
                </c:pt>
                <c:pt idx="33">
                  <c:v>136</c:v>
                </c:pt>
                <c:pt idx="34">
                  <c:v>140</c:v>
                </c:pt>
                <c:pt idx="35">
                  <c:v>144</c:v>
                </c:pt>
                <c:pt idx="36">
                  <c:v>148</c:v>
                </c:pt>
                <c:pt idx="37">
                  <c:v>152</c:v>
                </c:pt>
                <c:pt idx="38">
                  <c:v>156</c:v>
                </c:pt>
                <c:pt idx="39">
                  <c:v>160</c:v>
                </c:pt>
                <c:pt idx="40">
                  <c:v>164</c:v>
                </c:pt>
                <c:pt idx="41">
                  <c:v>168</c:v>
                </c:pt>
                <c:pt idx="42">
                  <c:v>172</c:v>
                </c:pt>
                <c:pt idx="43">
                  <c:v>176</c:v>
                </c:pt>
                <c:pt idx="44">
                  <c:v>180</c:v>
                </c:pt>
                <c:pt idx="45">
                  <c:v>184</c:v>
                </c:pt>
                <c:pt idx="46">
                  <c:v>188</c:v>
                </c:pt>
                <c:pt idx="47">
                  <c:v>192</c:v>
                </c:pt>
                <c:pt idx="48">
                  <c:v>196</c:v>
                </c:pt>
              </c:numCache>
            </c:numRef>
          </c:xVal>
          <c:yVal>
            <c:numRef>
              <c:f>'Fe36Cr Max Reformat'!$G$187:$G$235</c:f>
              <c:numCache>
                <c:formatCode>0.00</c:formatCode>
                <c:ptCount val="49"/>
                <c:pt idx="0">
                  <c:v>2912.63</c:v>
                </c:pt>
                <c:pt idx="1">
                  <c:v>2918.54</c:v>
                </c:pt>
                <c:pt idx="2">
                  <c:v>2883.85</c:v>
                </c:pt>
                <c:pt idx="3">
                  <c:v>2833.31</c:v>
                </c:pt>
                <c:pt idx="4">
                  <c:v>2782.36</c:v>
                </c:pt>
                <c:pt idx="5">
                  <c:v>2739.77</c:v>
                </c:pt>
                <c:pt idx="6">
                  <c:v>2705.83</c:v>
                </c:pt>
                <c:pt idx="7">
                  <c:v>2674.53</c:v>
                </c:pt>
                <c:pt idx="8">
                  <c:v>2649.28</c:v>
                </c:pt>
                <c:pt idx="9">
                  <c:v>2668.04</c:v>
                </c:pt>
                <c:pt idx="10">
                  <c:v>2673.74</c:v>
                </c:pt>
                <c:pt idx="11">
                  <c:v>2703.25</c:v>
                </c:pt>
                <c:pt idx="12">
                  <c:v>2738.57</c:v>
                </c:pt>
                <c:pt idx="13">
                  <c:v>2714.81</c:v>
                </c:pt>
                <c:pt idx="14">
                  <c:v>2797.16</c:v>
                </c:pt>
                <c:pt idx="15">
                  <c:v>2874.37</c:v>
                </c:pt>
                <c:pt idx="16">
                  <c:v>2915.04</c:v>
                </c:pt>
                <c:pt idx="17">
                  <c:v>2938.32</c:v>
                </c:pt>
                <c:pt idx="18">
                  <c:v>2897.89</c:v>
                </c:pt>
                <c:pt idx="19">
                  <c:v>2775.79</c:v>
                </c:pt>
                <c:pt idx="20">
                  <c:v>3325.78</c:v>
                </c:pt>
                <c:pt idx="21">
                  <c:v>3332.4</c:v>
                </c:pt>
                <c:pt idx="22">
                  <c:v>3212.53</c:v>
                </c:pt>
                <c:pt idx="23">
                  <c:v>3401.34</c:v>
                </c:pt>
                <c:pt idx="24">
                  <c:v>3463.72</c:v>
                </c:pt>
                <c:pt idx="25">
                  <c:v>3482.44</c:v>
                </c:pt>
                <c:pt idx="26">
                  <c:v>3561.59</c:v>
                </c:pt>
                <c:pt idx="27">
                  <c:v>3541.41</c:v>
                </c:pt>
                <c:pt idx="28">
                  <c:v>2933.84</c:v>
                </c:pt>
                <c:pt idx="29">
                  <c:v>2991.48</c:v>
                </c:pt>
                <c:pt idx="30">
                  <c:v>3024.97</c:v>
                </c:pt>
                <c:pt idx="31">
                  <c:v>3031.79</c:v>
                </c:pt>
                <c:pt idx="32">
                  <c:v>3009.79</c:v>
                </c:pt>
                <c:pt idx="33">
                  <c:v>2984.62</c:v>
                </c:pt>
                <c:pt idx="34">
                  <c:v>2919.69</c:v>
                </c:pt>
                <c:pt idx="35">
                  <c:v>2903.62</c:v>
                </c:pt>
                <c:pt idx="36">
                  <c:v>2815.94</c:v>
                </c:pt>
                <c:pt idx="37">
                  <c:v>2784.22</c:v>
                </c:pt>
                <c:pt idx="38">
                  <c:v>2755.88</c:v>
                </c:pt>
                <c:pt idx="39">
                  <c:v>2727.17</c:v>
                </c:pt>
                <c:pt idx="40">
                  <c:v>2734.55</c:v>
                </c:pt>
                <c:pt idx="41">
                  <c:v>2746.06</c:v>
                </c:pt>
                <c:pt idx="42">
                  <c:v>2770.3</c:v>
                </c:pt>
                <c:pt idx="43">
                  <c:v>2816.48</c:v>
                </c:pt>
                <c:pt idx="44">
                  <c:v>2863.26</c:v>
                </c:pt>
                <c:pt idx="45">
                  <c:v>2915.02</c:v>
                </c:pt>
                <c:pt idx="46">
                  <c:v>2918.5</c:v>
                </c:pt>
                <c:pt idx="47">
                  <c:v>2877.57</c:v>
                </c:pt>
                <c:pt idx="48">
                  <c:v>2824.06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8D-1B4E-8361-C6EC64CEE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Relative Surface Angle [degrees]</a:t>
                </a:r>
              </a:p>
            </c:rich>
          </c:tx>
          <c:layout>
            <c:manualLayout>
              <c:xMode val="edge"/>
              <c:yMode val="edge"/>
              <c:x val="0.33838425892873036"/>
              <c:y val="0.894924754817805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</c:valAx>
      <c:valAx>
        <c:axId val="1791294527"/>
        <c:scaling>
          <c:orientation val="minMax"/>
          <c:max val="3550"/>
          <c:min val="2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2.9157658795603811E-2"/>
              <c:y val="0.1337271052204790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layout>
        <c:manualLayout>
          <c:xMode val="edge"/>
          <c:yMode val="edge"/>
          <c:x val="0.65291553443891037"/>
          <c:y val="0.15736424285258113"/>
          <c:w val="0.34708446556108957"/>
          <c:h val="0.26148910249819124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u="sng"/>
            </a:pPr>
            <a:r>
              <a:rPr lang="en-US" u="sng"/>
              <a:t>Fe-36Cr Alloy </a:t>
            </a:r>
          </a:p>
        </c:rich>
      </c:tx>
      <c:layout>
        <c:manualLayout>
          <c:xMode val="edge"/>
          <c:yMode val="edge"/>
          <c:x val="0.43990417099357082"/>
          <c:y val="2.36333283523457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606938145443833"/>
          <c:y val="0.13712710911136108"/>
          <c:w val="0.7236080404567925"/>
          <c:h val="0.65810123734533188"/>
        </c:manualLayout>
      </c:layout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'Fe36Cr Max Reformat'!$E$10:$E$55</c:f>
              <c:numCache>
                <c:formatCode>General</c:formatCode>
                <c:ptCount val="4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</c:numCache>
            </c:numRef>
          </c:xVal>
          <c:yVal>
            <c:numRef>
              <c:f>'Fe36Cr Max Reformat'!$G$10:$G$55</c:f>
              <c:numCache>
                <c:formatCode>General</c:formatCode>
                <c:ptCount val="46"/>
                <c:pt idx="0">
                  <c:v>2916.3609070000002</c:v>
                </c:pt>
                <c:pt idx="1">
                  <c:v>2868.667234</c:v>
                </c:pt>
                <c:pt idx="2">
                  <c:v>2919.2484899999999</c:v>
                </c:pt>
                <c:pt idx="3">
                  <c:v>2882.8287799999998</c:v>
                </c:pt>
                <c:pt idx="4">
                  <c:v>2831.0709459999998</c:v>
                </c:pt>
                <c:pt idx="5">
                  <c:v>2784.5478520000001</c:v>
                </c:pt>
                <c:pt idx="6">
                  <c:v>2741.1190000000001</c:v>
                </c:pt>
                <c:pt idx="7">
                  <c:v>2715.0408170000001</c:v>
                </c:pt>
                <c:pt idx="8">
                  <c:v>2705.6075679999999</c:v>
                </c:pt>
                <c:pt idx="9">
                  <c:v>2703.5915150000001</c:v>
                </c:pt>
                <c:pt idx="10">
                  <c:v>2697.1228190000002</c:v>
                </c:pt>
                <c:pt idx="12">
                  <c:v>2743.024645</c:v>
                </c:pt>
                <c:pt idx="13">
                  <c:v>2769.437246</c:v>
                </c:pt>
                <c:pt idx="14">
                  <c:v>2825.232974</c:v>
                </c:pt>
                <c:pt idx="15">
                  <c:v>2871.2661889999999</c:v>
                </c:pt>
                <c:pt idx="16">
                  <c:v>2938.9012210000001</c:v>
                </c:pt>
                <c:pt idx="17">
                  <c:v>2911.3965870000002</c:v>
                </c:pt>
                <c:pt idx="18">
                  <c:v>2951.8618670000001</c:v>
                </c:pt>
                <c:pt idx="19">
                  <c:v>2911.0496790000002</c:v>
                </c:pt>
                <c:pt idx="20">
                  <c:v>2761.3106299999999</c:v>
                </c:pt>
                <c:pt idx="21">
                  <c:v>3386.4394550000002</c:v>
                </c:pt>
                <c:pt idx="22">
                  <c:v>2685.0016169999999</c:v>
                </c:pt>
                <c:pt idx="23">
                  <c:v>3431.8580440000001</c:v>
                </c:pt>
                <c:pt idx="24">
                  <c:v>3454.0285389999999</c:v>
                </c:pt>
                <c:pt idx="25">
                  <c:v>3510.479366</c:v>
                </c:pt>
                <c:pt idx="26">
                  <c:v>3523.3606770000001</c:v>
                </c:pt>
                <c:pt idx="27">
                  <c:v>3521.1461380000001</c:v>
                </c:pt>
                <c:pt idx="28">
                  <c:v>2928.924829</c:v>
                </c:pt>
                <c:pt idx="29">
                  <c:v>2993.7271959999998</c:v>
                </c:pt>
                <c:pt idx="30">
                  <c:v>3035.0224210000001</c:v>
                </c:pt>
                <c:pt idx="31">
                  <c:v>3064.1191220000001</c:v>
                </c:pt>
                <c:pt idx="32">
                  <c:v>3059.0998960000002</c:v>
                </c:pt>
                <c:pt idx="33">
                  <c:v>3010.0217269999998</c:v>
                </c:pt>
                <c:pt idx="34">
                  <c:v>2956.084906</c:v>
                </c:pt>
                <c:pt idx="35">
                  <c:v>2909.9287129999998</c:v>
                </c:pt>
                <c:pt idx="36">
                  <c:v>2867.8370490000002</c:v>
                </c:pt>
                <c:pt idx="37">
                  <c:v>2832.3881879999999</c:v>
                </c:pt>
                <c:pt idx="38">
                  <c:v>2785.2873599999998</c:v>
                </c:pt>
                <c:pt idx="39">
                  <c:v>2757.442865</c:v>
                </c:pt>
                <c:pt idx="40">
                  <c:v>2758.3473220000001</c:v>
                </c:pt>
                <c:pt idx="41">
                  <c:v>2771.1630660000001</c:v>
                </c:pt>
                <c:pt idx="42">
                  <c:v>2790.3039199999998</c:v>
                </c:pt>
                <c:pt idx="43">
                  <c:v>2821.7763690000002</c:v>
                </c:pt>
                <c:pt idx="44">
                  <c:v>2860.996889</c:v>
                </c:pt>
                <c:pt idx="45">
                  <c:v>2913.8749849999999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7B-4B90-B0FF-E511B691C100}"/>
            </c:ext>
          </c:extLst>
        </c:ser>
        <c:ser>
          <c:idx val="1"/>
          <c:order val="1"/>
          <c:tx>
            <c:v>500C 1hr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'Fe36Cr Max Reformat'!$E$56:$E$103</c:f>
              <c:numCache>
                <c:formatCode>0</c:formatCode>
                <c:ptCount val="48"/>
                <c:pt idx="0">
                  <c:v>-8</c:v>
                </c:pt>
                <c:pt idx="1">
                  <c:v>-4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52</c:v>
                </c:pt>
                <c:pt idx="16">
                  <c:v>56</c:v>
                </c:pt>
                <c:pt idx="17">
                  <c:v>60</c:v>
                </c:pt>
                <c:pt idx="18">
                  <c:v>64</c:v>
                </c:pt>
                <c:pt idx="19">
                  <c:v>68</c:v>
                </c:pt>
                <c:pt idx="20">
                  <c:v>72</c:v>
                </c:pt>
                <c:pt idx="21">
                  <c:v>76</c:v>
                </c:pt>
                <c:pt idx="22">
                  <c:v>80</c:v>
                </c:pt>
                <c:pt idx="23">
                  <c:v>84</c:v>
                </c:pt>
                <c:pt idx="24">
                  <c:v>88</c:v>
                </c:pt>
                <c:pt idx="25">
                  <c:v>92</c:v>
                </c:pt>
                <c:pt idx="26">
                  <c:v>96</c:v>
                </c:pt>
                <c:pt idx="27">
                  <c:v>100</c:v>
                </c:pt>
                <c:pt idx="28">
                  <c:v>104</c:v>
                </c:pt>
                <c:pt idx="29">
                  <c:v>108</c:v>
                </c:pt>
                <c:pt idx="30">
                  <c:v>112</c:v>
                </c:pt>
                <c:pt idx="31">
                  <c:v>116</c:v>
                </c:pt>
                <c:pt idx="32">
                  <c:v>120</c:v>
                </c:pt>
                <c:pt idx="33">
                  <c:v>124</c:v>
                </c:pt>
                <c:pt idx="34">
                  <c:v>128</c:v>
                </c:pt>
                <c:pt idx="35">
                  <c:v>132</c:v>
                </c:pt>
                <c:pt idx="36">
                  <c:v>136</c:v>
                </c:pt>
                <c:pt idx="37">
                  <c:v>140</c:v>
                </c:pt>
                <c:pt idx="38">
                  <c:v>144</c:v>
                </c:pt>
                <c:pt idx="39">
                  <c:v>148</c:v>
                </c:pt>
                <c:pt idx="40">
                  <c:v>152</c:v>
                </c:pt>
                <c:pt idx="41">
                  <c:v>156</c:v>
                </c:pt>
                <c:pt idx="42">
                  <c:v>160</c:v>
                </c:pt>
                <c:pt idx="43">
                  <c:v>164</c:v>
                </c:pt>
                <c:pt idx="44">
                  <c:v>168</c:v>
                </c:pt>
                <c:pt idx="45">
                  <c:v>172</c:v>
                </c:pt>
                <c:pt idx="46">
                  <c:v>176</c:v>
                </c:pt>
                <c:pt idx="47">
                  <c:v>180</c:v>
                </c:pt>
              </c:numCache>
            </c:numRef>
          </c:xVal>
          <c:yVal>
            <c:numRef>
              <c:f>'Fe36Cr Max Reformat'!$G$56:$G$103</c:f>
              <c:numCache>
                <c:formatCode>0.00</c:formatCode>
                <c:ptCount val="48"/>
                <c:pt idx="0">
                  <c:v>2842.54</c:v>
                </c:pt>
                <c:pt idx="1">
                  <c:v>2895.29</c:v>
                </c:pt>
                <c:pt idx="2">
                  <c:v>2922.65</c:v>
                </c:pt>
                <c:pt idx="3">
                  <c:v>2961.21</c:v>
                </c:pt>
                <c:pt idx="4">
                  <c:v>2933.97</c:v>
                </c:pt>
                <c:pt idx="5">
                  <c:v>2908.49</c:v>
                </c:pt>
                <c:pt idx="6">
                  <c:v>2857.82</c:v>
                </c:pt>
                <c:pt idx="7">
                  <c:v>2817.07</c:v>
                </c:pt>
                <c:pt idx="8">
                  <c:v>2768.75</c:v>
                </c:pt>
                <c:pt idx="9">
                  <c:v>2747.92</c:v>
                </c:pt>
                <c:pt idx="10">
                  <c:v>2728.73</c:v>
                </c:pt>
                <c:pt idx="11">
                  <c:v>2707.55</c:v>
                </c:pt>
                <c:pt idx="12">
                  <c:v>2729.34</c:v>
                </c:pt>
                <c:pt idx="13">
                  <c:v>2734.7</c:v>
                </c:pt>
                <c:pt idx="14">
                  <c:v>2778.85</c:v>
                </c:pt>
                <c:pt idx="15">
                  <c:v>2825.01</c:v>
                </c:pt>
                <c:pt idx="16">
                  <c:v>2870.69</c:v>
                </c:pt>
                <c:pt idx="17">
                  <c:v>2915.29</c:v>
                </c:pt>
                <c:pt idx="18">
                  <c:v>2960.07</c:v>
                </c:pt>
                <c:pt idx="19">
                  <c:v>2976.03</c:v>
                </c:pt>
                <c:pt idx="20">
                  <c:v>2959.78</c:v>
                </c:pt>
                <c:pt idx="21">
                  <c:v>2914.14</c:v>
                </c:pt>
                <c:pt idx="22">
                  <c:v>2868.23</c:v>
                </c:pt>
                <c:pt idx="23">
                  <c:v>2802.99</c:v>
                </c:pt>
                <c:pt idx="24">
                  <c:v>3474.31</c:v>
                </c:pt>
                <c:pt idx="25">
                  <c:v>3511.66</c:v>
                </c:pt>
                <c:pt idx="26">
                  <c:v>3554.07</c:v>
                </c:pt>
                <c:pt idx="27">
                  <c:v>3591.21</c:v>
                </c:pt>
                <c:pt idx="28">
                  <c:v>3500.87</c:v>
                </c:pt>
                <c:pt idx="29">
                  <c:v>2883.2</c:v>
                </c:pt>
                <c:pt idx="30">
                  <c:v>2938.22</c:v>
                </c:pt>
                <c:pt idx="31">
                  <c:v>2955.42</c:v>
                </c:pt>
                <c:pt idx="32">
                  <c:v>3060.88</c:v>
                </c:pt>
                <c:pt idx="33">
                  <c:v>3071.2</c:v>
                </c:pt>
                <c:pt idx="34">
                  <c:v>3060.57</c:v>
                </c:pt>
                <c:pt idx="35">
                  <c:v>3021.78</c:v>
                </c:pt>
                <c:pt idx="36">
                  <c:v>2972.46</c:v>
                </c:pt>
                <c:pt idx="37">
                  <c:v>2920.27</c:v>
                </c:pt>
                <c:pt idx="38">
                  <c:v>2877.33</c:v>
                </c:pt>
                <c:pt idx="39">
                  <c:v>2830.87</c:v>
                </c:pt>
                <c:pt idx="40">
                  <c:v>2798.05</c:v>
                </c:pt>
                <c:pt idx="41">
                  <c:v>2783.84</c:v>
                </c:pt>
                <c:pt idx="42">
                  <c:v>2783.86</c:v>
                </c:pt>
                <c:pt idx="43">
                  <c:v>2785.65</c:v>
                </c:pt>
                <c:pt idx="44">
                  <c:v>2817.8</c:v>
                </c:pt>
                <c:pt idx="45">
                  <c:v>2858.45</c:v>
                </c:pt>
                <c:pt idx="46">
                  <c:v>2900.92</c:v>
                </c:pt>
                <c:pt idx="47">
                  <c:v>2936.09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7B-4B90-B0FF-E511B691C100}"/>
            </c:ext>
          </c:extLst>
        </c:ser>
        <c:ser>
          <c:idx val="2"/>
          <c:order val="2"/>
          <c:tx>
            <c:v>500C 10hr</c:v>
          </c:tx>
          <c:spPr>
            <a:ln w="25400">
              <a:noFill/>
            </a:ln>
          </c:spPr>
          <c:marker>
            <c:symbol val="circle"/>
            <c:size val="6"/>
          </c:marker>
          <c:xVal>
            <c:numRef>
              <c:f>'Fe36Cr Max Reformat'!$C$104:$C$137</c:f>
              <c:numCache>
                <c:formatCode>General</c:formatCode>
                <c:ptCount val="34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94</c:v>
                </c:pt>
                <c:pt idx="25">
                  <c:v>98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114</c:v>
                </c:pt>
                <c:pt idx="30">
                  <c:v>118</c:v>
                </c:pt>
                <c:pt idx="31">
                  <c:v>122</c:v>
                </c:pt>
                <c:pt idx="32">
                  <c:v>126</c:v>
                </c:pt>
                <c:pt idx="33">
                  <c:v>130</c:v>
                </c:pt>
              </c:numCache>
            </c:numRef>
          </c:xVal>
          <c:yVal>
            <c:numRef>
              <c:f>'Fe36Cr Max Reformat'!$G$104:$G$137</c:f>
              <c:numCache>
                <c:formatCode>0.00</c:formatCode>
                <c:ptCount val="34"/>
                <c:pt idx="0">
                  <c:v>2873.43</c:v>
                </c:pt>
                <c:pt idx="1">
                  <c:v>2946.6</c:v>
                </c:pt>
                <c:pt idx="2">
                  <c:v>2967.71</c:v>
                </c:pt>
                <c:pt idx="3">
                  <c:v>2961.07</c:v>
                </c:pt>
                <c:pt idx="4">
                  <c:v>2910.31</c:v>
                </c:pt>
                <c:pt idx="5">
                  <c:v>2879.67</c:v>
                </c:pt>
                <c:pt idx="6">
                  <c:v>2837.42</c:v>
                </c:pt>
                <c:pt idx="7">
                  <c:v>2781.1</c:v>
                </c:pt>
                <c:pt idx="8">
                  <c:v>2766.05</c:v>
                </c:pt>
                <c:pt idx="9">
                  <c:v>2759.42</c:v>
                </c:pt>
                <c:pt idx="10">
                  <c:v>2757.31</c:v>
                </c:pt>
                <c:pt idx="11">
                  <c:v>2783.57</c:v>
                </c:pt>
                <c:pt idx="12">
                  <c:v>2804.39</c:v>
                </c:pt>
                <c:pt idx="13">
                  <c:v>2842.51</c:v>
                </c:pt>
                <c:pt idx="14">
                  <c:v>2844.33</c:v>
                </c:pt>
                <c:pt idx="15">
                  <c:v>2921.44</c:v>
                </c:pt>
                <c:pt idx="16">
                  <c:v>2971.84</c:v>
                </c:pt>
                <c:pt idx="17">
                  <c:v>2985.9</c:v>
                </c:pt>
                <c:pt idx="18">
                  <c:v>2977.04</c:v>
                </c:pt>
                <c:pt idx="19">
                  <c:v>2934.94</c:v>
                </c:pt>
                <c:pt idx="20">
                  <c:v>2882.74</c:v>
                </c:pt>
                <c:pt idx="21">
                  <c:v>3415.9</c:v>
                </c:pt>
                <c:pt idx="22">
                  <c:v>3444.88</c:v>
                </c:pt>
                <c:pt idx="23">
                  <c:v>3462.63</c:v>
                </c:pt>
                <c:pt idx="24">
                  <c:v>3503.28</c:v>
                </c:pt>
                <c:pt idx="25">
                  <c:v>3503.22</c:v>
                </c:pt>
                <c:pt idx="26">
                  <c:v>3525.03</c:v>
                </c:pt>
                <c:pt idx="27">
                  <c:v>3566.99</c:v>
                </c:pt>
                <c:pt idx="28">
                  <c:v>2910.02</c:v>
                </c:pt>
                <c:pt idx="29">
                  <c:v>2983.39</c:v>
                </c:pt>
                <c:pt idx="30">
                  <c:v>2990.8</c:v>
                </c:pt>
                <c:pt idx="31">
                  <c:v>3051.54</c:v>
                </c:pt>
                <c:pt idx="32">
                  <c:v>3072.55</c:v>
                </c:pt>
                <c:pt idx="33">
                  <c:v>3074.09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7B-4B90-B0FF-E511B691C100}"/>
            </c:ext>
          </c:extLst>
        </c:ser>
        <c:ser>
          <c:idx val="4"/>
          <c:order val="3"/>
          <c:tx>
            <c:v>Re-homogenization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'Fe36Cr Max Reformat'!$E$187:$E$235</c:f>
              <c:numCache>
                <c:formatCode>General</c:formatCode>
                <c:ptCount val="49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40</c:v>
                </c:pt>
                <c:pt idx="10">
                  <c:v>44</c:v>
                </c:pt>
                <c:pt idx="11">
                  <c:v>48</c:v>
                </c:pt>
                <c:pt idx="12">
                  <c:v>52</c:v>
                </c:pt>
                <c:pt idx="13">
                  <c:v>56</c:v>
                </c:pt>
                <c:pt idx="14">
                  <c:v>60</c:v>
                </c:pt>
                <c:pt idx="15">
                  <c:v>64</c:v>
                </c:pt>
                <c:pt idx="16">
                  <c:v>68</c:v>
                </c:pt>
                <c:pt idx="17">
                  <c:v>72</c:v>
                </c:pt>
                <c:pt idx="18">
                  <c:v>76</c:v>
                </c:pt>
                <c:pt idx="19">
                  <c:v>80</c:v>
                </c:pt>
                <c:pt idx="20">
                  <c:v>84</c:v>
                </c:pt>
                <c:pt idx="21">
                  <c:v>88</c:v>
                </c:pt>
                <c:pt idx="22">
                  <c:v>92</c:v>
                </c:pt>
                <c:pt idx="23">
                  <c:v>96</c:v>
                </c:pt>
                <c:pt idx="24">
                  <c:v>100</c:v>
                </c:pt>
                <c:pt idx="25">
                  <c:v>104</c:v>
                </c:pt>
                <c:pt idx="26">
                  <c:v>108</c:v>
                </c:pt>
                <c:pt idx="27">
                  <c:v>112</c:v>
                </c:pt>
                <c:pt idx="28">
                  <c:v>116</c:v>
                </c:pt>
                <c:pt idx="29">
                  <c:v>120</c:v>
                </c:pt>
                <c:pt idx="30">
                  <c:v>124</c:v>
                </c:pt>
                <c:pt idx="31">
                  <c:v>128</c:v>
                </c:pt>
                <c:pt idx="32">
                  <c:v>132</c:v>
                </c:pt>
                <c:pt idx="33">
                  <c:v>136</c:v>
                </c:pt>
                <c:pt idx="34">
                  <c:v>140</c:v>
                </c:pt>
                <c:pt idx="35">
                  <c:v>144</c:v>
                </c:pt>
                <c:pt idx="36">
                  <c:v>148</c:v>
                </c:pt>
                <c:pt idx="37">
                  <c:v>152</c:v>
                </c:pt>
                <c:pt idx="38">
                  <c:v>156</c:v>
                </c:pt>
                <c:pt idx="39">
                  <c:v>160</c:v>
                </c:pt>
                <c:pt idx="40">
                  <c:v>164</c:v>
                </c:pt>
                <c:pt idx="41">
                  <c:v>168</c:v>
                </c:pt>
                <c:pt idx="42">
                  <c:v>172</c:v>
                </c:pt>
                <c:pt idx="43">
                  <c:v>176</c:v>
                </c:pt>
                <c:pt idx="44">
                  <c:v>180</c:v>
                </c:pt>
                <c:pt idx="45">
                  <c:v>184</c:v>
                </c:pt>
                <c:pt idx="46">
                  <c:v>188</c:v>
                </c:pt>
                <c:pt idx="47">
                  <c:v>192</c:v>
                </c:pt>
                <c:pt idx="48">
                  <c:v>196</c:v>
                </c:pt>
              </c:numCache>
            </c:numRef>
          </c:xVal>
          <c:yVal>
            <c:numRef>
              <c:f>'Fe36Cr Max Reformat'!$G$187:$G$235</c:f>
              <c:numCache>
                <c:formatCode>0.00</c:formatCode>
                <c:ptCount val="49"/>
                <c:pt idx="0">
                  <c:v>2912.63</c:v>
                </c:pt>
                <c:pt idx="1">
                  <c:v>2918.54</c:v>
                </c:pt>
                <c:pt idx="2">
                  <c:v>2883.85</c:v>
                </c:pt>
                <c:pt idx="3">
                  <c:v>2833.31</c:v>
                </c:pt>
                <c:pt idx="4">
                  <c:v>2782.36</c:v>
                </c:pt>
                <c:pt idx="5">
                  <c:v>2739.77</c:v>
                </c:pt>
                <c:pt idx="6">
                  <c:v>2705.83</c:v>
                </c:pt>
                <c:pt idx="7">
                  <c:v>2674.53</c:v>
                </c:pt>
                <c:pt idx="8">
                  <c:v>2649.28</c:v>
                </c:pt>
                <c:pt idx="9">
                  <c:v>2668.04</c:v>
                </c:pt>
                <c:pt idx="10">
                  <c:v>2673.74</c:v>
                </c:pt>
                <c:pt idx="11">
                  <c:v>2703.25</c:v>
                </c:pt>
                <c:pt idx="12">
                  <c:v>2738.57</c:v>
                </c:pt>
                <c:pt idx="13">
                  <c:v>2714.81</c:v>
                </c:pt>
                <c:pt idx="14">
                  <c:v>2797.16</c:v>
                </c:pt>
                <c:pt idx="15">
                  <c:v>2874.37</c:v>
                </c:pt>
                <c:pt idx="16">
                  <c:v>2915.04</c:v>
                </c:pt>
                <c:pt idx="17">
                  <c:v>2938.32</c:v>
                </c:pt>
                <c:pt idx="18">
                  <c:v>2897.89</c:v>
                </c:pt>
                <c:pt idx="19">
                  <c:v>2775.79</c:v>
                </c:pt>
                <c:pt idx="20">
                  <c:v>3325.78</c:v>
                </c:pt>
                <c:pt idx="21">
                  <c:v>3332.4</c:v>
                </c:pt>
                <c:pt idx="22">
                  <c:v>3212.53</c:v>
                </c:pt>
                <c:pt idx="23">
                  <c:v>3401.34</c:v>
                </c:pt>
                <c:pt idx="24">
                  <c:v>3463.72</c:v>
                </c:pt>
                <c:pt idx="25">
                  <c:v>3482.44</c:v>
                </c:pt>
                <c:pt idx="26">
                  <c:v>3561.59</c:v>
                </c:pt>
                <c:pt idx="27">
                  <c:v>3541.41</c:v>
                </c:pt>
                <c:pt idx="28">
                  <c:v>2933.84</c:v>
                </c:pt>
                <c:pt idx="29">
                  <c:v>2991.48</c:v>
                </c:pt>
                <c:pt idx="30">
                  <c:v>3024.97</c:v>
                </c:pt>
                <c:pt idx="31">
                  <c:v>3031.79</c:v>
                </c:pt>
                <c:pt idx="32">
                  <c:v>3009.79</c:v>
                </c:pt>
                <c:pt idx="33">
                  <c:v>2984.62</c:v>
                </c:pt>
                <c:pt idx="34">
                  <c:v>2919.69</c:v>
                </c:pt>
                <c:pt idx="35">
                  <c:v>2903.62</c:v>
                </c:pt>
                <c:pt idx="36">
                  <c:v>2815.94</c:v>
                </c:pt>
                <c:pt idx="37">
                  <c:v>2784.22</c:v>
                </c:pt>
                <c:pt idx="38">
                  <c:v>2755.88</c:v>
                </c:pt>
                <c:pt idx="39">
                  <c:v>2727.17</c:v>
                </c:pt>
                <c:pt idx="40">
                  <c:v>2734.55</c:v>
                </c:pt>
                <c:pt idx="41">
                  <c:v>2746.06</c:v>
                </c:pt>
                <c:pt idx="42">
                  <c:v>2770.3</c:v>
                </c:pt>
                <c:pt idx="43">
                  <c:v>2816.48</c:v>
                </c:pt>
                <c:pt idx="44">
                  <c:v>2863.26</c:v>
                </c:pt>
                <c:pt idx="45">
                  <c:v>2915.02</c:v>
                </c:pt>
                <c:pt idx="46">
                  <c:v>2918.5</c:v>
                </c:pt>
                <c:pt idx="47">
                  <c:v>2877.57</c:v>
                </c:pt>
                <c:pt idx="48">
                  <c:v>2824.06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7B-4B90-B0FF-E511B691C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Relative Surface Angle [degrees]</a:t>
                </a:r>
              </a:p>
            </c:rich>
          </c:tx>
          <c:layout>
            <c:manualLayout>
              <c:xMode val="edge"/>
              <c:yMode val="edge"/>
              <c:x val="0.33838425892873036"/>
              <c:y val="0.894924754817805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20"/>
      </c:valAx>
      <c:valAx>
        <c:axId val="1791294527"/>
        <c:scaling>
          <c:orientation val="minMax"/>
          <c:max val="3550"/>
          <c:min val="2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Surface Acoustic Wave Speed [m/s]</a:t>
                </a:r>
              </a:p>
            </c:rich>
          </c:tx>
          <c:layout>
            <c:manualLayout>
              <c:xMode val="edge"/>
              <c:yMode val="edge"/>
              <c:x val="2.9157658795603811E-2"/>
              <c:y val="0.1337271052204790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layout>
        <c:manualLayout>
          <c:xMode val="edge"/>
          <c:yMode val="edge"/>
          <c:x val="0.65291553443891037"/>
          <c:y val="0.15736424285258113"/>
          <c:w val="0.34708446556108957"/>
          <c:h val="0.26148910249819124"/>
        </c:manualLayout>
      </c:layout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Title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'Fe25Cr Max Edits'!$B$8:$B$55</c:f>
              <c:numCache>
                <c:formatCode>General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138</c:v>
                </c:pt>
                <c:pt idx="36">
                  <c:v>142</c:v>
                </c:pt>
                <c:pt idx="37">
                  <c:v>146</c:v>
                </c:pt>
                <c:pt idx="38">
                  <c:v>150</c:v>
                </c:pt>
                <c:pt idx="39">
                  <c:v>154</c:v>
                </c:pt>
                <c:pt idx="40">
                  <c:v>158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'Fe25Cr Max Edits'!$E$8:$E$55</c:f>
              <c:numCache>
                <c:formatCode>General</c:formatCode>
                <c:ptCount val="48"/>
                <c:pt idx="0">
                  <c:v>2830.5794800063973</c:v>
                </c:pt>
                <c:pt idx="1">
                  <c:v>2834.9474927685328</c:v>
                </c:pt>
                <c:pt idx="2">
                  <c:v>2801.1846019109148</c:v>
                </c:pt>
                <c:pt idx="3">
                  <c:v>2769.8093071384606</c:v>
                </c:pt>
                <c:pt idx="4">
                  <c:v>2757.3226542473635</c:v>
                </c:pt>
                <c:pt idx="5">
                  <c:v>2747.8232733375376</c:v>
                </c:pt>
                <c:pt idx="6">
                  <c:v>2746.4835592444133</c:v>
                </c:pt>
                <c:pt idx="7">
                  <c:v>2757.5464811921361</c:v>
                </c:pt>
                <c:pt idx="8">
                  <c:v>2777.2059331860592</c:v>
                </c:pt>
                <c:pt idx="9">
                  <c:v>2803.89497224874</c:v>
                </c:pt>
                <c:pt idx="10">
                  <c:v>2833.1310181402168</c:v>
                </c:pt>
                <c:pt idx="11">
                  <c:v>2876.0446615704077</c:v>
                </c:pt>
                <c:pt idx="12">
                  <c:v>2916.9954939616846</c:v>
                </c:pt>
                <c:pt idx="13">
                  <c:v>2936.635336670498</c:v>
                </c:pt>
                <c:pt idx="14">
                  <c:v>2931.8622445078613</c:v>
                </c:pt>
                <c:pt idx="15">
                  <c:v>2868.758865321191</c:v>
                </c:pt>
                <c:pt idx="16">
                  <c:v>3294.759630981569</c:v>
                </c:pt>
                <c:pt idx="17">
                  <c:v>3290.5544743060295</c:v>
                </c:pt>
                <c:pt idx="18">
                  <c:v>3288.5236831239408</c:v>
                </c:pt>
                <c:pt idx="19">
                  <c:v>3280.6372712907528</c:v>
                </c:pt>
                <c:pt idx="20">
                  <c:v>3268.0848811966562</c:v>
                </c:pt>
                <c:pt idx="21">
                  <c:v>3273.2857558748051</c:v>
                </c:pt>
                <c:pt idx="22">
                  <c:v>3284.3705980489708</c:v>
                </c:pt>
                <c:pt idx="23">
                  <c:v>3315.7170149845601</c:v>
                </c:pt>
                <c:pt idx="24">
                  <c:v>3349.3826744077514</c:v>
                </c:pt>
                <c:pt idx="25">
                  <c:v>3015.1666233243195</c:v>
                </c:pt>
                <c:pt idx="26">
                  <c:v>3060.7226853179468</c:v>
                </c:pt>
                <c:pt idx="27">
                  <c:v>3055.9518748343075</c:v>
                </c:pt>
                <c:pt idx="28">
                  <c:v>3030.7096396552784</c:v>
                </c:pt>
                <c:pt idx="29">
                  <c:v>3006.3455382909469</c:v>
                </c:pt>
                <c:pt idx="30">
                  <c:v>2967.0923422691926</c:v>
                </c:pt>
                <c:pt idx="31">
                  <c:v>2936.5849982784157</c:v>
                </c:pt>
                <c:pt idx="32">
                  <c:v>2900.9993054940492</c:v>
                </c:pt>
                <c:pt idx="33">
                  <c:v>2873.6950776345625</c:v>
                </c:pt>
                <c:pt idx="34">
                  <c:v>2856.1336230046613</c:v>
                </c:pt>
                <c:pt idx="35">
                  <c:v>2846.7984353696334</c:v>
                </c:pt>
                <c:pt idx="36">
                  <c:v>2850.4188695903395</c:v>
                </c:pt>
                <c:pt idx="37">
                  <c:v>2858.1662071288251</c:v>
                </c:pt>
                <c:pt idx="38">
                  <c:v>2828.8420632909288</c:v>
                </c:pt>
                <c:pt idx="39">
                  <c:v>2837.5552231422271</c:v>
                </c:pt>
                <c:pt idx="40">
                  <c:v>3007.3079600410711</c:v>
                </c:pt>
                <c:pt idx="41">
                  <c:v>3035.9740260443632</c:v>
                </c:pt>
                <c:pt idx="42">
                  <c:v>3051.2878783844144</c:v>
                </c:pt>
                <c:pt idx="43">
                  <c:v>3041.5305259595289</c:v>
                </c:pt>
                <c:pt idx="44">
                  <c:v>2836.1689504516967</c:v>
                </c:pt>
                <c:pt idx="45">
                  <c:v>2837.9122589746498</c:v>
                </c:pt>
                <c:pt idx="46">
                  <c:v>2824.4643775454083</c:v>
                </c:pt>
                <c:pt idx="47">
                  <c:v>2790.2751991894197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0-574E-8A38-F207FEAEA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Fe25Cr SAW Speed vs Degrees Rotation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homogenized</c:v>
          </c:tx>
          <c:spPr>
            <a:ln w="19050">
              <a:noFill/>
            </a:ln>
          </c:spPr>
          <c:xVal>
            <c:numRef>
              <c:f>'Fe25Cr Max Edits'!$C$56:$C$101</c:f>
              <c:numCache>
                <c:formatCode>General</c:formatCode>
                <c:ptCount val="46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0</c:v>
                </c:pt>
                <c:pt idx="32">
                  <c:v>4</c:v>
                </c:pt>
                <c:pt idx="33">
                  <c:v>8</c:v>
                </c:pt>
                <c:pt idx="34">
                  <c:v>12</c:v>
                </c:pt>
                <c:pt idx="35">
                  <c:v>16</c:v>
                </c:pt>
                <c:pt idx="36">
                  <c:v>20</c:v>
                </c:pt>
                <c:pt idx="37">
                  <c:v>24</c:v>
                </c:pt>
                <c:pt idx="38">
                  <c:v>28</c:v>
                </c:pt>
                <c:pt idx="39">
                  <c:v>32</c:v>
                </c:pt>
                <c:pt idx="40">
                  <c:v>36</c:v>
                </c:pt>
                <c:pt idx="41">
                  <c:v>40</c:v>
                </c:pt>
                <c:pt idx="42">
                  <c:v>44</c:v>
                </c:pt>
                <c:pt idx="43">
                  <c:v>48</c:v>
                </c:pt>
                <c:pt idx="44">
                  <c:v>52</c:v>
                </c:pt>
                <c:pt idx="45">
                  <c:v>56</c:v>
                </c:pt>
              </c:numCache>
            </c:numRef>
          </c:xVal>
          <c:yVal>
            <c:numRef>
              <c:f>'Fe25Cr Max Edits'!$E$56:$E$101</c:f>
              <c:numCache>
                <c:formatCode>General</c:formatCode>
                <c:ptCount val="46"/>
                <c:pt idx="0">
                  <c:v>2912.4696912703689</c:v>
                </c:pt>
                <c:pt idx="1">
                  <c:v>2859.2366759746915</c:v>
                </c:pt>
                <c:pt idx="2">
                  <c:v>3295.4347238599671</c:v>
                </c:pt>
                <c:pt idx="3">
                  <c:v>3284.6744733653231</c:v>
                </c:pt>
                <c:pt idx="4">
                  <c:v>3278.5911183924486</c:v>
                </c:pt>
                <c:pt idx="5">
                  <c:v>3269.0360358181269</c:v>
                </c:pt>
                <c:pt idx="6">
                  <c:v>3265.3370507740319</c:v>
                </c:pt>
                <c:pt idx="7">
                  <c:v>3264.4340392456538</c:v>
                </c:pt>
                <c:pt idx="8">
                  <c:v>3269.9682605335779</c:v>
                </c:pt>
                <c:pt idx="9">
                  <c:v>3290.3163812974376</c:v>
                </c:pt>
                <c:pt idx="10">
                  <c:v>3328.323430699339</c:v>
                </c:pt>
                <c:pt idx="11">
                  <c:v>3005.7060346632784</c:v>
                </c:pt>
                <c:pt idx="12">
                  <c:v>3047.5561228132183</c:v>
                </c:pt>
                <c:pt idx="13">
                  <c:v>3050.8835858358802</c:v>
                </c:pt>
                <c:pt idx="14">
                  <c:v>3028.909915553967</c:v>
                </c:pt>
                <c:pt idx="15">
                  <c:v>2995.5710172537802</c:v>
                </c:pt>
                <c:pt idx="16">
                  <c:v>2962.8315632957288</c:v>
                </c:pt>
                <c:pt idx="17">
                  <c:v>2928.8707195337925</c:v>
                </c:pt>
                <c:pt idx="18">
                  <c:v>2896.1677365379587</c:v>
                </c:pt>
                <c:pt idx="19">
                  <c:v>2872.2129396235136</c:v>
                </c:pt>
                <c:pt idx="20">
                  <c:v>2850.6944865545538</c:v>
                </c:pt>
                <c:pt idx="21">
                  <c:v>2842.4341632584851</c:v>
                </c:pt>
                <c:pt idx="22">
                  <c:v>2835.8737910306909</c:v>
                </c:pt>
                <c:pt idx="23">
                  <c:v>2837.6445901408802</c:v>
                </c:pt>
                <c:pt idx="24">
                  <c:v>2844.5202604442097</c:v>
                </c:pt>
                <c:pt idx="25">
                  <c:v>2784.7935173662545</c:v>
                </c:pt>
                <c:pt idx="26">
                  <c:v>2951.8436317883875</c:v>
                </c:pt>
                <c:pt idx="27">
                  <c:v>3011.2584429590347</c:v>
                </c:pt>
                <c:pt idx="28">
                  <c:v>3037.4177656325501</c:v>
                </c:pt>
                <c:pt idx="29">
                  <c:v>3028.5543962543957</c:v>
                </c:pt>
                <c:pt idx="30">
                  <c:v>2769.9598943602896</c:v>
                </c:pt>
                <c:pt idx="31">
                  <c:v>2828.6063228652179</c:v>
                </c:pt>
                <c:pt idx="32">
                  <c:v>2818.7274178491584</c:v>
                </c:pt>
                <c:pt idx="33">
                  <c:v>2792.5783945273865</c:v>
                </c:pt>
                <c:pt idx="34">
                  <c:v>2763.468121114448</c:v>
                </c:pt>
                <c:pt idx="35">
                  <c:v>2742.8082132012469</c:v>
                </c:pt>
                <c:pt idx="36">
                  <c:v>2732.0947043199667</c:v>
                </c:pt>
                <c:pt idx="37">
                  <c:v>2726.8730056772592</c:v>
                </c:pt>
                <c:pt idx="38">
                  <c:v>2737.5054033329911</c:v>
                </c:pt>
                <c:pt idx="39">
                  <c:v>2762.4649778266103</c:v>
                </c:pt>
                <c:pt idx="40">
                  <c:v>2797.0717504190484</c:v>
                </c:pt>
                <c:pt idx="41">
                  <c:v>2829.4871140266673</c:v>
                </c:pt>
                <c:pt idx="42">
                  <c:v>2869.6828873985914</c:v>
                </c:pt>
                <c:pt idx="43">
                  <c:v>2907.5751288555575</c:v>
                </c:pt>
                <c:pt idx="44">
                  <c:v>2932.6348039433847</c:v>
                </c:pt>
                <c:pt idx="45">
                  <c:v>2923.8789122226863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B9-024D-A593-3C00C357E7A7}"/>
            </c:ext>
          </c:extLst>
        </c:ser>
        <c:ser>
          <c:idx val="2"/>
          <c:order val="1"/>
          <c:tx>
            <c:v>500C 10hr</c:v>
          </c:tx>
          <c:spPr>
            <a:ln w="19050">
              <a:noFill/>
            </a:ln>
          </c:spPr>
          <c:xVal>
            <c:numRef>
              <c:f>'Fe25Cr Max Edits'!$C$102:$C$153</c:f>
              <c:numCache>
                <c:formatCode>General</c:formatCode>
                <c:ptCount val="52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180</c:v>
                </c:pt>
                <c:pt idx="32">
                  <c:v>184</c:v>
                </c:pt>
                <c:pt idx="33">
                  <c:v>0</c:v>
                </c:pt>
                <c:pt idx="34">
                  <c:v>4</c:v>
                </c:pt>
                <c:pt idx="35">
                  <c:v>8</c:v>
                </c:pt>
                <c:pt idx="36">
                  <c:v>12</c:v>
                </c:pt>
                <c:pt idx="37">
                  <c:v>16</c:v>
                </c:pt>
                <c:pt idx="38">
                  <c:v>20</c:v>
                </c:pt>
                <c:pt idx="39">
                  <c:v>24</c:v>
                </c:pt>
                <c:pt idx="40">
                  <c:v>28</c:v>
                </c:pt>
                <c:pt idx="41">
                  <c:v>32</c:v>
                </c:pt>
                <c:pt idx="42">
                  <c:v>36</c:v>
                </c:pt>
                <c:pt idx="43">
                  <c:v>40</c:v>
                </c:pt>
                <c:pt idx="44">
                  <c:v>44</c:v>
                </c:pt>
                <c:pt idx="45">
                  <c:v>48</c:v>
                </c:pt>
                <c:pt idx="46">
                  <c:v>52</c:v>
                </c:pt>
                <c:pt idx="47">
                  <c:v>56</c:v>
                </c:pt>
                <c:pt idx="48">
                  <c:v>60</c:v>
                </c:pt>
                <c:pt idx="49">
                  <c:v>64</c:v>
                </c:pt>
                <c:pt idx="50">
                  <c:v>68</c:v>
                </c:pt>
                <c:pt idx="51">
                  <c:v>72</c:v>
                </c:pt>
              </c:numCache>
            </c:numRef>
          </c:xVal>
          <c:yVal>
            <c:numRef>
              <c:f>'Fe25Cr Max Edits'!$E$102:$E$153</c:f>
              <c:numCache>
                <c:formatCode>General</c:formatCode>
                <c:ptCount val="52"/>
                <c:pt idx="0">
                  <c:v>2893.9469065238854</c:v>
                </c:pt>
                <c:pt idx="1">
                  <c:v>2930.8265273557195</c:v>
                </c:pt>
                <c:pt idx="2">
                  <c:v>2924.7152139980249</c:v>
                </c:pt>
                <c:pt idx="3">
                  <c:v>2809.6735746050708</c:v>
                </c:pt>
                <c:pt idx="4">
                  <c:v>3282.5848321362437</c:v>
                </c:pt>
                <c:pt idx="5">
                  <c:v>3272.7632815945944</c:v>
                </c:pt>
                <c:pt idx="6">
                  <c:v>3256.9488755946641</c:v>
                </c:pt>
                <c:pt idx="7">
                  <c:v>3251.3015168061215</c:v>
                </c:pt>
                <c:pt idx="8">
                  <c:v>3257.273535753824</c:v>
                </c:pt>
                <c:pt idx="9">
                  <c:v>3255.0917165555807</c:v>
                </c:pt>
                <c:pt idx="10">
                  <c:v>3264.0104753978885</c:v>
                </c:pt>
                <c:pt idx="11">
                  <c:v>3303.8847886163726</c:v>
                </c:pt>
                <c:pt idx="12">
                  <c:v>3338.2829858360719</c:v>
                </c:pt>
                <c:pt idx="13">
                  <c:v>3016.9248503009835</c:v>
                </c:pt>
                <c:pt idx="14">
                  <c:v>3040.5231674961087</c:v>
                </c:pt>
                <c:pt idx="15">
                  <c:v>3039.5409678583533</c:v>
                </c:pt>
                <c:pt idx="16">
                  <c:v>3004.2462177441494</c:v>
                </c:pt>
                <c:pt idx="17">
                  <c:v>2968.8745052384152</c:v>
                </c:pt>
                <c:pt idx="18">
                  <c:v>2932.2230715159053</c:v>
                </c:pt>
                <c:pt idx="19">
                  <c:v>2907.8959009209207</c:v>
                </c:pt>
                <c:pt idx="20">
                  <c:v>2879.8608959762441</c:v>
                </c:pt>
                <c:pt idx="21">
                  <c:v>2853.2396762471226</c:v>
                </c:pt>
                <c:pt idx="22">
                  <c:v>2845.5131441509275</c:v>
                </c:pt>
                <c:pt idx="23">
                  <c:v>2836.0911343091889</c:v>
                </c:pt>
                <c:pt idx="24">
                  <c:v>2842.729343819412</c:v>
                </c:pt>
                <c:pt idx="25">
                  <c:v>2839.6190333833042</c:v>
                </c:pt>
                <c:pt idx="26">
                  <c:v>2841.317646527596</c:v>
                </c:pt>
                <c:pt idx="27">
                  <c:v>3070.9902525829784</c:v>
                </c:pt>
                <c:pt idx="28">
                  <c:v>2952.024987854556</c:v>
                </c:pt>
                <c:pt idx="29">
                  <c:v>3013.242087689438</c:v>
                </c:pt>
                <c:pt idx="30">
                  <c:v>3026.9671316001522</c:v>
                </c:pt>
                <c:pt idx="31">
                  <c:v>3014.3749771486696</c:v>
                </c:pt>
                <c:pt idx="32">
                  <c:v>2808.841878940922</c:v>
                </c:pt>
                <c:pt idx="33">
                  <c:v>2832.8675360809189</c:v>
                </c:pt>
                <c:pt idx="34">
                  <c:v>2816.1169856084493</c:v>
                </c:pt>
                <c:pt idx="35">
                  <c:v>2780.1036838094956</c:v>
                </c:pt>
                <c:pt idx="36">
                  <c:v>2757.1276298077828</c:v>
                </c:pt>
                <c:pt idx="37">
                  <c:v>2743.0211392763422</c:v>
                </c:pt>
                <c:pt idx="38">
                  <c:v>2732.4758999074484</c:v>
                </c:pt>
                <c:pt idx="39">
                  <c:v>2730.2102762897312</c:v>
                </c:pt>
                <c:pt idx="40">
                  <c:v>2744.1672124149763</c:v>
                </c:pt>
                <c:pt idx="41">
                  <c:v>2756.8068971527227</c:v>
                </c:pt>
                <c:pt idx="42">
                  <c:v>2798.132334013394</c:v>
                </c:pt>
                <c:pt idx="43">
                  <c:v>2831.8985440665897</c:v>
                </c:pt>
                <c:pt idx="44">
                  <c:v>2856.7150357793912</c:v>
                </c:pt>
                <c:pt idx="45">
                  <c:v>2905.1131610173566</c:v>
                </c:pt>
                <c:pt idx="46">
                  <c:v>2925.2350655260771</c:v>
                </c:pt>
                <c:pt idx="47">
                  <c:v>2928.700451082359</c:v>
                </c:pt>
                <c:pt idx="48">
                  <c:v>3311.6514539824525</c:v>
                </c:pt>
                <c:pt idx="49">
                  <c:v>3287.6819021997258</c:v>
                </c:pt>
                <c:pt idx="50">
                  <c:v>3273.3133519792282</c:v>
                </c:pt>
                <c:pt idx="51">
                  <c:v>3264.2795376248932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B9-024D-A593-3C00C357E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5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Fe-26Cr Alloy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'Fe25Cr Max Edits'!$C$8:$C$55</c:f>
              <c:numCache>
                <c:formatCode>General</c:formatCode>
                <c:ptCount val="48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142</c:v>
                </c:pt>
                <c:pt idx="36">
                  <c:v>146</c:v>
                </c:pt>
                <c:pt idx="37">
                  <c:v>150</c:v>
                </c:pt>
                <c:pt idx="38">
                  <c:v>154</c:v>
                </c:pt>
                <c:pt idx="39">
                  <c:v>158</c:v>
                </c:pt>
                <c:pt idx="40">
                  <c:v>162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</c:numCache>
            </c:numRef>
          </c:xVal>
          <c:yVal>
            <c:numRef>
              <c:f>'Fe25Cr Max Edits'!$E$8:$E$55</c:f>
              <c:numCache>
                <c:formatCode>General</c:formatCode>
                <c:ptCount val="48"/>
                <c:pt idx="0">
                  <c:v>2830.5794800063973</c:v>
                </c:pt>
                <c:pt idx="1">
                  <c:v>2834.9474927685328</c:v>
                </c:pt>
                <c:pt idx="2">
                  <c:v>2801.1846019109148</c:v>
                </c:pt>
                <c:pt idx="3">
                  <c:v>2769.8093071384606</c:v>
                </c:pt>
                <c:pt idx="4">
                  <c:v>2757.3226542473635</c:v>
                </c:pt>
                <c:pt idx="5">
                  <c:v>2747.8232733375376</c:v>
                </c:pt>
                <c:pt idx="6">
                  <c:v>2746.4835592444133</c:v>
                </c:pt>
                <c:pt idx="7">
                  <c:v>2757.5464811921361</c:v>
                </c:pt>
                <c:pt idx="8">
                  <c:v>2777.2059331860592</c:v>
                </c:pt>
                <c:pt idx="9">
                  <c:v>2803.89497224874</c:v>
                </c:pt>
                <c:pt idx="10">
                  <c:v>2833.1310181402168</c:v>
                </c:pt>
                <c:pt idx="11">
                  <c:v>2876.0446615704077</c:v>
                </c:pt>
                <c:pt idx="12">
                  <c:v>2916.9954939616846</c:v>
                </c:pt>
                <c:pt idx="13">
                  <c:v>2936.635336670498</c:v>
                </c:pt>
                <c:pt idx="14">
                  <c:v>2931.8622445078613</c:v>
                </c:pt>
                <c:pt idx="15">
                  <c:v>2868.758865321191</c:v>
                </c:pt>
                <c:pt idx="16">
                  <c:v>3294.759630981569</c:v>
                </c:pt>
                <c:pt idx="17">
                  <c:v>3290.5544743060295</c:v>
                </c:pt>
                <c:pt idx="18">
                  <c:v>3288.5236831239408</c:v>
                </c:pt>
                <c:pt idx="19">
                  <c:v>3280.6372712907528</c:v>
                </c:pt>
                <c:pt idx="20">
                  <c:v>3268.0848811966562</c:v>
                </c:pt>
                <c:pt idx="21">
                  <c:v>3273.2857558748051</c:v>
                </c:pt>
                <c:pt idx="22">
                  <c:v>3284.3705980489708</c:v>
                </c:pt>
                <c:pt idx="23">
                  <c:v>3315.7170149845601</c:v>
                </c:pt>
                <c:pt idx="24">
                  <c:v>3349.3826744077514</c:v>
                </c:pt>
                <c:pt idx="25">
                  <c:v>3015.1666233243195</c:v>
                </c:pt>
                <c:pt idx="26">
                  <c:v>3060.7226853179468</c:v>
                </c:pt>
                <c:pt idx="27">
                  <c:v>3055.9518748343075</c:v>
                </c:pt>
                <c:pt idx="28">
                  <c:v>3030.7096396552784</c:v>
                </c:pt>
                <c:pt idx="29">
                  <c:v>3006.3455382909469</c:v>
                </c:pt>
                <c:pt idx="30">
                  <c:v>2967.0923422691926</c:v>
                </c:pt>
                <c:pt idx="31">
                  <c:v>2936.5849982784157</c:v>
                </c:pt>
                <c:pt idx="32">
                  <c:v>2900.9993054940492</c:v>
                </c:pt>
                <c:pt idx="33">
                  <c:v>2873.6950776345625</c:v>
                </c:pt>
                <c:pt idx="34">
                  <c:v>2856.1336230046613</c:v>
                </c:pt>
                <c:pt idx="35">
                  <c:v>2846.7984353696334</c:v>
                </c:pt>
                <c:pt idx="36">
                  <c:v>2850.4188695903395</c:v>
                </c:pt>
                <c:pt idx="37">
                  <c:v>2858.1662071288251</c:v>
                </c:pt>
                <c:pt idx="38">
                  <c:v>2828.8420632909288</c:v>
                </c:pt>
                <c:pt idx="39">
                  <c:v>2837.5552231422271</c:v>
                </c:pt>
                <c:pt idx="40">
                  <c:v>3007.3079600410711</c:v>
                </c:pt>
                <c:pt idx="41">
                  <c:v>3035.9740260443632</c:v>
                </c:pt>
                <c:pt idx="42">
                  <c:v>3051.2878783844144</c:v>
                </c:pt>
                <c:pt idx="43">
                  <c:v>3041.5305259595289</c:v>
                </c:pt>
                <c:pt idx="44">
                  <c:v>2836.1689504516967</c:v>
                </c:pt>
                <c:pt idx="45">
                  <c:v>2837.9122589746498</c:v>
                </c:pt>
                <c:pt idx="46">
                  <c:v>2824.4643775454083</c:v>
                </c:pt>
                <c:pt idx="47">
                  <c:v>2790.2751991894197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5-3345-B3E2-20C35B569C45}"/>
            </c:ext>
          </c:extLst>
        </c:ser>
        <c:ser>
          <c:idx val="2"/>
          <c:order val="1"/>
          <c:tx>
            <c:v>500C 10hr</c:v>
          </c:tx>
          <c:spPr>
            <a:ln w="19050">
              <a:noFill/>
            </a:ln>
          </c:spPr>
          <c:marker>
            <c:symbol val="circle"/>
            <c:size val="6"/>
          </c:marker>
          <c:xVal>
            <c:numRef>
              <c:f>'Fe25Cr Max Edits'!$C$102:$C$153</c:f>
              <c:numCache>
                <c:formatCode>General</c:formatCode>
                <c:ptCount val="52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180</c:v>
                </c:pt>
                <c:pt idx="32">
                  <c:v>184</c:v>
                </c:pt>
                <c:pt idx="33">
                  <c:v>0</c:v>
                </c:pt>
                <c:pt idx="34">
                  <c:v>4</c:v>
                </c:pt>
                <c:pt idx="35">
                  <c:v>8</c:v>
                </c:pt>
                <c:pt idx="36">
                  <c:v>12</c:v>
                </c:pt>
                <c:pt idx="37">
                  <c:v>16</c:v>
                </c:pt>
                <c:pt idx="38">
                  <c:v>20</c:v>
                </c:pt>
                <c:pt idx="39">
                  <c:v>24</c:v>
                </c:pt>
                <c:pt idx="40">
                  <c:v>28</c:v>
                </c:pt>
                <c:pt idx="41">
                  <c:v>32</c:v>
                </c:pt>
                <c:pt idx="42">
                  <c:v>36</c:v>
                </c:pt>
                <c:pt idx="43">
                  <c:v>40</c:v>
                </c:pt>
                <c:pt idx="44">
                  <c:v>44</c:v>
                </c:pt>
                <c:pt idx="45">
                  <c:v>48</c:v>
                </c:pt>
                <c:pt idx="46">
                  <c:v>52</c:v>
                </c:pt>
                <c:pt idx="47">
                  <c:v>56</c:v>
                </c:pt>
                <c:pt idx="48">
                  <c:v>60</c:v>
                </c:pt>
                <c:pt idx="49">
                  <c:v>64</c:v>
                </c:pt>
                <c:pt idx="50">
                  <c:v>68</c:v>
                </c:pt>
                <c:pt idx="51">
                  <c:v>72</c:v>
                </c:pt>
              </c:numCache>
            </c:numRef>
          </c:xVal>
          <c:yVal>
            <c:numRef>
              <c:f>'Fe25Cr Max Edits'!$E$102:$E$153</c:f>
              <c:numCache>
                <c:formatCode>General</c:formatCode>
                <c:ptCount val="52"/>
                <c:pt idx="0">
                  <c:v>2893.9469065238854</c:v>
                </c:pt>
                <c:pt idx="1">
                  <c:v>2930.8265273557195</c:v>
                </c:pt>
                <c:pt idx="2">
                  <c:v>2924.7152139980249</c:v>
                </c:pt>
                <c:pt idx="3">
                  <c:v>2809.6735746050708</c:v>
                </c:pt>
                <c:pt idx="4">
                  <c:v>3282.5848321362437</c:v>
                </c:pt>
                <c:pt idx="5">
                  <c:v>3272.7632815945944</c:v>
                </c:pt>
                <c:pt idx="6">
                  <c:v>3256.9488755946641</c:v>
                </c:pt>
                <c:pt idx="7">
                  <c:v>3251.3015168061215</c:v>
                </c:pt>
                <c:pt idx="8">
                  <c:v>3257.273535753824</c:v>
                </c:pt>
                <c:pt idx="9">
                  <c:v>3255.0917165555807</c:v>
                </c:pt>
                <c:pt idx="10">
                  <c:v>3264.0104753978885</c:v>
                </c:pt>
                <c:pt idx="11">
                  <c:v>3303.8847886163726</c:v>
                </c:pt>
                <c:pt idx="12">
                  <c:v>3338.2829858360719</c:v>
                </c:pt>
                <c:pt idx="13">
                  <c:v>3016.9248503009835</c:v>
                </c:pt>
                <c:pt idx="14">
                  <c:v>3040.5231674961087</c:v>
                </c:pt>
                <c:pt idx="15">
                  <c:v>3039.5409678583533</c:v>
                </c:pt>
                <c:pt idx="16">
                  <c:v>3004.2462177441494</c:v>
                </c:pt>
                <c:pt idx="17">
                  <c:v>2968.8745052384152</c:v>
                </c:pt>
                <c:pt idx="18">
                  <c:v>2932.2230715159053</c:v>
                </c:pt>
                <c:pt idx="19">
                  <c:v>2907.8959009209207</c:v>
                </c:pt>
                <c:pt idx="20">
                  <c:v>2879.8608959762441</c:v>
                </c:pt>
                <c:pt idx="21">
                  <c:v>2853.2396762471226</c:v>
                </c:pt>
                <c:pt idx="22">
                  <c:v>2845.5131441509275</c:v>
                </c:pt>
                <c:pt idx="23">
                  <c:v>2836.0911343091889</c:v>
                </c:pt>
                <c:pt idx="24">
                  <c:v>2842.729343819412</c:v>
                </c:pt>
                <c:pt idx="25">
                  <c:v>2839.6190333833042</c:v>
                </c:pt>
                <c:pt idx="26">
                  <c:v>2841.317646527596</c:v>
                </c:pt>
                <c:pt idx="27">
                  <c:v>3070.9902525829784</c:v>
                </c:pt>
                <c:pt idx="28">
                  <c:v>2952.024987854556</c:v>
                </c:pt>
                <c:pt idx="29">
                  <c:v>3013.242087689438</c:v>
                </c:pt>
                <c:pt idx="30">
                  <c:v>3026.9671316001522</c:v>
                </c:pt>
                <c:pt idx="31">
                  <c:v>3014.3749771486696</c:v>
                </c:pt>
                <c:pt idx="32">
                  <c:v>2808.841878940922</c:v>
                </c:pt>
                <c:pt idx="33">
                  <c:v>2832.8675360809189</c:v>
                </c:pt>
                <c:pt idx="34">
                  <c:v>2816.1169856084493</c:v>
                </c:pt>
                <c:pt idx="35">
                  <c:v>2780.1036838094956</c:v>
                </c:pt>
                <c:pt idx="36">
                  <c:v>2757.1276298077828</c:v>
                </c:pt>
                <c:pt idx="37">
                  <c:v>2743.0211392763422</c:v>
                </c:pt>
                <c:pt idx="38">
                  <c:v>2732.4758999074484</c:v>
                </c:pt>
                <c:pt idx="39">
                  <c:v>2730.2102762897312</c:v>
                </c:pt>
                <c:pt idx="40">
                  <c:v>2744.1672124149763</c:v>
                </c:pt>
                <c:pt idx="41">
                  <c:v>2756.8068971527227</c:v>
                </c:pt>
                <c:pt idx="42">
                  <c:v>2798.132334013394</c:v>
                </c:pt>
                <c:pt idx="43">
                  <c:v>2831.8985440665897</c:v>
                </c:pt>
                <c:pt idx="44">
                  <c:v>2856.7150357793912</c:v>
                </c:pt>
                <c:pt idx="45">
                  <c:v>2905.1131610173566</c:v>
                </c:pt>
                <c:pt idx="46">
                  <c:v>2925.2350655260771</c:v>
                </c:pt>
                <c:pt idx="47">
                  <c:v>2928.700451082359</c:v>
                </c:pt>
                <c:pt idx="48">
                  <c:v>3311.6514539824525</c:v>
                </c:pt>
                <c:pt idx="49">
                  <c:v>3287.6819021997258</c:v>
                </c:pt>
                <c:pt idx="50">
                  <c:v>3273.3133519792282</c:v>
                </c:pt>
                <c:pt idx="51">
                  <c:v>3264.2795376248932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E5-3345-B3E2-20C35B569C45}"/>
            </c:ext>
          </c:extLst>
        </c:ser>
        <c:ser>
          <c:idx val="1"/>
          <c:order val="2"/>
          <c:tx>
            <c:v>2nd homogenization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</c:spPr>
          </c:marker>
          <c:xVal>
            <c:numRef>
              <c:f>'Fe25Cr Max Edits'!$C$56:$C$101</c:f>
              <c:numCache>
                <c:formatCode>General</c:formatCode>
                <c:ptCount val="46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0</c:v>
                </c:pt>
                <c:pt idx="32">
                  <c:v>4</c:v>
                </c:pt>
                <c:pt idx="33">
                  <c:v>8</c:v>
                </c:pt>
                <c:pt idx="34">
                  <c:v>12</c:v>
                </c:pt>
                <c:pt idx="35">
                  <c:v>16</c:v>
                </c:pt>
                <c:pt idx="36">
                  <c:v>20</c:v>
                </c:pt>
                <c:pt idx="37">
                  <c:v>24</c:v>
                </c:pt>
                <c:pt idx="38">
                  <c:v>28</c:v>
                </c:pt>
                <c:pt idx="39">
                  <c:v>32</c:v>
                </c:pt>
                <c:pt idx="40">
                  <c:v>36</c:v>
                </c:pt>
                <c:pt idx="41">
                  <c:v>40</c:v>
                </c:pt>
                <c:pt idx="42">
                  <c:v>44</c:v>
                </c:pt>
                <c:pt idx="43">
                  <c:v>48</c:v>
                </c:pt>
                <c:pt idx="44">
                  <c:v>52</c:v>
                </c:pt>
                <c:pt idx="45">
                  <c:v>56</c:v>
                </c:pt>
              </c:numCache>
            </c:numRef>
          </c:xVal>
          <c:yVal>
            <c:numRef>
              <c:f>'Fe25Cr Max Edits'!$E$56:$E$101</c:f>
              <c:numCache>
                <c:formatCode>General</c:formatCode>
                <c:ptCount val="46"/>
                <c:pt idx="0">
                  <c:v>2912.4696912703689</c:v>
                </c:pt>
                <c:pt idx="1">
                  <c:v>2859.2366759746915</c:v>
                </c:pt>
                <c:pt idx="2">
                  <c:v>3295.4347238599671</c:v>
                </c:pt>
                <c:pt idx="3">
                  <c:v>3284.6744733653231</c:v>
                </c:pt>
                <c:pt idx="4">
                  <c:v>3278.5911183924486</c:v>
                </c:pt>
                <c:pt idx="5">
                  <c:v>3269.0360358181269</c:v>
                </c:pt>
                <c:pt idx="6">
                  <c:v>3265.3370507740319</c:v>
                </c:pt>
                <c:pt idx="7">
                  <c:v>3264.4340392456538</c:v>
                </c:pt>
                <c:pt idx="8">
                  <c:v>3269.9682605335779</c:v>
                </c:pt>
                <c:pt idx="9">
                  <c:v>3290.3163812974376</c:v>
                </c:pt>
                <c:pt idx="10">
                  <c:v>3328.323430699339</c:v>
                </c:pt>
                <c:pt idx="11">
                  <c:v>3005.7060346632784</c:v>
                </c:pt>
                <c:pt idx="12">
                  <c:v>3047.5561228132183</c:v>
                </c:pt>
                <c:pt idx="13">
                  <c:v>3050.8835858358802</c:v>
                </c:pt>
                <c:pt idx="14">
                  <c:v>3028.909915553967</c:v>
                </c:pt>
                <c:pt idx="15">
                  <c:v>2995.5710172537802</c:v>
                </c:pt>
                <c:pt idx="16">
                  <c:v>2962.8315632957288</c:v>
                </c:pt>
                <c:pt idx="17">
                  <c:v>2928.8707195337925</c:v>
                </c:pt>
                <c:pt idx="18">
                  <c:v>2896.1677365379587</c:v>
                </c:pt>
                <c:pt idx="19">
                  <c:v>2872.2129396235136</c:v>
                </c:pt>
                <c:pt idx="20">
                  <c:v>2850.6944865545538</c:v>
                </c:pt>
                <c:pt idx="21">
                  <c:v>2842.4341632584851</c:v>
                </c:pt>
                <c:pt idx="22">
                  <c:v>2835.8737910306909</c:v>
                </c:pt>
                <c:pt idx="23">
                  <c:v>2837.6445901408802</c:v>
                </c:pt>
                <c:pt idx="24">
                  <c:v>2844.5202604442097</c:v>
                </c:pt>
                <c:pt idx="25">
                  <c:v>2784.7935173662545</c:v>
                </c:pt>
                <c:pt idx="26">
                  <c:v>2951.8436317883875</c:v>
                </c:pt>
                <c:pt idx="27">
                  <c:v>3011.2584429590347</c:v>
                </c:pt>
                <c:pt idx="28">
                  <c:v>3037.4177656325501</c:v>
                </c:pt>
                <c:pt idx="29">
                  <c:v>3028.5543962543957</c:v>
                </c:pt>
                <c:pt idx="30">
                  <c:v>2769.9598943602896</c:v>
                </c:pt>
                <c:pt idx="31">
                  <c:v>2828.6063228652179</c:v>
                </c:pt>
                <c:pt idx="32">
                  <c:v>2818.7274178491584</c:v>
                </c:pt>
                <c:pt idx="33">
                  <c:v>2792.5783945273865</c:v>
                </c:pt>
                <c:pt idx="34">
                  <c:v>2763.468121114448</c:v>
                </c:pt>
                <c:pt idx="35">
                  <c:v>2742.8082132012469</c:v>
                </c:pt>
                <c:pt idx="36">
                  <c:v>2732.0947043199667</c:v>
                </c:pt>
                <c:pt idx="37">
                  <c:v>2726.8730056772592</c:v>
                </c:pt>
                <c:pt idx="38">
                  <c:v>2737.5054033329911</c:v>
                </c:pt>
                <c:pt idx="39">
                  <c:v>2762.4649778266103</c:v>
                </c:pt>
                <c:pt idx="40">
                  <c:v>2797.0717504190484</c:v>
                </c:pt>
                <c:pt idx="41">
                  <c:v>2829.4871140266673</c:v>
                </c:pt>
                <c:pt idx="42">
                  <c:v>2869.6828873985914</c:v>
                </c:pt>
                <c:pt idx="43">
                  <c:v>2907.5751288555575</c:v>
                </c:pt>
                <c:pt idx="44">
                  <c:v>2932.6348039433847</c:v>
                </c:pt>
                <c:pt idx="45">
                  <c:v>2923.8789122226863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E5-3345-B3E2-20C35B569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Surface Acoustic Wave Speed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layout>
        <c:manualLayout>
          <c:xMode val="edge"/>
          <c:yMode val="edge"/>
          <c:x val="0.73006538608733873"/>
          <c:y val="0.20204929907215802"/>
          <c:w val="0.2575527852193244"/>
          <c:h val="0.16727328152870793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 sz="16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Title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Fe25Cr!$A$8:$A$55</c:f>
              <c:numCache>
                <c:formatCode>General</c:formatCode>
                <c:ptCount val="48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  <c:pt idx="22">
                  <c:v>84</c:v>
                </c:pt>
                <c:pt idx="23">
                  <c:v>88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104</c:v>
                </c:pt>
                <c:pt idx="28">
                  <c:v>108</c:v>
                </c:pt>
                <c:pt idx="29">
                  <c:v>112</c:v>
                </c:pt>
                <c:pt idx="30">
                  <c:v>116</c:v>
                </c:pt>
                <c:pt idx="31">
                  <c:v>120</c:v>
                </c:pt>
                <c:pt idx="32">
                  <c:v>124</c:v>
                </c:pt>
                <c:pt idx="33">
                  <c:v>128</c:v>
                </c:pt>
                <c:pt idx="34">
                  <c:v>132</c:v>
                </c:pt>
                <c:pt idx="35">
                  <c:v>138</c:v>
                </c:pt>
                <c:pt idx="36">
                  <c:v>142</c:v>
                </c:pt>
                <c:pt idx="37">
                  <c:v>146</c:v>
                </c:pt>
                <c:pt idx="38">
                  <c:v>150</c:v>
                </c:pt>
                <c:pt idx="39">
                  <c:v>154</c:v>
                </c:pt>
                <c:pt idx="40">
                  <c:v>158</c:v>
                </c:pt>
                <c:pt idx="41">
                  <c:v>160</c:v>
                </c:pt>
                <c:pt idx="42">
                  <c:v>164</c:v>
                </c:pt>
                <c:pt idx="43">
                  <c:v>168</c:v>
                </c:pt>
                <c:pt idx="44">
                  <c:v>172</c:v>
                </c:pt>
                <c:pt idx="45">
                  <c:v>176</c:v>
                </c:pt>
                <c:pt idx="46">
                  <c:v>180</c:v>
                </c:pt>
                <c:pt idx="47">
                  <c:v>184</c:v>
                </c:pt>
              </c:numCache>
            </c:numRef>
          </c:xVal>
          <c:yVal>
            <c:numRef>
              <c:f>Fe25Cr!$D$8:$D$55</c:f>
              <c:numCache>
                <c:formatCode>General</c:formatCode>
                <c:ptCount val="48"/>
                <c:pt idx="0">
                  <c:v>2830.5794800063973</c:v>
                </c:pt>
                <c:pt idx="1">
                  <c:v>2834.9474927685328</c:v>
                </c:pt>
                <c:pt idx="2">
                  <c:v>2801.1846019109148</c:v>
                </c:pt>
                <c:pt idx="3">
                  <c:v>2769.8093071384606</c:v>
                </c:pt>
                <c:pt idx="4">
                  <c:v>2757.3226542473635</c:v>
                </c:pt>
                <c:pt idx="5">
                  <c:v>2747.8232733375376</c:v>
                </c:pt>
                <c:pt idx="6">
                  <c:v>2746.4835592444133</c:v>
                </c:pt>
                <c:pt idx="7">
                  <c:v>2757.5464811921361</c:v>
                </c:pt>
                <c:pt idx="8">
                  <c:v>2777.2059331860592</c:v>
                </c:pt>
                <c:pt idx="9">
                  <c:v>2803.89497224874</c:v>
                </c:pt>
                <c:pt idx="10">
                  <c:v>2833.1310181402168</c:v>
                </c:pt>
                <c:pt idx="11">
                  <c:v>2876.0446615704077</c:v>
                </c:pt>
                <c:pt idx="12">
                  <c:v>2916.9954939616846</c:v>
                </c:pt>
                <c:pt idx="13">
                  <c:v>2936.635336670498</c:v>
                </c:pt>
                <c:pt idx="14">
                  <c:v>2931.8622445078613</c:v>
                </c:pt>
                <c:pt idx="15">
                  <c:v>2868.758865321191</c:v>
                </c:pt>
                <c:pt idx="16">
                  <c:v>3294.759630981569</c:v>
                </c:pt>
                <c:pt idx="17">
                  <c:v>3290.5544743060295</c:v>
                </c:pt>
                <c:pt idx="18">
                  <c:v>3288.5236831239408</c:v>
                </c:pt>
                <c:pt idx="19">
                  <c:v>3280.6372712907528</c:v>
                </c:pt>
                <c:pt idx="20">
                  <c:v>3268.0848811966562</c:v>
                </c:pt>
                <c:pt idx="21">
                  <c:v>3273.2857558748051</c:v>
                </c:pt>
                <c:pt idx="22">
                  <c:v>3284.3705980489708</c:v>
                </c:pt>
                <c:pt idx="23">
                  <c:v>3315.7170149845601</c:v>
                </c:pt>
                <c:pt idx="24">
                  <c:v>3349.3826744077514</c:v>
                </c:pt>
                <c:pt idx="25">
                  <c:v>3015.1666233243195</c:v>
                </c:pt>
                <c:pt idx="26">
                  <c:v>3060.7226853179468</c:v>
                </c:pt>
                <c:pt idx="27">
                  <c:v>3055.9518748343075</c:v>
                </c:pt>
                <c:pt idx="28">
                  <c:v>3030.7096396552784</c:v>
                </c:pt>
                <c:pt idx="29">
                  <c:v>3006.3455382909469</c:v>
                </c:pt>
                <c:pt idx="30">
                  <c:v>2967.0923422691926</c:v>
                </c:pt>
                <c:pt idx="31">
                  <c:v>2936.5849982784157</c:v>
                </c:pt>
                <c:pt idx="32">
                  <c:v>2900.9993054940492</c:v>
                </c:pt>
                <c:pt idx="33">
                  <c:v>2873.6950776345625</c:v>
                </c:pt>
                <c:pt idx="34">
                  <c:v>2856.1336230046613</c:v>
                </c:pt>
                <c:pt idx="35">
                  <c:v>2846.7984353696334</c:v>
                </c:pt>
                <c:pt idx="36">
                  <c:v>2850.4188695903395</c:v>
                </c:pt>
                <c:pt idx="37">
                  <c:v>2858.1662071288251</c:v>
                </c:pt>
                <c:pt idx="38">
                  <c:v>2828.8420632909288</c:v>
                </c:pt>
                <c:pt idx="39">
                  <c:v>2837.5552231422271</c:v>
                </c:pt>
                <c:pt idx="40">
                  <c:v>3007.3079600410711</c:v>
                </c:pt>
                <c:pt idx="41">
                  <c:v>3035.9740260443632</c:v>
                </c:pt>
                <c:pt idx="42">
                  <c:v>3051.2878783844144</c:v>
                </c:pt>
                <c:pt idx="43">
                  <c:v>3041.5305259595289</c:v>
                </c:pt>
                <c:pt idx="44">
                  <c:v>2836.1689504516967</c:v>
                </c:pt>
                <c:pt idx="45">
                  <c:v>2837.9122589746498</c:v>
                </c:pt>
                <c:pt idx="46">
                  <c:v>2824.4643775454083</c:v>
                </c:pt>
                <c:pt idx="47">
                  <c:v>2790.2751991894197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47-AB45-B8CB-6160B53F2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Fe25Cr SAW Speed vs Degrees Rotation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homogenization</c:v>
          </c:tx>
          <c:spPr>
            <a:ln w="19050" cap="rnd">
              <a:noFill/>
              <a:round/>
            </a:ln>
            <a:effectLst/>
          </c:spPr>
          <c:xVal>
            <c:numRef>
              <c:f>Fe25Cr!$B$8:$B$55</c:f>
              <c:numCache>
                <c:formatCode>General</c:formatCode>
                <c:ptCount val="48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142</c:v>
                </c:pt>
                <c:pt idx="36">
                  <c:v>146</c:v>
                </c:pt>
                <c:pt idx="37">
                  <c:v>150</c:v>
                </c:pt>
                <c:pt idx="38">
                  <c:v>154</c:v>
                </c:pt>
                <c:pt idx="39">
                  <c:v>158</c:v>
                </c:pt>
                <c:pt idx="40">
                  <c:v>162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</c:numCache>
            </c:numRef>
          </c:xVal>
          <c:yVal>
            <c:numRef>
              <c:f>Fe25Cr!$D$8:$D$55</c:f>
              <c:numCache>
                <c:formatCode>General</c:formatCode>
                <c:ptCount val="48"/>
                <c:pt idx="0">
                  <c:v>2830.5794800063973</c:v>
                </c:pt>
                <c:pt idx="1">
                  <c:v>2834.9474927685328</c:v>
                </c:pt>
                <c:pt idx="2">
                  <c:v>2801.1846019109148</c:v>
                </c:pt>
                <c:pt idx="3">
                  <c:v>2769.8093071384606</c:v>
                </c:pt>
                <c:pt idx="4">
                  <c:v>2757.3226542473635</c:v>
                </c:pt>
                <c:pt idx="5">
                  <c:v>2747.8232733375376</c:v>
                </c:pt>
                <c:pt idx="6">
                  <c:v>2746.4835592444133</c:v>
                </c:pt>
                <c:pt idx="7">
                  <c:v>2757.5464811921361</c:v>
                </c:pt>
                <c:pt idx="8">
                  <c:v>2777.2059331860592</c:v>
                </c:pt>
                <c:pt idx="9">
                  <c:v>2803.89497224874</c:v>
                </c:pt>
                <c:pt idx="10">
                  <c:v>2833.1310181402168</c:v>
                </c:pt>
                <c:pt idx="11">
                  <c:v>2876.0446615704077</c:v>
                </c:pt>
                <c:pt idx="12">
                  <c:v>2916.9954939616846</c:v>
                </c:pt>
                <c:pt idx="13">
                  <c:v>2936.635336670498</c:v>
                </c:pt>
                <c:pt idx="14">
                  <c:v>2931.8622445078613</c:v>
                </c:pt>
                <c:pt idx="15">
                  <c:v>2868.758865321191</c:v>
                </c:pt>
                <c:pt idx="16">
                  <c:v>3294.759630981569</c:v>
                </c:pt>
                <c:pt idx="17">
                  <c:v>3290.5544743060295</c:v>
                </c:pt>
                <c:pt idx="18">
                  <c:v>3288.5236831239408</c:v>
                </c:pt>
                <c:pt idx="19">
                  <c:v>3280.6372712907528</c:v>
                </c:pt>
                <c:pt idx="20">
                  <c:v>3268.0848811966562</c:v>
                </c:pt>
                <c:pt idx="21">
                  <c:v>3273.2857558748051</c:v>
                </c:pt>
                <c:pt idx="22">
                  <c:v>3284.3705980489708</c:v>
                </c:pt>
                <c:pt idx="23">
                  <c:v>3315.7170149845601</c:v>
                </c:pt>
                <c:pt idx="24">
                  <c:v>3349.3826744077514</c:v>
                </c:pt>
                <c:pt idx="25">
                  <c:v>3015.1666233243195</c:v>
                </c:pt>
                <c:pt idx="26">
                  <c:v>3060.7226853179468</c:v>
                </c:pt>
                <c:pt idx="27">
                  <c:v>3055.9518748343075</c:v>
                </c:pt>
                <c:pt idx="28">
                  <c:v>3030.7096396552784</c:v>
                </c:pt>
                <c:pt idx="29">
                  <c:v>3006.3455382909469</c:v>
                </c:pt>
                <c:pt idx="30">
                  <c:v>2967.0923422691926</c:v>
                </c:pt>
                <c:pt idx="31">
                  <c:v>2936.5849982784157</c:v>
                </c:pt>
                <c:pt idx="32">
                  <c:v>2900.9993054940492</c:v>
                </c:pt>
                <c:pt idx="33">
                  <c:v>2873.6950776345625</c:v>
                </c:pt>
                <c:pt idx="34">
                  <c:v>2856.1336230046613</c:v>
                </c:pt>
                <c:pt idx="35">
                  <c:v>2846.7984353696334</c:v>
                </c:pt>
                <c:pt idx="36">
                  <c:v>2850.4188695903395</c:v>
                </c:pt>
                <c:pt idx="37">
                  <c:v>2858.1662071288251</c:v>
                </c:pt>
                <c:pt idx="38">
                  <c:v>2828.8420632909288</c:v>
                </c:pt>
                <c:pt idx="39">
                  <c:v>2837.5552231422271</c:v>
                </c:pt>
                <c:pt idx="40">
                  <c:v>3007.3079600410711</c:v>
                </c:pt>
                <c:pt idx="41">
                  <c:v>3035.9740260443632</c:v>
                </c:pt>
                <c:pt idx="42">
                  <c:v>3051.2878783844144</c:v>
                </c:pt>
                <c:pt idx="43">
                  <c:v>3041.5305259595289</c:v>
                </c:pt>
                <c:pt idx="44">
                  <c:v>2836.1689504516967</c:v>
                </c:pt>
                <c:pt idx="45">
                  <c:v>2837.9122589746498</c:v>
                </c:pt>
                <c:pt idx="46">
                  <c:v>2824.4643775454083</c:v>
                </c:pt>
                <c:pt idx="47">
                  <c:v>2790.2751991894197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33-B44E-8288-E5F85F4E8742}"/>
            </c:ext>
          </c:extLst>
        </c:ser>
        <c:ser>
          <c:idx val="1"/>
          <c:order val="1"/>
          <c:tx>
            <c:v>2nd homogenization</c:v>
          </c:tx>
          <c:spPr>
            <a:ln w="19050">
              <a:noFill/>
            </a:ln>
          </c:spPr>
          <c:xVal>
            <c:numRef>
              <c:f>Fe25Cr!$B$58:$B$103</c:f>
              <c:numCache>
                <c:formatCode>General</c:formatCode>
                <c:ptCount val="46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0</c:v>
                </c:pt>
                <c:pt idx="32">
                  <c:v>4</c:v>
                </c:pt>
                <c:pt idx="33">
                  <c:v>8</c:v>
                </c:pt>
                <c:pt idx="34">
                  <c:v>12</c:v>
                </c:pt>
                <c:pt idx="35">
                  <c:v>16</c:v>
                </c:pt>
                <c:pt idx="36">
                  <c:v>20</c:v>
                </c:pt>
                <c:pt idx="37">
                  <c:v>24</c:v>
                </c:pt>
                <c:pt idx="38">
                  <c:v>28</c:v>
                </c:pt>
                <c:pt idx="39">
                  <c:v>32</c:v>
                </c:pt>
                <c:pt idx="40">
                  <c:v>36</c:v>
                </c:pt>
                <c:pt idx="41">
                  <c:v>40</c:v>
                </c:pt>
                <c:pt idx="42">
                  <c:v>44</c:v>
                </c:pt>
                <c:pt idx="43">
                  <c:v>48</c:v>
                </c:pt>
                <c:pt idx="44">
                  <c:v>52</c:v>
                </c:pt>
                <c:pt idx="45">
                  <c:v>56</c:v>
                </c:pt>
              </c:numCache>
            </c:numRef>
          </c:xVal>
          <c:yVal>
            <c:numRef>
              <c:f>Fe25Cr!$D$58:$D$103</c:f>
              <c:numCache>
                <c:formatCode>General</c:formatCode>
                <c:ptCount val="46"/>
                <c:pt idx="0">
                  <c:v>2912.4696912703689</c:v>
                </c:pt>
                <c:pt idx="1">
                  <c:v>2859.2366759746915</c:v>
                </c:pt>
                <c:pt idx="2">
                  <c:v>3295.4347238599671</c:v>
                </c:pt>
                <c:pt idx="3">
                  <c:v>3284.6744733653231</c:v>
                </c:pt>
                <c:pt idx="4">
                  <c:v>3278.5911183924486</c:v>
                </c:pt>
                <c:pt idx="5">
                  <c:v>3269.0360358181269</c:v>
                </c:pt>
                <c:pt idx="6">
                  <c:v>3265.3370507740319</c:v>
                </c:pt>
                <c:pt idx="7">
                  <c:v>3264.4340392456538</c:v>
                </c:pt>
                <c:pt idx="8">
                  <c:v>3269.9682605335779</c:v>
                </c:pt>
                <c:pt idx="9">
                  <c:v>3290.3163812974376</c:v>
                </c:pt>
                <c:pt idx="10">
                  <c:v>3328.323430699339</c:v>
                </c:pt>
                <c:pt idx="11">
                  <c:v>3005.7060346632784</c:v>
                </c:pt>
                <c:pt idx="12">
                  <c:v>3047.5561228132183</c:v>
                </c:pt>
                <c:pt idx="13">
                  <c:v>3050.8835858358802</c:v>
                </c:pt>
                <c:pt idx="14">
                  <c:v>3028.909915553967</c:v>
                </c:pt>
                <c:pt idx="15">
                  <c:v>2995.5710172537802</c:v>
                </c:pt>
                <c:pt idx="16">
                  <c:v>2962.8315632957288</c:v>
                </c:pt>
                <c:pt idx="17">
                  <c:v>2928.8707195337925</c:v>
                </c:pt>
                <c:pt idx="18">
                  <c:v>2896.1677365379587</c:v>
                </c:pt>
                <c:pt idx="19">
                  <c:v>2872.2129396235136</c:v>
                </c:pt>
                <c:pt idx="20">
                  <c:v>2850.6944865545538</c:v>
                </c:pt>
                <c:pt idx="21">
                  <c:v>2842.4341632584851</c:v>
                </c:pt>
                <c:pt idx="22">
                  <c:v>2835.8737910306909</c:v>
                </c:pt>
                <c:pt idx="23">
                  <c:v>2837.6445901408802</c:v>
                </c:pt>
                <c:pt idx="24">
                  <c:v>2844.5202604442097</c:v>
                </c:pt>
                <c:pt idx="25">
                  <c:v>2784.7935173662545</c:v>
                </c:pt>
                <c:pt idx="26">
                  <c:v>2951.8436317883875</c:v>
                </c:pt>
                <c:pt idx="27">
                  <c:v>3011.2584429590347</c:v>
                </c:pt>
                <c:pt idx="28">
                  <c:v>3037.4177656325501</c:v>
                </c:pt>
                <c:pt idx="29">
                  <c:v>3028.5543962543957</c:v>
                </c:pt>
                <c:pt idx="30">
                  <c:v>2769.9598943602896</c:v>
                </c:pt>
                <c:pt idx="31">
                  <c:v>2828.6063228652179</c:v>
                </c:pt>
                <c:pt idx="32">
                  <c:v>2818.7274178491584</c:v>
                </c:pt>
                <c:pt idx="33">
                  <c:v>2792.5783945273865</c:v>
                </c:pt>
                <c:pt idx="34">
                  <c:v>2763.468121114448</c:v>
                </c:pt>
                <c:pt idx="35">
                  <c:v>2742.8082132012469</c:v>
                </c:pt>
                <c:pt idx="36">
                  <c:v>2732.0947043199667</c:v>
                </c:pt>
                <c:pt idx="37">
                  <c:v>2726.8730056772592</c:v>
                </c:pt>
                <c:pt idx="38">
                  <c:v>2737.5054033329911</c:v>
                </c:pt>
                <c:pt idx="39">
                  <c:v>2762.4649778266103</c:v>
                </c:pt>
                <c:pt idx="40">
                  <c:v>2797.0717504190484</c:v>
                </c:pt>
                <c:pt idx="41">
                  <c:v>2829.4871140266673</c:v>
                </c:pt>
                <c:pt idx="42">
                  <c:v>2869.6828873985914</c:v>
                </c:pt>
                <c:pt idx="43">
                  <c:v>2907.5751288555575</c:v>
                </c:pt>
                <c:pt idx="44">
                  <c:v>2932.6348039433847</c:v>
                </c:pt>
                <c:pt idx="45">
                  <c:v>2923.8789122226863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33-B44E-8288-E5F85F4E8742}"/>
            </c:ext>
          </c:extLst>
        </c:ser>
        <c:ser>
          <c:idx val="2"/>
          <c:order val="2"/>
          <c:tx>
            <c:v>500C 10hr</c:v>
          </c:tx>
          <c:spPr>
            <a:ln w="19050">
              <a:noFill/>
            </a:ln>
          </c:spPr>
          <c:xVal>
            <c:numRef>
              <c:f>Fe25Cr!$B$106:$B$157</c:f>
              <c:numCache>
                <c:formatCode>General</c:formatCode>
                <c:ptCount val="52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180</c:v>
                </c:pt>
                <c:pt idx="32">
                  <c:v>184</c:v>
                </c:pt>
                <c:pt idx="33">
                  <c:v>0</c:v>
                </c:pt>
                <c:pt idx="34">
                  <c:v>4</c:v>
                </c:pt>
                <c:pt idx="35">
                  <c:v>8</c:v>
                </c:pt>
                <c:pt idx="36">
                  <c:v>12</c:v>
                </c:pt>
                <c:pt idx="37">
                  <c:v>16</c:v>
                </c:pt>
                <c:pt idx="38">
                  <c:v>20</c:v>
                </c:pt>
                <c:pt idx="39">
                  <c:v>24</c:v>
                </c:pt>
                <c:pt idx="40">
                  <c:v>28</c:v>
                </c:pt>
                <c:pt idx="41">
                  <c:v>32</c:v>
                </c:pt>
                <c:pt idx="42">
                  <c:v>36</c:v>
                </c:pt>
                <c:pt idx="43">
                  <c:v>40</c:v>
                </c:pt>
                <c:pt idx="44">
                  <c:v>44</c:v>
                </c:pt>
                <c:pt idx="45">
                  <c:v>48</c:v>
                </c:pt>
                <c:pt idx="46">
                  <c:v>52</c:v>
                </c:pt>
                <c:pt idx="47">
                  <c:v>56</c:v>
                </c:pt>
                <c:pt idx="48">
                  <c:v>60</c:v>
                </c:pt>
                <c:pt idx="49">
                  <c:v>64</c:v>
                </c:pt>
                <c:pt idx="50">
                  <c:v>68</c:v>
                </c:pt>
                <c:pt idx="51">
                  <c:v>72</c:v>
                </c:pt>
              </c:numCache>
            </c:numRef>
          </c:xVal>
          <c:yVal>
            <c:numRef>
              <c:f>Fe25Cr!$D$106:$D$157</c:f>
              <c:numCache>
                <c:formatCode>General</c:formatCode>
                <c:ptCount val="52"/>
                <c:pt idx="0">
                  <c:v>2893.9469065238854</c:v>
                </c:pt>
                <c:pt idx="1">
                  <c:v>2930.8265273557195</c:v>
                </c:pt>
                <c:pt idx="2">
                  <c:v>2924.7152139980249</c:v>
                </c:pt>
                <c:pt idx="3">
                  <c:v>2809.6735746050708</c:v>
                </c:pt>
                <c:pt idx="4">
                  <c:v>3282.5848321362437</c:v>
                </c:pt>
                <c:pt idx="5">
                  <c:v>3272.7632815945944</c:v>
                </c:pt>
                <c:pt idx="6">
                  <c:v>3256.9488755946641</c:v>
                </c:pt>
                <c:pt idx="7">
                  <c:v>3251.3015168061215</c:v>
                </c:pt>
                <c:pt idx="8">
                  <c:v>3257.273535753824</c:v>
                </c:pt>
                <c:pt idx="9">
                  <c:v>3255.0917165555807</c:v>
                </c:pt>
                <c:pt idx="10">
                  <c:v>3264.0104753978885</c:v>
                </c:pt>
                <c:pt idx="11">
                  <c:v>3303.8847886163726</c:v>
                </c:pt>
                <c:pt idx="12">
                  <c:v>3338.2829858360719</c:v>
                </c:pt>
                <c:pt idx="13">
                  <c:v>3016.9248503009835</c:v>
                </c:pt>
                <c:pt idx="14">
                  <c:v>3040.5231674961087</c:v>
                </c:pt>
                <c:pt idx="15">
                  <c:v>3039.5409678583533</c:v>
                </c:pt>
                <c:pt idx="16">
                  <c:v>3004.2462177441494</c:v>
                </c:pt>
                <c:pt idx="17">
                  <c:v>2968.8745052384152</c:v>
                </c:pt>
                <c:pt idx="18">
                  <c:v>2932.2230715159053</c:v>
                </c:pt>
                <c:pt idx="19">
                  <c:v>2907.8959009209207</c:v>
                </c:pt>
                <c:pt idx="20">
                  <c:v>2879.8608959762441</c:v>
                </c:pt>
                <c:pt idx="21">
                  <c:v>2853.2396762471226</c:v>
                </c:pt>
                <c:pt idx="22">
                  <c:v>2845.5131441509275</c:v>
                </c:pt>
                <c:pt idx="23">
                  <c:v>2836.0911343091889</c:v>
                </c:pt>
                <c:pt idx="24">
                  <c:v>2842.729343819412</c:v>
                </c:pt>
                <c:pt idx="25">
                  <c:v>2839.6190333833042</c:v>
                </c:pt>
                <c:pt idx="26">
                  <c:v>2841.317646527596</c:v>
                </c:pt>
                <c:pt idx="27">
                  <c:v>3070.9902525829784</c:v>
                </c:pt>
                <c:pt idx="28">
                  <c:v>2952.024987854556</c:v>
                </c:pt>
                <c:pt idx="29">
                  <c:v>3013.242087689438</c:v>
                </c:pt>
                <c:pt idx="30">
                  <c:v>3026.9671316001522</c:v>
                </c:pt>
                <c:pt idx="31">
                  <c:v>3014.3749771486696</c:v>
                </c:pt>
                <c:pt idx="32">
                  <c:v>2808.841878940922</c:v>
                </c:pt>
                <c:pt idx="33">
                  <c:v>2832.8675360809189</c:v>
                </c:pt>
                <c:pt idx="34">
                  <c:v>2816.1169856084493</c:v>
                </c:pt>
                <c:pt idx="35">
                  <c:v>2780.1036838094956</c:v>
                </c:pt>
                <c:pt idx="36">
                  <c:v>2757.1276298077828</c:v>
                </c:pt>
                <c:pt idx="37">
                  <c:v>2743.0211392763422</c:v>
                </c:pt>
                <c:pt idx="38">
                  <c:v>2732.4758999074484</c:v>
                </c:pt>
                <c:pt idx="39">
                  <c:v>2730.2102762897312</c:v>
                </c:pt>
                <c:pt idx="40">
                  <c:v>2744.1672124149763</c:v>
                </c:pt>
                <c:pt idx="41">
                  <c:v>2756.8068971527227</c:v>
                </c:pt>
                <c:pt idx="42">
                  <c:v>2798.132334013394</c:v>
                </c:pt>
                <c:pt idx="43">
                  <c:v>2831.8985440665897</c:v>
                </c:pt>
                <c:pt idx="44">
                  <c:v>2856.7150357793912</c:v>
                </c:pt>
                <c:pt idx="45">
                  <c:v>2905.1131610173566</c:v>
                </c:pt>
                <c:pt idx="46">
                  <c:v>2925.2350655260771</c:v>
                </c:pt>
                <c:pt idx="47">
                  <c:v>2928.700451082359</c:v>
                </c:pt>
                <c:pt idx="48">
                  <c:v>3311.6514539824525</c:v>
                </c:pt>
                <c:pt idx="49">
                  <c:v>3287.6819021997258</c:v>
                </c:pt>
                <c:pt idx="50">
                  <c:v>3273.3133519792282</c:v>
                </c:pt>
                <c:pt idx="51">
                  <c:v>3264.2795376248932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4C-CF45-A616-B0A4865B4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Fe25Cr SAW Speed vs Degrees Rotation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homogenized</c:v>
          </c:tx>
          <c:spPr>
            <a:ln w="19050">
              <a:noFill/>
            </a:ln>
          </c:spPr>
          <c:xVal>
            <c:numRef>
              <c:f>Fe25Cr!$B$58:$B$103</c:f>
              <c:numCache>
                <c:formatCode>General</c:formatCode>
                <c:ptCount val="46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0</c:v>
                </c:pt>
                <c:pt idx="32">
                  <c:v>4</c:v>
                </c:pt>
                <c:pt idx="33">
                  <c:v>8</c:v>
                </c:pt>
                <c:pt idx="34">
                  <c:v>12</c:v>
                </c:pt>
                <c:pt idx="35">
                  <c:v>16</c:v>
                </c:pt>
                <c:pt idx="36">
                  <c:v>20</c:v>
                </c:pt>
                <c:pt idx="37">
                  <c:v>24</c:v>
                </c:pt>
                <c:pt idx="38">
                  <c:v>28</c:v>
                </c:pt>
                <c:pt idx="39">
                  <c:v>32</c:v>
                </c:pt>
                <c:pt idx="40">
                  <c:v>36</c:v>
                </c:pt>
                <c:pt idx="41">
                  <c:v>40</c:v>
                </c:pt>
                <c:pt idx="42">
                  <c:v>44</c:v>
                </c:pt>
                <c:pt idx="43">
                  <c:v>48</c:v>
                </c:pt>
                <c:pt idx="44">
                  <c:v>52</c:v>
                </c:pt>
                <c:pt idx="45">
                  <c:v>56</c:v>
                </c:pt>
              </c:numCache>
            </c:numRef>
          </c:xVal>
          <c:yVal>
            <c:numRef>
              <c:f>Fe25Cr!$D$58:$D$103</c:f>
              <c:numCache>
                <c:formatCode>General</c:formatCode>
                <c:ptCount val="46"/>
                <c:pt idx="0">
                  <c:v>2912.4696912703689</c:v>
                </c:pt>
                <c:pt idx="1">
                  <c:v>2859.2366759746915</c:v>
                </c:pt>
                <c:pt idx="2">
                  <c:v>3295.4347238599671</c:v>
                </c:pt>
                <c:pt idx="3">
                  <c:v>3284.6744733653231</c:v>
                </c:pt>
                <c:pt idx="4">
                  <c:v>3278.5911183924486</c:v>
                </c:pt>
                <c:pt idx="5">
                  <c:v>3269.0360358181269</c:v>
                </c:pt>
                <c:pt idx="6">
                  <c:v>3265.3370507740319</c:v>
                </c:pt>
                <c:pt idx="7">
                  <c:v>3264.4340392456538</c:v>
                </c:pt>
                <c:pt idx="8">
                  <c:v>3269.9682605335779</c:v>
                </c:pt>
                <c:pt idx="9">
                  <c:v>3290.3163812974376</c:v>
                </c:pt>
                <c:pt idx="10">
                  <c:v>3328.323430699339</c:v>
                </c:pt>
                <c:pt idx="11">
                  <c:v>3005.7060346632784</c:v>
                </c:pt>
                <c:pt idx="12">
                  <c:v>3047.5561228132183</c:v>
                </c:pt>
                <c:pt idx="13">
                  <c:v>3050.8835858358802</c:v>
                </c:pt>
                <c:pt idx="14">
                  <c:v>3028.909915553967</c:v>
                </c:pt>
                <c:pt idx="15">
                  <c:v>2995.5710172537802</c:v>
                </c:pt>
                <c:pt idx="16">
                  <c:v>2962.8315632957288</c:v>
                </c:pt>
                <c:pt idx="17">
                  <c:v>2928.8707195337925</c:v>
                </c:pt>
                <c:pt idx="18">
                  <c:v>2896.1677365379587</c:v>
                </c:pt>
                <c:pt idx="19">
                  <c:v>2872.2129396235136</c:v>
                </c:pt>
                <c:pt idx="20">
                  <c:v>2850.6944865545538</c:v>
                </c:pt>
                <c:pt idx="21">
                  <c:v>2842.4341632584851</c:v>
                </c:pt>
                <c:pt idx="22">
                  <c:v>2835.8737910306909</c:v>
                </c:pt>
                <c:pt idx="23">
                  <c:v>2837.6445901408802</c:v>
                </c:pt>
                <c:pt idx="24">
                  <c:v>2844.5202604442097</c:v>
                </c:pt>
                <c:pt idx="25">
                  <c:v>2784.7935173662545</c:v>
                </c:pt>
                <c:pt idx="26">
                  <c:v>2951.8436317883875</c:v>
                </c:pt>
                <c:pt idx="27">
                  <c:v>3011.2584429590347</c:v>
                </c:pt>
                <c:pt idx="28">
                  <c:v>3037.4177656325501</c:v>
                </c:pt>
                <c:pt idx="29">
                  <c:v>3028.5543962543957</c:v>
                </c:pt>
                <c:pt idx="30">
                  <c:v>2769.9598943602896</c:v>
                </c:pt>
                <c:pt idx="31">
                  <c:v>2828.6063228652179</c:v>
                </c:pt>
                <c:pt idx="32">
                  <c:v>2818.7274178491584</c:v>
                </c:pt>
                <c:pt idx="33">
                  <c:v>2792.5783945273865</c:v>
                </c:pt>
                <c:pt idx="34">
                  <c:v>2763.468121114448</c:v>
                </c:pt>
                <c:pt idx="35">
                  <c:v>2742.8082132012469</c:v>
                </c:pt>
                <c:pt idx="36">
                  <c:v>2732.0947043199667</c:v>
                </c:pt>
                <c:pt idx="37">
                  <c:v>2726.8730056772592</c:v>
                </c:pt>
                <c:pt idx="38">
                  <c:v>2737.5054033329911</c:v>
                </c:pt>
                <c:pt idx="39">
                  <c:v>2762.4649778266103</c:v>
                </c:pt>
                <c:pt idx="40">
                  <c:v>2797.0717504190484</c:v>
                </c:pt>
                <c:pt idx="41">
                  <c:v>2829.4871140266673</c:v>
                </c:pt>
                <c:pt idx="42">
                  <c:v>2869.6828873985914</c:v>
                </c:pt>
                <c:pt idx="43">
                  <c:v>2907.5751288555575</c:v>
                </c:pt>
                <c:pt idx="44">
                  <c:v>2932.6348039433847</c:v>
                </c:pt>
                <c:pt idx="45">
                  <c:v>2923.8789122226863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D-D84A-A08B-65891747F1C1}"/>
            </c:ext>
          </c:extLst>
        </c:ser>
        <c:ser>
          <c:idx val="2"/>
          <c:order val="1"/>
          <c:tx>
            <c:v>500C 10hr</c:v>
          </c:tx>
          <c:spPr>
            <a:ln w="19050">
              <a:noFill/>
            </a:ln>
          </c:spPr>
          <c:xVal>
            <c:numRef>
              <c:f>Fe25Cr!$B$106:$B$157</c:f>
              <c:numCache>
                <c:formatCode>General</c:formatCode>
                <c:ptCount val="52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68</c:v>
                </c:pt>
                <c:pt idx="4">
                  <c:v>72</c:v>
                </c:pt>
                <c:pt idx="5">
                  <c:v>76</c:v>
                </c:pt>
                <c:pt idx="6">
                  <c:v>80</c:v>
                </c:pt>
                <c:pt idx="7">
                  <c:v>84</c:v>
                </c:pt>
                <c:pt idx="8">
                  <c:v>88</c:v>
                </c:pt>
                <c:pt idx="9">
                  <c:v>92</c:v>
                </c:pt>
                <c:pt idx="10">
                  <c:v>96</c:v>
                </c:pt>
                <c:pt idx="11">
                  <c:v>100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116</c:v>
                </c:pt>
                <c:pt idx="16">
                  <c:v>120</c:v>
                </c:pt>
                <c:pt idx="17">
                  <c:v>124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140</c:v>
                </c:pt>
                <c:pt idx="22">
                  <c:v>144</c:v>
                </c:pt>
                <c:pt idx="23">
                  <c:v>148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164</c:v>
                </c:pt>
                <c:pt idx="28">
                  <c:v>168</c:v>
                </c:pt>
                <c:pt idx="29">
                  <c:v>172</c:v>
                </c:pt>
                <c:pt idx="30">
                  <c:v>176</c:v>
                </c:pt>
                <c:pt idx="31">
                  <c:v>180</c:v>
                </c:pt>
                <c:pt idx="32">
                  <c:v>184</c:v>
                </c:pt>
                <c:pt idx="33">
                  <c:v>0</c:v>
                </c:pt>
                <c:pt idx="34">
                  <c:v>4</c:v>
                </c:pt>
                <c:pt idx="35">
                  <c:v>8</c:v>
                </c:pt>
                <c:pt idx="36">
                  <c:v>12</c:v>
                </c:pt>
                <c:pt idx="37">
                  <c:v>16</c:v>
                </c:pt>
                <c:pt idx="38">
                  <c:v>20</c:v>
                </c:pt>
                <c:pt idx="39">
                  <c:v>24</c:v>
                </c:pt>
                <c:pt idx="40">
                  <c:v>28</c:v>
                </c:pt>
                <c:pt idx="41">
                  <c:v>32</c:v>
                </c:pt>
                <c:pt idx="42">
                  <c:v>36</c:v>
                </c:pt>
                <c:pt idx="43">
                  <c:v>40</c:v>
                </c:pt>
                <c:pt idx="44">
                  <c:v>44</c:v>
                </c:pt>
                <c:pt idx="45">
                  <c:v>48</c:v>
                </c:pt>
                <c:pt idx="46">
                  <c:v>52</c:v>
                </c:pt>
                <c:pt idx="47">
                  <c:v>56</c:v>
                </c:pt>
                <c:pt idx="48">
                  <c:v>60</c:v>
                </c:pt>
                <c:pt idx="49">
                  <c:v>64</c:v>
                </c:pt>
                <c:pt idx="50">
                  <c:v>68</c:v>
                </c:pt>
                <c:pt idx="51">
                  <c:v>72</c:v>
                </c:pt>
              </c:numCache>
            </c:numRef>
          </c:xVal>
          <c:yVal>
            <c:numRef>
              <c:f>Fe25Cr!$D$106:$D$157</c:f>
              <c:numCache>
                <c:formatCode>General</c:formatCode>
                <c:ptCount val="52"/>
                <c:pt idx="0">
                  <c:v>2893.9469065238854</c:v>
                </c:pt>
                <c:pt idx="1">
                  <c:v>2930.8265273557195</c:v>
                </c:pt>
                <c:pt idx="2">
                  <c:v>2924.7152139980249</c:v>
                </c:pt>
                <c:pt idx="3">
                  <c:v>2809.6735746050708</c:v>
                </c:pt>
                <c:pt idx="4">
                  <c:v>3282.5848321362437</c:v>
                </c:pt>
                <c:pt idx="5">
                  <c:v>3272.7632815945944</c:v>
                </c:pt>
                <c:pt idx="6">
                  <c:v>3256.9488755946641</c:v>
                </c:pt>
                <c:pt idx="7">
                  <c:v>3251.3015168061215</c:v>
                </c:pt>
                <c:pt idx="8">
                  <c:v>3257.273535753824</c:v>
                </c:pt>
                <c:pt idx="9">
                  <c:v>3255.0917165555807</c:v>
                </c:pt>
                <c:pt idx="10">
                  <c:v>3264.0104753978885</c:v>
                </c:pt>
                <c:pt idx="11">
                  <c:v>3303.8847886163726</c:v>
                </c:pt>
                <c:pt idx="12">
                  <c:v>3338.2829858360719</c:v>
                </c:pt>
                <c:pt idx="13">
                  <c:v>3016.9248503009835</c:v>
                </c:pt>
                <c:pt idx="14">
                  <c:v>3040.5231674961087</c:v>
                </c:pt>
                <c:pt idx="15">
                  <c:v>3039.5409678583533</c:v>
                </c:pt>
                <c:pt idx="16">
                  <c:v>3004.2462177441494</c:v>
                </c:pt>
                <c:pt idx="17">
                  <c:v>2968.8745052384152</c:v>
                </c:pt>
                <c:pt idx="18">
                  <c:v>2932.2230715159053</c:v>
                </c:pt>
                <c:pt idx="19">
                  <c:v>2907.8959009209207</c:v>
                </c:pt>
                <c:pt idx="20">
                  <c:v>2879.8608959762441</c:v>
                </c:pt>
                <c:pt idx="21">
                  <c:v>2853.2396762471226</c:v>
                </c:pt>
                <c:pt idx="22">
                  <c:v>2845.5131441509275</c:v>
                </c:pt>
                <c:pt idx="23">
                  <c:v>2836.0911343091889</c:v>
                </c:pt>
                <c:pt idx="24">
                  <c:v>2842.729343819412</c:v>
                </c:pt>
                <c:pt idx="25">
                  <c:v>2839.6190333833042</c:v>
                </c:pt>
                <c:pt idx="26">
                  <c:v>2841.317646527596</c:v>
                </c:pt>
                <c:pt idx="27">
                  <c:v>3070.9902525829784</c:v>
                </c:pt>
                <c:pt idx="28">
                  <c:v>2952.024987854556</c:v>
                </c:pt>
                <c:pt idx="29">
                  <c:v>3013.242087689438</c:v>
                </c:pt>
                <c:pt idx="30">
                  <c:v>3026.9671316001522</c:v>
                </c:pt>
                <c:pt idx="31">
                  <c:v>3014.3749771486696</c:v>
                </c:pt>
                <c:pt idx="32">
                  <c:v>2808.841878940922</c:v>
                </c:pt>
                <c:pt idx="33">
                  <c:v>2832.8675360809189</c:v>
                </c:pt>
                <c:pt idx="34">
                  <c:v>2816.1169856084493</c:v>
                </c:pt>
                <c:pt idx="35">
                  <c:v>2780.1036838094956</c:v>
                </c:pt>
                <c:pt idx="36">
                  <c:v>2757.1276298077828</c:v>
                </c:pt>
                <c:pt idx="37">
                  <c:v>2743.0211392763422</c:v>
                </c:pt>
                <c:pt idx="38">
                  <c:v>2732.4758999074484</c:v>
                </c:pt>
                <c:pt idx="39">
                  <c:v>2730.2102762897312</c:v>
                </c:pt>
                <c:pt idx="40">
                  <c:v>2744.1672124149763</c:v>
                </c:pt>
                <c:pt idx="41">
                  <c:v>2756.8068971527227</c:v>
                </c:pt>
                <c:pt idx="42">
                  <c:v>2798.132334013394</c:v>
                </c:pt>
                <c:pt idx="43">
                  <c:v>2831.8985440665897</c:v>
                </c:pt>
                <c:pt idx="44">
                  <c:v>2856.7150357793912</c:v>
                </c:pt>
                <c:pt idx="45">
                  <c:v>2905.1131610173566</c:v>
                </c:pt>
                <c:pt idx="46">
                  <c:v>2925.2350655260771</c:v>
                </c:pt>
                <c:pt idx="47">
                  <c:v>2928.700451082359</c:v>
                </c:pt>
                <c:pt idx="48">
                  <c:v>3311.6514539824525</c:v>
                </c:pt>
                <c:pt idx="49">
                  <c:v>3287.6819021997258</c:v>
                </c:pt>
                <c:pt idx="50">
                  <c:v>3273.3133519792282</c:v>
                </c:pt>
                <c:pt idx="51">
                  <c:v>3264.2795376248932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5D-D84A-A08B-65891747F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85631"/>
        <c:axId val="1791294527"/>
      </c:scatterChart>
      <c:valAx>
        <c:axId val="1788485631"/>
        <c:scaling>
          <c:orientation val="minMax"/>
          <c:max val="255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94527"/>
        <c:crosses val="autoZero"/>
        <c:crossBetween val="midCat"/>
        <c:majorUnit val="15"/>
        <c:minorUnit val="10"/>
      </c:valAx>
      <c:valAx>
        <c:axId val="1791294527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SAW_speed</a:t>
                </a:r>
                <a:r>
                  <a:rPr lang="en-US" baseline="0"/>
                  <a:t> [ms^-1]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85631"/>
        <c:crosses val="autoZero"/>
        <c:crossBetween val="midCat"/>
        <c:majorUnit val="200"/>
        <c:minorUnit val="100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18" Type="http://schemas.openxmlformats.org/officeDocument/2006/relationships/chart" Target="../charts/chart3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20" Type="http://schemas.openxmlformats.org/officeDocument/2006/relationships/chart" Target="../charts/chart40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10" Type="http://schemas.openxmlformats.org/officeDocument/2006/relationships/chart" Target="../charts/chart30.xml"/><Relationship Id="rId19" Type="http://schemas.openxmlformats.org/officeDocument/2006/relationships/chart" Target="../charts/chart39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13" Type="http://schemas.openxmlformats.org/officeDocument/2006/relationships/chart" Target="../charts/chart53.xml"/><Relationship Id="rId18" Type="http://schemas.openxmlformats.org/officeDocument/2006/relationships/chart" Target="../charts/chart58.xml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12" Type="http://schemas.openxmlformats.org/officeDocument/2006/relationships/chart" Target="../charts/chart52.xml"/><Relationship Id="rId17" Type="http://schemas.openxmlformats.org/officeDocument/2006/relationships/chart" Target="../charts/chart57.xml"/><Relationship Id="rId2" Type="http://schemas.openxmlformats.org/officeDocument/2006/relationships/chart" Target="../charts/chart42.xml"/><Relationship Id="rId16" Type="http://schemas.openxmlformats.org/officeDocument/2006/relationships/chart" Target="../charts/chart56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11" Type="http://schemas.openxmlformats.org/officeDocument/2006/relationships/chart" Target="../charts/chart51.xml"/><Relationship Id="rId5" Type="http://schemas.openxmlformats.org/officeDocument/2006/relationships/chart" Target="../charts/chart45.xml"/><Relationship Id="rId15" Type="http://schemas.openxmlformats.org/officeDocument/2006/relationships/chart" Target="../charts/chart55.xml"/><Relationship Id="rId10" Type="http://schemas.openxmlformats.org/officeDocument/2006/relationships/chart" Target="../charts/chart50.xml"/><Relationship Id="rId19" Type="http://schemas.openxmlformats.org/officeDocument/2006/relationships/chart" Target="../charts/chart59.xml"/><Relationship Id="rId4" Type="http://schemas.openxmlformats.org/officeDocument/2006/relationships/chart" Target="../charts/chart44.xml"/><Relationship Id="rId9" Type="http://schemas.openxmlformats.org/officeDocument/2006/relationships/chart" Target="../charts/chart49.xml"/><Relationship Id="rId14" Type="http://schemas.openxmlformats.org/officeDocument/2006/relationships/chart" Target="../charts/chart5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507124</xdr:colOff>
      <xdr:row>15</xdr:row>
      <xdr:rowOff>117584</xdr:rowOff>
    </xdr:from>
    <xdr:to>
      <xdr:col>15</xdr:col>
      <xdr:colOff>989723</xdr:colOff>
      <xdr:row>30</xdr:row>
      <xdr:rowOff>7663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6877A5-4938-A44B-B04B-FFA163B72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25400</xdr:colOff>
      <xdr:row>55</xdr:row>
      <xdr:rowOff>6350</xdr:rowOff>
    </xdr:from>
    <xdr:to>
      <xdr:col>12</xdr:col>
      <xdr:colOff>190500</xdr:colOff>
      <xdr:row>69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3F3622-4301-1042-A9F6-F40DC6A54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25400</xdr:colOff>
      <xdr:row>103</xdr:row>
      <xdr:rowOff>0</xdr:rowOff>
    </xdr:from>
    <xdr:to>
      <xdr:col>12</xdr:col>
      <xdr:colOff>190500</xdr:colOff>
      <xdr:row>117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963AAA-64E4-1B49-BF19-1058EC67D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12700</xdr:colOff>
      <xdr:row>137</xdr:row>
      <xdr:rowOff>0</xdr:rowOff>
    </xdr:from>
    <xdr:to>
      <xdr:col>12</xdr:col>
      <xdr:colOff>88900</xdr:colOff>
      <xdr:row>151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4871DC-5092-E54A-AE1F-356B57829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25400</xdr:colOff>
      <xdr:row>235</xdr:row>
      <xdr:rowOff>0</xdr:rowOff>
    </xdr:from>
    <xdr:to>
      <xdr:col>14</xdr:col>
      <xdr:colOff>469900</xdr:colOff>
      <xdr:row>249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05E3B6-6E78-F147-99FA-6724FBC11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25400</xdr:colOff>
      <xdr:row>186</xdr:row>
      <xdr:rowOff>19050</xdr:rowOff>
    </xdr:from>
    <xdr:to>
      <xdr:col>12</xdr:col>
      <xdr:colOff>190500</xdr:colOff>
      <xdr:row>200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376897-0827-7D4D-9FCB-C14BC2FAF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12700</xdr:colOff>
      <xdr:row>308</xdr:row>
      <xdr:rowOff>12700</xdr:rowOff>
    </xdr:from>
    <xdr:to>
      <xdr:col>14</xdr:col>
      <xdr:colOff>685800</xdr:colOff>
      <xdr:row>331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874E2D-3635-5C4E-B279-C4D6C7229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285</xdr:row>
      <xdr:rowOff>0</xdr:rowOff>
    </xdr:from>
    <xdr:to>
      <xdr:col>14</xdr:col>
      <xdr:colOff>673100</xdr:colOff>
      <xdr:row>307</xdr:row>
      <xdr:rowOff>184150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526518-4A10-D949-B4CF-E7B47596E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935182</xdr:colOff>
      <xdr:row>285</xdr:row>
      <xdr:rowOff>23091</xdr:rowOff>
    </xdr:from>
    <xdr:to>
      <xdr:col>20</xdr:col>
      <xdr:colOff>1148773</xdr:colOff>
      <xdr:row>308</xdr:row>
      <xdr:rowOff>10969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E77FFC-EE93-EB42-8C36-2B5F80D45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286</xdr:row>
      <xdr:rowOff>0</xdr:rowOff>
    </xdr:from>
    <xdr:to>
      <xdr:col>34</xdr:col>
      <xdr:colOff>99860</xdr:colOff>
      <xdr:row>308</xdr:row>
      <xdr:rowOff>177431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B681A14-0623-5F42-B570-81709ED11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11238</xdr:colOff>
      <xdr:row>331</xdr:row>
      <xdr:rowOff>157346</xdr:rowOff>
    </xdr:from>
    <xdr:to>
      <xdr:col>14</xdr:col>
      <xdr:colOff>685575</xdr:colOff>
      <xdr:row>354</xdr:row>
      <xdr:rowOff>152973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27CBF7B-EA45-7B4A-B940-9AD599611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0</xdr:colOff>
      <xdr:row>309</xdr:row>
      <xdr:rowOff>0</xdr:rowOff>
    </xdr:from>
    <xdr:to>
      <xdr:col>8</xdr:col>
      <xdr:colOff>635000</xdr:colOff>
      <xdr:row>336</xdr:row>
      <xdr:rowOff>176952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1206277-BDA7-5645-9249-DC0A7656F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35</xdr:col>
      <xdr:colOff>658615</xdr:colOff>
      <xdr:row>3</xdr:row>
      <xdr:rowOff>6154</xdr:rowOff>
    </xdr:from>
    <xdr:to>
      <xdr:col>49</xdr:col>
      <xdr:colOff>588395</xdr:colOff>
      <xdr:row>16</xdr:row>
      <xdr:rowOff>47589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307AEDA-FF83-3148-9834-1864CA886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35</xdr:col>
      <xdr:colOff>656404</xdr:colOff>
      <xdr:row>16</xdr:row>
      <xdr:rowOff>42809</xdr:rowOff>
    </xdr:from>
    <xdr:to>
      <xdr:col>49</xdr:col>
      <xdr:colOff>586184</xdr:colOff>
      <xdr:row>29</xdr:row>
      <xdr:rowOff>84244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1DA1775-4D12-B641-A7C9-9AD905FB3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35</xdr:col>
      <xdr:colOff>660399</xdr:colOff>
      <xdr:row>29</xdr:row>
      <xdr:rowOff>101600</xdr:rowOff>
    </xdr:from>
    <xdr:to>
      <xdr:col>49</xdr:col>
      <xdr:colOff>590179</xdr:colOff>
      <xdr:row>42</xdr:row>
      <xdr:rowOff>143036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E21FCFB-9BE9-8944-B92A-463973D3A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35</xdr:col>
      <xdr:colOff>660400</xdr:colOff>
      <xdr:row>42</xdr:row>
      <xdr:rowOff>152400</xdr:rowOff>
    </xdr:from>
    <xdr:to>
      <xdr:col>49</xdr:col>
      <xdr:colOff>590180</xdr:colOff>
      <xdr:row>56</xdr:row>
      <xdr:rowOff>7568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15FD860-DF77-A846-855D-4FD27166B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388679</xdr:colOff>
      <xdr:row>309</xdr:row>
      <xdr:rowOff>30027</xdr:rowOff>
    </xdr:from>
    <xdr:to>
      <xdr:col>25</xdr:col>
      <xdr:colOff>655378</xdr:colOff>
      <xdr:row>336</xdr:row>
      <xdr:rowOff>169136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203DFA8-01D7-6A42-AAE7-4466CEEF1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206744</xdr:colOff>
      <xdr:row>309</xdr:row>
      <xdr:rowOff>59069</xdr:rowOff>
    </xdr:from>
    <xdr:to>
      <xdr:col>20</xdr:col>
      <xdr:colOff>288715</xdr:colOff>
      <xdr:row>337</xdr:row>
      <xdr:rowOff>44958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40C9173-1C3C-C843-AA6A-1C3DC45D0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0</xdr:colOff>
      <xdr:row>340</xdr:row>
      <xdr:rowOff>0</xdr:rowOff>
    </xdr:from>
    <xdr:to>
      <xdr:col>22</xdr:col>
      <xdr:colOff>132430</xdr:colOff>
      <xdr:row>367</xdr:row>
      <xdr:rowOff>163097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0B36BFD-DDAF-044E-81FA-F6EC7A812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15</xdr:col>
      <xdr:colOff>0</xdr:colOff>
      <xdr:row>369</xdr:row>
      <xdr:rowOff>0</xdr:rowOff>
    </xdr:from>
    <xdr:to>
      <xdr:col>22</xdr:col>
      <xdr:colOff>132430</xdr:colOff>
      <xdr:row>396</xdr:row>
      <xdr:rowOff>163097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AEE2868-C6B3-194D-9840-8E3BFFD75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507124</xdr:colOff>
      <xdr:row>15</xdr:row>
      <xdr:rowOff>117584</xdr:rowOff>
    </xdr:from>
    <xdr:to>
      <xdr:col>15</xdr:col>
      <xdr:colOff>989723</xdr:colOff>
      <xdr:row>30</xdr:row>
      <xdr:rowOff>7663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F68C09-3D08-4A43-BD10-F0F1AF6FB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25400</xdr:colOff>
      <xdr:row>55</xdr:row>
      <xdr:rowOff>6350</xdr:rowOff>
    </xdr:from>
    <xdr:to>
      <xdr:col>12</xdr:col>
      <xdr:colOff>190500</xdr:colOff>
      <xdr:row>69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DC210F-828C-B840-A9DE-ABFFE41CB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25400</xdr:colOff>
      <xdr:row>103</xdr:row>
      <xdr:rowOff>0</xdr:rowOff>
    </xdr:from>
    <xdr:to>
      <xdr:col>12</xdr:col>
      <xdr:colOff>190500</xdr:colOff>
      <xdr:row>117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228860-6629-C447-9B3C-F2A0B5369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12700</xdr:colOff>
      <xdr:row>137</xdr:row>
      <xdr:rowOff>0</xdr:rowOff>
    </xdr:from>
    <xdr:to>
      <xdr:col>12</xdr:col>
      <xdr:colOff>88900</xdr:colOff>
      <xdr:row>151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053AD4-1576-5943-840C-E3DF7CCEF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25400</xdr:colOff>
      <xdr:row>235</xdr:row>
      <xdr:rowOff>0</xdr:rowOff>
    </xdr:from>
    <xdr:to>
      <xdr:col>14</xdr:col>
      <xdr:colOff>469900</xdr:colOff>
      <xdr:row>249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EDA7A9-DA1F-3742-AA6E-E6F94F0AA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25400</xdr:colOff>
      <xdr:row>186</xdr:row>
      <xdr:rowOff>19050</xdr:rowOff>
    </xdr:from>
    <xdr:to>
      <xdr:col>12</xdr:col>
      <xdr:colOff>190500</xdr:colOff>
      <xdr:row>200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79BA8A-8A3B-BE42-B26A-2F9928E5B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12700</xdr:colOff>
      <xdr:row>308</xdr:row>
      <xdr:rowOff>12700</xdr:rowOff>
    </xdr:from>
    <xdr:to>
      <xdr:col>14</xdr:col>
      <xdr:colOff>685800</xdr:colOff>
      <xdr:row>331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7457D5-C3CF-6B4D-B7C3-F7FB1B583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285</xdr:row>
      <xdr:rowOff>0</xdr:rowOff>
    </xdr:from>
    <xdr:to>
      <xdr:col>14</xdr:col>
      <xdr:colOff>673100</xdr:colOff>
      <xdr:row>307</xdr:row>
      <xdr:rowOff>184150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A7FBFA2-F0F9-0D4A-87B3-67FEC08F4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935182</xdr:colOff>
      <xdr:row>285</xdr:row>
      <xdr:rowOff>23091</xdr:rowOff>
    </xdr:from>
    <xdr:to>
      <xdr:col>20</xdr:col>
      <xdr:colOff>1148773</xdr:colOff>
      <xdr:row>308</xdr:row>
      <xdr:rowOff>10969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E997DEE-698F-5242-873C-224FAE228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286</xdr:row>
      <xdr:rowOff>0</xdr:rowOff>
    </xdr:from>
    <xdr:to>
      <xdr:col>34</xdr:col>
      <xdr:colOff>99860</xdr:colOff>
      <xdr:row>308</xdr:row>
      <xdr:rowOff>177431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3E2E052-1104-4F41-A686-E1D478465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11238</xdr:colOff>
      <xdr:row>331</xdr:row>
      <xdr:rowOff>157346</xdr:rowOff>
    </xdr:from>
    <xdr:to>
      <xdr:col>14</xdr:col>
      <xdr:colOff>685575</xdr:colOff>
      <xdr:row>354</xdr:row>
      <xdr:rowOff>152973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A100038-4647-9941-8229-C54F65AB7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0</xdr:colOff>
      <xdr:row>309</xdr:row>
      <xdr:rowOff>0</xdr:rowOff>
    </xdr:from>
    <xdr:to>
      <xdr:col>8</xdr:col>
      <xdr:colOff>635000</xdr:colOff>
      <xdr:row>336</xdr:row>
      <xdr:rowOff>176952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C6597E-4229-7648-B085-C049B2D65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35</xdr:col>
      <xdr:colOff>658615</xdr:colOff>
      <xdr:row>3</xdr:row>
      <xdr:rowOff>6154</xdr:rowOff>
    </xdr:from>
    <xdr:to>
      <xdr:col>49</xdr:col>
      <xdr:colOff>588395</xdr:colOff>
      <xdr:row>16</xdr:row>
      <xdr:rowOff>47589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54C4465-8EB9-7B45-99DC-C8C92515A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35</xdr:col>
      <xdr:colOff>656404</xdr:colOff>
      <xdr:row>16</xdr:row>
      <xdr:rowOff>42809</xdr:rowOff>
    </xdr:from>
    <xdr:to>
      <xdr:col>49</xdr:col>
      <xdr:colOff>586184</xdr:colOff>
      <xdr:row>29</xdr:row>
      <xdr:rowOff>84244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D89205D-F921-684F-A68B-1127319ED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35</xdr:col>
      <xdr:colOff>660399</xdr:colOff>
      <xdr:row>29</xdr:row>
      <xdr:rowOff>101600</xdr:rowOff>
    </xdr:from>
    <xdr:to>
      <xdr:col>49</xdr:col>
      <xdr:colOff>590179</xdr:colOff>
      <xdr:row>42</xdr:row>
      <xdr:rowOff>143036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A7163BB-4BE9-8E4F-89CA-F8DB510C5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35</xdr:col>
      <xdr:colOff>660400</xdr:colOff>
      <xdr:row>42</xdr:row>
      <xdr:rowOff>152400</xdr:rowOff>
    </xdr:from>
    <xdr:to>
      <xdr:col>49</xdr:col>
      <xdr:colOff>590180</xdr:colOff>
      <xdr:row>56</xdr:row>
      <xdr:rowOff>7568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E4D44C-EF07-D749-9EE2-8EAF6E4D6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388679</xdr:colOff>
      <xdr:row>309</xdr:row>
      <xdr:rowOff>30027</xdr:rowOff>
    </xdr:from>
    <xdr:to>
      <xdr:col>25</xdr:col>
      <xdr:colOff>655378</xdr:colOff>
      <xdr:row>336</xdr:row>
      <xdr:rowOff>169136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165021B-334F-3F40-AC1F-5C0DBB276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206744</xdr:colOff>
      <xdr:row>309</xdr:row>
      <xdr:rowOff>59069</xdr:rowOff>
    </xdr:from>
    <xdr:to>
      <xdr:col>20</xdr:col>
      <xdr:colOff>288715</xdr:colOff>
      <xdr:row>337</xdr:row>
      <xdr:rowOff>44958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58B1B72-673E-4B41-A12A-F3372D27D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0</xdr:colOff>
      <xdr:row>340</xdr:row>
      <xdr:rowOff>0</xdr:rowOff>
    </xdr:from>
    <xdr:to>
      <xdr:col>22</xdr:col>
      <xdr:colOff>132430</xdr:colOff>
      <xdr:row>367</xdr:row>
      <xdr:rowOff>163097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568B49D-F80D-484B-9533-D7B99995F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15</xdr:col>
      <xdr:colOff>0</xdr:colOff>
      <xdr:row>369</xdr:row>
      <xdr:rowOff>0</xdr:rowOff>
    </xdr:from>
    <xdr:to>
      <xdr:col>22</xdr:col>
      <xdr:colOff>132430</xdr:colOff>
      <xdr:row>396</xdr:row>
      <xdr:rowOff>163097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0F1F3BA-8355-2E41-844B-CC7328A1A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507124</xdr:colOff>
      <xdr:row>15</xdr:row>
      <xdr:rowOff>117584</xdr:rowOff>
    </xdr:from>
    <xdr:to>
      <xdr:col>14</xdr:col>
      <xdr:colOff>989723</xdr:colOff>
      <xdr:row>30</xdr:row>
      <xdr:rowOff>7663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1251B-7D66-EA4B-B2A5-7EF186B25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25400</xdr:colOff>
      <xdr:row>55</xdr:row>
      <xdr:rowOff>6350</xdr:rowOff>
    </xdr:from>
    <xdr:to>
      <xdr:col>11</xdr:col>
      <xdr:colOff>190500</xdr:colOff>
      <xdr:row>69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DF898B-25FD-C443-AADF-56A8AB0F5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25400</xdr:colOff>
      <xdr:row>103</xdr:row>
      <xdr:rowOff>0</xdr:rowOff>
    </xdr:from>
    <xdr:to>
      <xdr:col>11</xdr:col>
      <xdr:colOff>190500</xdr:colOff>
      <xdr:row>117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063902-445D-6948-BD12-310FD6328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12700</xdr:colOff>
      <xdr:row>137</xdr:row>
      <xdr:rowOff>0</xdr:rowOff>
    </xdr:from>
    <xdr:to>
      <xdr:col>11</xdr:col>
      <xdr:colOff>88900</xdr:colOff>
      <xdr:row>151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ED2745-6FF6-4F41-8994-319100552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25400</xdr:colOff>
      <xdr:row>235</xdr:row>
      <xdr:rowOff>0</xdr:rowOff>
    </xdr:from>
    <xdr:to>
      <xdr:col>13</xdr:col>
      <xdr:colOff>469900</xdr:colOff>
      <xdr:row>249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9AA82F-6A2A-094A-9FBD-FF8E85A05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25400</xdr:colOff>
      <xdr:row>186</xdr:row>
      <xdr:rowOff>19050</xdr:rowOff>
    </xdr:from>
    <xdr:to>
      <xdr:col>11</xdr:col>
      <xdr:colOff>190500</xdr:colOff>
      <xdr:row>200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42A703-1298-574B-B48D-A345513D8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12700</xdr:colOff>
      <xdr:row>308</xdr:row>
      <xdr:rowOff>12700</xdr:rowOff>
    </xdr:from>
    <xdr:to>
      <xdr:col>13</xdr:col>
      <xdr:colOff>685800</xdr:colOff>
      <xdr:row>331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C2AD11B-DC45-2D45-89DB-0FA30917E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285</xdr:row>
      <xdr:rowOff>0</xdr:rowOff>
    </xdr:from>
    <xdr:to>
      <xdr:col>13</xdr:col>
      <xdr:colOff>673100</xdr:colOff>
      <xdr:row>307</xdr:row>
      <xdr:rowOff>184150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C8BD815-4AA8-C44D-B6A4-E7B892097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935182</xdr:colOff>
      <xdr:row>285</xdr:row>
      <xdr:rowOff>23091</xdr:rowOff>
    </xdr:from>
    <xdr:to>
      <xdr:col>19</xdr:col>
      <xdr:colOff>1148773</xdr:colOff>
      <xdr:row>308</xdr:row>
      <xdr:rowOff>10969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ECB32EE-1BD6-1149-9539-B1467C8C8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0</xdr:colOff>
      <xdr:row>286</xdr:row>
      <xdr:rowOff>0</xdr:rowOff>
    </xdr:from>
    <xdr:to>
      <xdr:col>33</xdr:col>
      <xdr:colOff>99860</xdr:colOff>
      <xdr:row>308</xdr:row>
      <xdr:rowOff>177431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34BF5F-1274-6B46-9E43-EC540D242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11238</xdr:colOff>
      <xdr:row>331</xdr:row>
      <xdr:rowOff>157346</xdr:rowOff>
    </xdr:from>
    <xdr:to>
      <xdr:col>13</xdr:col>
      <xdr:colOff>685575</xdr:colOff>
      <xdr:row>354</xdr:row>
      <xdr:rowOff>152973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B31A56-327A-E445-9D00-BD419692B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0</xdr:colOff>
      <xdr:row>309</xdr:row>
      <xdr:rowOff>0</xdr:rowOff>
    </xdr:from>
    <xdr:to>
      <xdr:col>7</xdr:col>
      <xdr:colOff>635000</xdr:colOff>
      <xdr:row>336</xdr:row>
      <xdr:rowOff>176952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1A74F6B-04E9-7749-B653-F94844793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658615</xdr:colOff>
      <xdr:row>3</xdr:row>
      <xdr:rowOff>6154</xdr:rowOff>
    </xdr:from>
    <xdr:to>
      <xdr:col>48</xdr:col>
      <xdr:colOff>588395</xdr:colOff>
      <xdr:row>16</xdr:row>
      <xdr:rowOff>47589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1F5A02B-A1BE-7EE3-FE4C-838592EE2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656404</xdr:colOff>
      <xdr:row>16</xdr:row>
      <xdr:rowOff>42809</xdr:rowOff>
    </xdr:from>
    <xdr:to>
      <xdr:col>48</xdr:col>
      <xdr:colOff>586184</xdr:colOff>
      <xdr:row>29</xdr:row>
      <xdr:rowOff>84244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C2FA712-4CA6-8B46-B5E0-669B95A58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660399</xdr:colOff>
      <xdr:row>29</xdr:row>
      <xdr:rowOff>101600</xdr:rowOff>
    </xdr:from>
    <xdr:to>
      <xdr:col>48</xdr:col>
      <xdr:colOff>590179</xdr:colOff>
      <xdr:row>42</xdr:row>
      <xdr:rowOff>143036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DF42D5F-A360-C14D-A604-C092FB4F6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34</xdr:col>
      <xdr:colOff>660400</xdr:colOff>
      <xdr:row>42</xdr:row>
      <xdr:rowOff>152400</xdr:rowOff>
    </xdr:from>
    <xdr:to>
      <xdr:col>48</xdr:col>
      <xdr:colOff>590180</xdr:colOff>
      <xdr:row>56</xdr:row>
      <xdr:rowOff>7568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191393D-E208-D847-A551-92BF77253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388679</xdr:colOff>
      <xdr:row>309</xdr:row>
      <xdr:rowOff>30027</xdr:rowOff>
    </xdr:from>
    <xdr:to>
      <xdr:col>24</xdr:col>
      <xdr:colOff>655378</xdr:colOff>
      <xdr:row>336</xdr:row>
      <xdr:rowOff>169136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336EDD5-E9FF-1740-A318-7F66F8ADE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206744</xdr:colOff>
      <xdr:row>309</xdr:row>
      <xdr:rowOff>59069</xdr:rowOff>
    </xdr:from>
    <xdr:to>
      <xdr:col>19</xdr:col>
      <xdr:colOff>288715</xdr:colOff>
      <xdr:row>337</xdr:row>
      <xdr:rowOff>44958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B814909-7F81-FB4F-AF61-29F8F4527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0</xdr:colOff>
      <xdr:row>338</xdr:row>
      <xdr:rowOff>0</xdr:rowOff>
    </xdr:from>
    <xdr:to>
      <xdr:col>19</xdr:col>
      <xdr:colOff>81971</xdr:colOff>
      <xdr:row>365</xdr:row>
      <xdr:rowOff>163097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8CF1D63-6B9C-4B49-82CC-8E356B782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7</xdr:row>
      <xdr:rowOff>19050</xdr:rowOff>
    </xdr:from>
    <xdr:to>
      <xdr:col>10</xdr:col>
      <xdr:colOff>88900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91E64-AE2C-D442-9B89-5CFD714C5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1185333</xdr:colOff>
      <xdr:row>107</xdr:row>
      <xdr:rowOff>84666</xdr:rowOff>
    </xdr:from>
    <xdr:to>
      <xdr:col>20</xdr:col>
      <xdr:colOff>129117</xdr:colOff>
      <xdr:row>126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5DBD71-8EB9-3E4A-B046-774A6BA4B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155</xdr:row>
      <xdr:rowOff>0</xdr:rowOff>
    </xdr:from>
    <xdr:to>
      <xdr:col>17</xdr:col>
      <xdr:colOff>298450</xdr:colOff>
      <xdr:row>176</xdr:row>
      <xdr:rowOff>144895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773D00-A462-4147-B709-0C2C6D1B5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7</xdr:row>
      <xdr:rowOff>19050</xdr:rowOff>
    </xdr:from>
    <xdr:to>
      <xdr:col>9</xdr:col>
      <xdr:colOff>88900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BED4D-2C86-6DBA-F4C7-4707DEAC9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635000</xdr:colOff>
      <xdr:row>104</xdr:row>
      <xdr:rowOff>0</xdr:rowOff>
    </xdr:from>
    <xdr:to>
      <xdr:col>13</xdr:col>
      <xdr:colOff>425450</xdr:colOff>
      <xdr:row>122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76F788-4516-FB4B-8085-3D4CEEE99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104</xdr:row>
      <xdr:rowOff>0</xdr:rowOff>
    </xdr:from>
    <xdr:to>
      <xdr:col>19</xdr:col>
      <xdr:colOff>146050</xdr:colOff>
      <xdr:row>122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DB7997-D002-3048-B44B-5F557F555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errill K Chiang" id="{A76A074C-0923-461E-9C39-0B0013C026D1}" userId="S::mkchiang@mit.edu::14a1bbe2-b24f-47af-ad8f-e743a52b549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4-07-10T15:27:53.82" personId="{A76A074C-0923-461E-9C39-0B0013C026D1}" id="{E7CAA235-9041-46B4-8E99-12F0898D1105}">
    <text>bad fit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56" dT="2024-07-11T03:50:40.89" personId="{A76A074C-0923-461E-9C39-0B0013C026D1}" id="{EE0FE478-80FF-C74F-9D5A-52C991808FF8}">
    <text>5/19/24</text>
  </threadedComment>
  <threadedComment ref="G156" dT="2024-07-11T04:03:31.30" personId="{A76A074C-0923-461E-9C39-0B0013C026D1}" id="{55CCE6FE-F112-214C-91D3-ED60AB7BBC8F}">
    <text>bad fit + bad traces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56" dT="2024-07-11T03:50:40.89" personId="{A76A074C-0923-461E-9C39-0B0013C026D1}" id="{2326EE71-FEE2-8841-837F-950313B4A4F7}">
    <text>5/19/24</text>
  </threadedComment>
  <threadedComment ref="G156" dT="2024-07-11T04:03:31.30" personId="{A76A074C-0923-461E-9C39-0B0013C026D1}" id="{0D8E0C6F-B5EA-D749-9429-D0FDDF49FA56}">
    <text>bad fit + bad traces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56" dT="2024-07-11T03:50:40.89" personId="{A76A074C-0923-461E-9C39-0B0013C026D1}" id="{3D8651E8-0EBD-BC47-9119-AA8A9AF48A2E}">
    <text>5/19/24</text>
  </threadedComment>
  <threadedComment ref="G156" dT="2024-07-11T04:03:31.30" personId="{A76A074C-0923-461E-9C39-0B0013C026D1}" id="{ACCA5B60-063D-BF48-A076-066F3B92B22D}">
    <text>bad fit + bad traces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2"/>
  <sheetViews>
    <sheetView topLeftCell="A18" zoomScale="50" workbookViewId="0">
      <selection activeCell="G62" sqref="G62"/>
    </sheetView>
  </sheetViews>
  <sheetFormatPr defaultColWidth="8.77734375" defaultRowHeight="14.4" x14ac:dyDescent="0.3"/>
  <cols>
    <col min="1" max="1" width="10.77734375" bestFit="1" customWidth="1"/>
    <col min="2" max="2" width="15.77734375" bestFit="1" customWidth="1"/>
    <col min="3" max="3" width="21.33203125" bestFit="1" customWidth="1"/>
    <col min="4" max="4" width="17.44140625" customWidth="1"/>
    <col min="5" max="5" width="19.6640625" bestFit="1" customWidth="1"/>
    <col min="6" max="6" width="19" bestFit="1" customWidth="1"/>
    <col min="7" max="8" width="13.6640625" bestFit="1" customWidth="1"/>
    <col min="9" max="9" width="15.6640625" bestFit="1" customWidth="1"/>
    <col min="10" max="10" width="18.33203125" bestFit="1" customWidth="1"/>
    <col min="11" max="12" width="15.44140625" bestFit="1" customWidth="1"/>
    <col min="13" max="13" width="14.6640625" customWidth="1"/>
    <col min="14" max="14" width="15.44140625" bestFit="1" customWidth="1"/>
    <col min="15" max="15" width="11.6640625" bestFit="1" customWidth="1"/>
    <col min="16" max="16" width="14.6640625" bestFit="1" customWidth="1"/>
    <col min="17" max="18" width="15.44140625" bestFit="1" customWidth="1"/>
    <col min="19" max="19" width="16.44140625" bestFit="1" customWidth="1"/>
    <col min="20" max="20" width="15.44140625" bestFit="1" customWidth="1"/>
    <col min="21" max="21" width="10.44140625" bestFit="1" customWidth="1"/>
    <col min="22" max="22" width="16.44140625" bestFit="1" customWidth="1"/>
    <col min="23" max="23" width="21.6640625" bestFit="1" customWidth="1"/>
    <col min="24" max="24" width="17.44140625" bestFit="1" customWidth="1"/>
    <col min="25" max="25" width="13.44140625" bestFit="1" customWidth="1"/>
    <col min="26" max="26" width="19.33203125" bestFit="1" customWidth="1"/>
    <col min="27" max="27" width="12.44140625" bestFit="1" customWidth="1"/>
    <col min="28" max="28" width="13.77734375" bestFit="1" customWidth="1"/>
    <col min="29" max="29" width="14.77734375" bestFit="1" customWidth="1"/>
    <col min="30" max="30" width="18.6640625" bestFit="1" customWidth="1"/>
    <col min="31" max="31" width="14.44140625" bestFit="1" customWidth="1"/>
    <col min="32" max="32" width="14.6640625" bestFit="1" customWidth="1"/>
    <col min="33" max="34" width="14.77734375" bestFit="1" customWidth="1"/>
    <col min="35" max="35" width="12.44140625" bestFit="1" customWidth="1"/>
    <col min="36" max="36" width="13.6640625" bestFit="1" customWidth="1"/>
    <col min="37" max="38" width="14.44140625" bestFit="1" customWidth="1"/>
    <col min="39" max="39" width="15.44140625" bestFit="1" customWidth="1"/>
    <col min="40" max="40" width="14.441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s="2">
        <v>45395</v>
      </c>
      <c r="V1" t="s">
        <v>3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</row>
    <row r="2" spans="1:40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s="3" t="s">
        <v>4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</row>
    <row r="3" spans="1:40" x14ac:dyDescent="0.3">
      <c r="A3" t="s">
        <v>24</v>
      </c>
      <c r="B3">
        <v>6.3698199999999998</v>
      </c>
      <c r="C3" s="20">
        <v>4.5525500000000003E-5</v>
      </c>
      <c r="D3">
        <v>6.4</v>
      </c>
      <c r="E3" s="20">
        <v>418520000</v>
      </c>
      <c r="F3" s="20">
        <v>2991.19</v>
      </c>
      <c r="G3">
        <v>7.7949455000000001E-2</v>
      </c>
      <c r="H3">
        <v>1.1422708E-2</v>
      </c>
      <c r="I3" s="20">
        <v>7.0640960999999997E-5</v>
      </c>
      <c r="J3" s="20">
        <v>1.3982992000000001E-6</v>
      </c>
      <c r="K3" s="20">
        <v>5.8127560000000001E-6</v>
      </c>
      <c r="L3" s="20">
        <v>5.4665451999999997E-6</v>
      </c>
      <c r="M3">
        <v>9.6230436000000006E-3</v>
      </c>
      <c r="N3" s="20">
        <v>9.3948552000000006E-5</v>
      </c>
      <c r="O3">
        <v>2.5617244000000001</v>
      </c>
      <c r="P3">
        <v>6.1943364000000001E-3</v>
      </c>
      <c r="Q3" s="20">
        <v>3.2200906000000001E-8</v>
      </c>
      <c r="R3" s="20">
        <v>3.7847689000000002E-10</v>
      </c>
      <c r="S3">
        <v>4.3222090000000001E-4</v>
      </c>
      <c r="T3" s="20">
        <v>1.1928067999999999E-5</v>
      </c>
      <c r="U3" t="s">
        <v>24</v>
      </c>
      <c r="V3">
        <v>6.3722300000000001</v>
      </c>
      <c r="W3" s="20">
        <v>4.5589400000000001E-5</v>
      </c>
      <c r="X3">
        <v>6.4</v>
      </c>
      <c r="Y3" s="20">
        <v>418362000</v>
      </c>
      <c r="Z3" s="20">
        <v>2993.13</v>
      </c>
      <c r="AA3">
        <v>7.4306526999999997E-2</v>
      </c>
      <c r="AB3">
        <v>1.3164313E-2</v>
      </c>
      <c r="AC3" s="20">
        <v>6.7836948999999995E-5</v>
      </c>
      <c r="AD3" s="20">
        <v>1.6312472000000001E-6</v>
      </c>
      <c r="AE3" s="20">
        <v>3.8699721000000002E-6</v>
      </c>
      <c r="AF3" s="20">
        <v>7.0465753000000002E-6</v>
      </c>
      <c r="AG3">
        <v>6.8420217999999996E-3</v>
      </c>
      <c r="AH3">
        <v>1.0182224000000001E-4</v>
      </c>
      <c r="AI3">
        <v>2.3115768000000001</v>
      </c>
      <c r="AJ3">
        <v>9.5141101000000006E-3</v>
      </c>
      <c r="AK3" s="20">
        <v>3.9467588999999998E-8</v>
      </c>
      <c r="AL3" s="20">
        <v>7.3213455999999998E-10</v>
      </c>
      <c r="AM3">
        <v>1.0953923E-4</v>
      </c>
      <c r="AN3" s="20">
        <v>1.5286956000000001E-5</v>
      </c>
    </row>
    <row r="4" spans="1:40" x14ac:dyDescent="0.3">
      <c r="A4" t="s">
        <v>25</v>
      </c>
      <c r="B4">
        <v>6.3548099999999996</v>
      </c>
      <c r="C4" s="20">
        <v>3.1186499999999997E-5</v>
      </c>
      <c r="D4">
        <v>6.4</v>
      </c>
      <c r="E4" s="20">
        <v>419509000</v>
      </c>
      <c r="F4" s="20">
        <v>2058.7600000000002</v>
      </c>
      <c r="G4">
        <v>0.10533338</v>
      </c>
      <c r="H4">
        <v>1.1194124E-2</v>
      </c>
      <c r="I4" s="20">
        <v>7.0828487999999995E-5</v>
      </c>
      <c r="J4" s="20">
        <v>1.2343246000000001E-6</v>
      </c>
      <c r="K4" s="20">
        <v>1.6935984000000001E-5</v>
      </c>
      <c r="L4" s="20">
        <v>2.7820988999999998E-6</v>
      </c>
      <c r="M4">
        <v>1.0684838E-2</v>
      </c>
      <c r="N4" s="20">
        <v>8.8334060999999998E-5</v>
      </c>
      <c r="O4">
        <v>2.5918085999999998</v>
      </c>
      <c r="P4">
        <v>5.2611074999999998E-3</v>
      </c>
      <c r="Q4" s="20">
        <v>3.3618782999999998E-8</v>
      </c>
      <c r="R4" s="20">
        <v>3.3729679999999998E-10</v>
      </c>
      <c r="S4">
        <v>-1.6571296999999999E-4</v>
      </c>
      <c r="T4" s="20">
        <v>1.16119E-5</v>
      </c>
      <c r="U4" t="s">
        <v>25</v>
      </c>
      <c r="V4">
        <v>6.3567299999999998</v>
      </c>
      <c r="W4" s="20">
        <v>3.3358500000000003E-5</v>
      </c>
      <c r="X4">
        <v>6.4</v>
      </c>
      <c r="Y4" s="20">
        <v>419382000</v>
      </c>
      <c r="Z4" s="20">
        <v>2200.81</v>
      </c>
      <c r="AA4">
        <v>7.6282024000000004E-2</v>
      </c>
      <c r="AB4">
        <v>8.5809436999999995E-3</v>
      </c>
      <c r="AC4" s="20">
        <v>6.3409247000000005E-5</v>
      </c>
      <c r="AD4" s="20">
        <v>1.0691012999999999E-6</v>
      </c>
      <c r="AE4" s="20">
        <v>7.9183881000000007E-6</v>
      </c>
      <c r="AF4" s="20">
        <v>4.1445183999999997E-6</v>
      </c>
      <c r="AG4">
        <v>1.0396265999999999E-2</v>
      </c>
      <c r="AH4" s="20">
        <v>8.2986153000000007E-5</v>
      </c>
      <c r="AI4">
        <v>2.1125180000000001</v>
      </c>
      <c r="AJ4">
        <v>5.0712913999999996E-3</v>
      </c>
      <c r="AK4" s="20">
        <v>3.4357505E-8</v>
      </c>
      <c r="AL4" s="20">
        <v>3.3243565999999999E-10</v>
      </c>
      <c r="AM4">
        <v>-5.1834533999999997E-4</v>
      </c>
      <c r="AN4" s="20">
        <v>1.1328563000000001E-5</v>
      </c>
    </row>
    <row r="5" spans="1:40" x14ac:dyDescent="0.3">
      <c r="A5" t="s">
        <v>26</v>
      </c>
      <c r="B5">
        <v>6.3623200000000004</v>
      </c>
      <c r="C5" s="20">
        <v>3.8355999999999997E-5</v>
      </c>
      <c r="D5">
        <v>6.4</v>
      </c>
      <c r="E5" s="20">
        <v>419015000</v>
      </c>
      <c r="F5" s="20">
        <v>2524.98</v>
      </c>
      <c r="G5">
        <v>9.1641418000000002E-2</v>
      </c>
      <c r="H5">
        <v>1.1308416E-2</v>
      </c>
      <c r="I5" s="20">
        <v>7.0734724999999994E-5</v>
      </c>
      <c r="J5" s="20">
        <v>1.3163119E-6</v>
      </c>
      <c r="K5" s="20">
        <v>1.137437E-5</v>
      </c>
      <c r="L5" s="20">
        <v>4.1243220999999998E-6</v>
      </c>
      <c r="M5">
        <v>1.0153941E-2</v>
      </c>
      <c r="N5" s="20">
        <v>9.1141306999999993E-5</v>
      </c>
      <c r="O5">
        <v>2.5767665000000002</v>
      </c>
      <c r="P5">
        <v>5.7277218999999997E-3</v>
      </c>
      <c r="Q5" s="20">
        <v>3.2909845000000002E-8</v>
      </c>
      <c r="R5" s="20">
        <v>3.5788683999999998E-10</v>
      </c>
      <c r="S5">
        <v>1.3325395999999999E-4</v>
      </c>
      <c r="T5" s="20">
        <v>1.1769984E-5</v>
      </c>
      <c r="U5" t="s">
        <v>26</v>
      </c>
      <c r="V5">
        <v>6.3644800000000004</v>
      </c>
      <c r="W5" s="20">
        <v>3.9473900000000002E-5</v>
      </c>
      <c r="X5">
        <v>6.4</v>
      </c>
      <c r="Y5" s="20">
        <v>418872000</v>
      </c>
      <c r="Z5" s="20">
        <v>2596.9699999999998</v>
      </c>
      <c r="AA5">
        <v>7.5294275999999993E-2</v>
      </c>
      <c r="AB5">
        <v>1.0872628000000001E-2</v>
      </c>
      <c r="AC5" s="20">
        <v>6.5623098000000007E-5</v>
      </c>
      <c r="AD5" s="20">
        <v>1.3501743E-6</v>
      </c>
      <c r="AE5" s="20">
        <v>5.8941800999999996E-6</v>
      </c>
      <c r="AF5" s="20">
        <v>5.5955469000000003E-6</v>
      </c>
      <c r="AG5">
        <v>8.6191440000000005E-3</v>
      </c>
      <c r="AH5" s="20">
        <v>9.2404195999999994E-5</v>
      </c>
      <c r="AI5">
        <v>2.2120473999999999</v>
      </c>
      <c r="AJ5">
        <v>7.2927008000000003E-3</v>
      </c>
      <c r="AK5" s="20">
        <v>3.6912546999999999E-8</v>
      </c>
      <c r="AL5" s="20">
        <v>5.3228510999999996E-10</v>
      </c>
      <c r="AM5">
        <v>-2.0440306000000001E-4</v>
      </c>
      <c r="AN5" s="20">
        <v>1.330776E-5</v>
      </c>
    </row>
    <row r="6" spans="1:40" x14ac:dyDescent="0.3">
      <c r="A6" t="s">
        <v>27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</row>
    <row r="7" spans="1:40" x14ac:dyDescent="0.3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  <c r="R7" t="s">
        <v>21</v>
      </c>
      <c r="S7" t="s">
        <v>22</v>
      </c>
      <c r="T7" t="s">
        <v>23</v>
      </c>
    </row>
    <row r="8" spans="1:40" x14ac:dyDescent="0.3">
      <c r="A8" t="s">
        <v>24</v>
      </c>
      <c r="B8">
        <v>6.3679899999999998</v>
      </c>
      <c r="C8" s="20">
        <v>3.4113499999999998E-5</v>
      </c>
      <c r="D8">
        <v>6.4</v>
      </c>
      <c r="E8" s="20">
        <v>418641000</v>
      </c>
      <c r="F8" s="20">
        <v>2242.67</v>
      </c>
      <c r="G8">
        <v>7.8103255999999996E-2</v>
      </c>
      <c r="H8">
        <v>9.3944686000000006E-3</v>
      </c>
      <c r="I8" s="20">
        <v>6.1361416999999998E-5</v>
      </c>
      <c r="J8" s="20">
        <v>1.3871059E-6</v>
      </c>
      <c r="K8" s="20">
        <v>2.5088608000000001E-5</v>
      </c>
      <c r="L8" s="20">
        <v>2.5610544000000001E-6</v>
      </c>
      <c r="M8">
        <v>6.2061820999999998E-3</v>
      </c>
      <c r="N8" s="20">
        <v>7.9219299999999996E-5</v>
      </c>
      <c r="O8">
        <v>-0.84265484999999996</v>
      </c>
      <c r="P8">
        <v>7.9675782000000004E-3</v>
      </c>
      <c r="Q8" s="20">
        <v>3.5232741000000002E-8</v>
      </c>
      <c r="R8" s="20">
        <v>5.3108184000000002E-10</v>
      </c>
      <c r="S8">
        <v>-2.4557688000000002E-4</v>
      </c>
      <c r="T8" s="20">
        <v>1.069284E-5</v>
      </c>
    </row>
    <row r="9" spans="1:40" x14ac:dyDescent="0.3">
      <c r="A9" t="s">
        <v>25</v>
      </c>
      <c r="B9">
        <v>6.3742200000000002</v>
      </c>
      <c r="C9" s="20">
        <v>4.4502400000000003E-5</v>
      </c>
      <c r="D9">
        <v>6.4</v>
      </c>
      <c r="E9" s="20">
        <v>418232000</v>
      </c>
      <c r="F9" s="20">
        <v>2919.94</v>
      </c>
      <c r="G9">
        <v>5.3999739999999997E-2</v>
      </c>
      <c r="H9">
        <v>7.4870882999999999E-3</v>
      </c>
      <c r="I9" s="20">
        <v>6.0008008000000001E-5</v>
      </c>
      <c r="J9" s="20">
        <v>1.2025731999999999E-6</v>
      </c>
      <c r="K9" s="20">
        <v>2.2436025000000002E-6</v>
      </c>
      <c r="L9" s="20">
        <v>5.9973297999999998E-6</v>
      </c>
      <c r="M9">
        <v>6.9186331999999996E-3</v>
      </c>
      <c r="N9" s="20">
        <v>8.2007174999999995E-5</v>
      </c>
      <c r="O9">
        <v>2.3608047000000001</v>
      </c>
      <c r="P9">
        <v>7.5580053000000001E-3</v>
      </c>
      <c r="Q9" s="20">
        <v>3.4132410000000002E-8</v>
      </c>
      <c r="R9" s="20">
        <v>4.9070345999999998E-10</v>
      </c>
      <c r="S9">
        <v>-1.1573545999999999E-4</v>
      </c>
      <c r="T9" s="20">
        <v>1.1452468999999999E-5</v>
      </c>
    </row>
    <row r="10" spans="1:40" x14ac:dyDescent="0.3">
      <c r="A10" t="s">
        <v>28</v>
      </c>
      <c r="B10">
        <v>6.3825700000000003</v>
      </c>
      <c r="C10" s="20">
        <v>6.9204900000000005E-5</v>
      </c>
      <c r="D10">
        <v>6.4</v>
      </c>
      <c r="E10" s="20">
        <v>417684000</v>
      </c>
      <c r="F10" s="20">
        <v>4528.8599999999997</v>
      </c>
      <c r="G10">
        <v>5.7837564000000001E-2</v>
      </c>
      <c r="H10">
        <v>7.8276145999999994E-3</v>
      </c>
      <c r="I10" s="20">
        <v>5.8345708999999997E-5</v>
      </c>
      <c r="J10" s="20">
        <v>1.1188742999999999E-6</v>
      </c>
      <c r="K10" s="20">
        <v>1.6480772E-6</v>
      </c>
      <c r="L10" s="20">
        <v>6.0400062000000002E-6</v>
      </c>
      <c r="M10">
        <v>7.6551524000000003E-3</v>
      </c>
      <c r="N10" s="20">
        <v>9.3768454999999999E-5</v>
      </c>
      <c r="O10">
        <v>1.1818115</v>
      </c>
      <c r="P10">
        <v>7.6852385999999998E-3</v>
      </c>
      <c r="Q10" s="20">
        <v>3.0698826999999997E-8</v>
      </c>
      <c r="R10" s="20">
        <v>4.4137557999999999E-10</v>
      </c>
      <c r="S10">
        <v>2.0242848E-4</v>
      </c>
      <c r="T10" s="20">
        <v>1.1858432000000001E-5</v>
      </c>
    </row>
    <row r="11" spans="1:40" x14ac:dyDescent="0.3">
      <c r="A11" t="s">
        <v>26</v>
      </c>
      <c r="B11">
        <v>6.37493</v>
      </c>
      <c r="C11" s="20">
        <v>4.9273600000000002E-5</v>
      </c>
      <c r="D11">
        <v>6.4</v>
      </c>
      <c r="E11" s="20">
        <v>418186000</v>
      </c>
      <c r="F11" s="20">
        <v>3230.49</v>
      </c>
      <c r="G11">
        <v>6.3313519999999998E-2</v>
      </c>
      <c r="H11">
        <v>8.2363904999999994E-3</v>
      </c>
      <c r="I11" s="20">
        <v>5.9905045E-5</v>
      </c>
      <c r="J11" s="20">
        <v>1.2361845E-6</v>
      </c>
      <c r="K11" s="20">
        <v>9.6600958000000001E-6</v>
      </c>
      <c r="L11" s="20">
        <v>4.8661301000000002E-6</v>
      </c>
      <c r="M11">
        <v>6.9266559000000002E-3</v>
      </c>
      <c r="N11" s="20">
        <v>8.4998309999999996E-5</v>
      </c>
      <c r="O11">
        <v>0.89998712999999997</v>
      </c>
      <c r="P11">
        <v>7.7369407000000001E-3</v>
      </c>
      <c r="Q11" s="20">
        <v>3.3354658999999997E-8</v>
      </c>
      <c r="R11" s="20">
        <v>4.8772029E-10</v>
      </c>
      <c r="S11" s="20">
        <v>-5.2961285999999999E-5</v>
      </c>
      <c r="T11" s="20">
        <v>1.133458E-5</v>
      </c>
    </row>
    <row r="12" spans="1:40" x14ac:dyDescent="0.3">
      <c r="A12" t="s">
        <v>29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</row>
    <row r="13" spans="1:40" x14ac:dyDescent="0.3">
      <c r="A13" t="s">
        <v>4</v>
      </c>
      <c r="B13" t="s">
        <v>5</v>
      </c>
      <c r="C13" t="s">
        <v>6</v>
      </c>
      <c r="D13" t="s">
        <v>7</v>
      </c>
      <c r="E13" t="s">
        <v>8</v>
      </c>
      <c r="F13" t="s">
        <v>9</v>
      </c>
      <c r="G13" t="s">
        <v>10</v>
      </c>
      <c r="H13" t="s">
        <v>11</v>
      </c>
      <c r="I13" t="s">
        <v>12</v>
      </c>
      <c r="J13" t="s">
        <v>13</v>
      </c>
      <c r="K13" t="s">
        <v>14</v>
      </c>
      <c r="L13" t="s">
        <v>15</v>
      </c>
      <c r="M13" t="s">
        <v>16</v>
      </c>
      <c r="N13" t="s">
        <v>17</v>
      </c>
      <c r="O13" t="s">
        <v>18</v>
      </c>
      <c r="P13" t="s">
        <v>19</v>
      </c>
      <c r="Q13" t="s">
        <v>20</v>
      </c>
      <c r="R13" t="s">
        <v>21</v>
      </c>
      <c r="S13" t="s">
        <v>22</v>
      </c>
      <c r="T13" t="s">
        <v>23</v>
      </c>
    </row>
    <row r="14" spans="1:40" x14ac:dyDescent="0.3">
      <c r="A14" t="s">
        <v>24</v>
      </c>
      <c r="B14">
        <v>6.3527100000000001</v>
      </c>
      <c r="C14" s="20">
        <v>4.23161E-5</v>
      </c>
      <c r="D14">
        <v>6.4</v>
      </c>
      <c r="E14" s="20">
        <v>419648000</v>
      </c>
      <c r="F14" s="20">
        <v>2795.32</v>
      </c>
      <c r="G14">
        <v>8.6540802E-2</v>
      </c>
      <c r="H14">
        <v>8.2196601999999994E-3</v>
      </c>
      <c r="I14" s="20">
        <v>5.9623195999999998E-5</v>
      </c>
      <c r="J14" s="20">
        <v>9.4133302999999995E-7</v>
      </c>
      <c r="K14" s="20">
        <v>1.3004585999999999E-5</v>
      </c>
      <c r="L14" s="20">
        <v>3.1252818E-6</v>
      </c>
      <c r="M14">
        <v>9.2571661000000003E-3</v>
      </c>
      <c r="N14" s="20">
        <v>9.0622511000000005E-5</v>
      </c>
      <c r="O14">
        <v>1.4035701</v>
      </c>
      <c r="P14">
        <v>6.1818076000000003E-3</v>
      </c>
      <c r="Q14" s="20">
        <v>3.2565686000000001E-8</v>
      </c>
      <c r="R14" s="20">
        <v>3.7984411000000001E-10</v>
      </c>
      <c r="S14">
        <v>3.0350245999999999E-4</v>
      </c>
      <c r="T14" s="20">
        <v>1.2019942999999999E-5</v>
      </c>
    </row>
    <row r="15" spans="1:40" x14ac:dyDescent="0.3">
      <c r="A15" t="s">
        <v>25</v>
      </c>
      <c r="B15">
        <v>6.3632799999999996</v>
      </c>
      <c r="C15" s="20">
        <v>4.3697199999999999E-5</v>
      </c>
      <c r="D15">
        <v>6.4</v>
      </c>
      <c r="E15" s="20">
        <v>418951000</v>
      </c>
      <c r="F15" s="20">
        <v>2876.97</v>
      </c>
      <c r="G15">
        <v>8.1471418000000004E-2</v>
      </c>
      <c r="H15">
        <v>7.9221501000000007E-3</v>
      </c>
      <c r="I15" s="20">
        <v>6.2132389999999994E-5</v>
      </c>
      <c r="J15" s="20">
        <v>9.7414430999999992E-7</v>
      </c>
      <c r="K15" s="20">
        <v>1.0878036E-5</v>
      </c>
      <c r="L15" s="20">
        <v>3.3130263999999999E-6</v>
      </c>
      <c r="M15">
        <v>8.1165353999999995E-3</v>
      </c>
      <c r="N15" s="20">
        <v>8.8857578000000001E-5</v>
      </c>
      <c r="O15">
        <v>2.4417944999999999</v>
      </c>
      <c r="P15">
        <v>6.938474E-3</v>
      </c>
      <c r="Q15" s="20">
        <v>3.0812329999999998E-8</v>
      </c>
      <c r="R15" s="20">
        <v>4.0226926000000001E-10</v>
      </c>
      <c r="S15">
        <v>2.2482049999999999E-4</v>
      </c>
      <c r="T15" s="20">
        <v>1.1318698E-5</v>
      </c>
    </row>
    <row r="16" spans="1:40" x14ac:dyDescent="0.3">
      <c r="A16" t="s">
        <v>28</v>
      </c>
      <c r="B16">
        <v>6.3588300000000002</v>
      </c>
      <c r="C16" s="20">
        <v>4.7388800000000003E-5</v>
      </c>
      <c r="D16">
        <v>6.4</v>
      </c>
      <c r="E16" s="20">
        <v>419244000</v>
      </c>
      <c r="F16" s="20">
        <v>3124.4</v>
      </c>
      <c r="G16">
        <v>6.1890066000000001E-2</v>
      </c>
      <c r="H16">
        <v>6.8309623999999996E-3</v>
      </c>
      <c r="I16" s="20">
        <v>5.8433804E-5</v>
      </c>
      <c r="J16" s="20">
        <v>9.7317974000000005E-7</v>
      </c>
      <c r="K16" s="20">
        <v>1.7096776E-6</v>
      </c>
      <c r="L16" s="20">
        <v>4.8398177000000001E-6</v>
      </c>
      <c r="M16">
        <v>8.4044018000000009E-3</v>
      </c>
      <c r="N16" s="20">
        <v>8.8229752000000002E-5</v>
      </c>
      <c r="O16">
        <v>2.8477112999999998</v>
      </c>
      <c r="P16">
        <v>6.6786505999999997E-3</v>
      </c>
      <c r="Q16" s="20">
        <v>3.1800269000000003E-8</v>
      </c>
      <c r="R16" s="20">
        <v>4.0261582999999999E-10</v>
      </c>
      <c r="S16">
        <v>2.4405778E-4</v>
      </c>
      <c r="T16" s="20">
        <v>1.18571E-5</v>
      </c>
    </row>
    <row r="17" spans="1:40" x14ac:dyDescent="0.3">
      <c r="A17" t="s">
        <v>26</v>
      </c>
      <c r="B17">
        <v>6.3582700000000001</v>
      </c>
      <c r="C17" s="20">
        <v>4.4467400000000001E-5</v>
      </c>
      <c r="D17">
        <v>6.4</v>
      </c>
      <c r="E17" s="20">
        <v>419281000</v>
      </c>
      <c r="F17" s="20">
        <v>2932.23</v>
      </c>
      <c r="G17">
        <v>7.6634094999999999E-2</v>
      </c>
      <c r="H17">
        <v>7.6575908999999996E-3</v>
      </c>
      <c r="I17" s="20">
        <v>6.006313E-5</v>
      </c>
      <c r="J17" s="20">
        <v>9.628856900000001E-7</v>
      </c>
      <c r="K17" s="20">
        <v>8.5307666999999996E-6</v>
      </c>
      <c r="L17" s="20">
        <v>3.7593753000000001E-6</v>
      </c>
      <c r="M17">
        <v>8.5927011000000008E-3</v>
      </c>
      <c r="N17" s="20">
        <v>8.9236613999999997E-5</v>
      </c>
      <c r="O17">
        <v>2.2310253000000002</v>
      </c>
      <c r="P17">
        <v>6.5996440999999996E-3</v>
      </c>
      <c r="Q17" s="20">
        <v>3.1726095000000003E-8</v>
      </c>
      <c r="R17" s="20">
        <v>3.9490973000000002E-10</v>
      </c>
      <c r="S17">
        <v>2.5746025000000002E-4</v>
      </c>
      <c r="T17" s="20">
        <v>1.1731914E-5</v>
      </c>
    </row>
    <row r="18" spans="1:40" x14ac:dyDescent="0.3">
      <c r="A18" s="3" t="s">
        <v>30</v>
      </c>
      <c r="B18" s="3" t="s">
        <v>1</v>
      </c>
      <c r="C18" s="3" t="s">
        <v>2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  <c r="J18" s="3" t="s">
        <v>2</v>
      </c>
      <c r="K18" s="3" t="s">
        <v>2</v>
      </c>
      <c r="L18" s="3" t="s">
        <v>2</v>
      </c>
      <c r="M18" s="3" t="s">
        <v>2</v>
      </c>
      <c r="N18" s="3" t="s">
        <v>2</v>
      </c>
      <c r="O18" s="3" t="s">
        <v>2</v>
      </c>
      <c r="P18" s="3" t="s">
        <v>2</v>
      </c>
      <c r="Q18" s="3" t="s">
        <v>2</v>
      </c>
      <c r="R18" s="3" t="s">
        <v>2</v>
      </c>
      <c r="S18" s="3" t="s">
        <v>2</v>
      </c>
      <c r="T18" s="3" t="s">
        <v>2</v>
      </c>
      <c r="U18" t="s">
        <v>30</v>
      </c>
      <c r="V18" t="s">
        <v>3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</row>
    <row r="19" spans="1:40" x14ac:dyDescent="0.3">
      <c r="A19" t="s">
        <v>4</v>
      </c>
      <c r="B19" t="s">
        <v>5</v>
      </c>
      <c r="C19" t="s">
        <v>6</v>
      </c>
      <c r="D19" t="s">
        <v>7</v>
      </c>
      <c r="E19" t="s">
        <v>8</v>
      </c>
      <c r="F19" t="s">
        <v>9</v>
      </c>
      <c r="G19" t="s">
        <v>10</v>
      </c>
      <c r="H19" t="s">
        <v>11</v>
      </c>
      <c r="I19" t="s">
        <v>12</v>
      </c>
      <c r="J19" t="s">
        <v>13</v>
      </c>
      <c r="K19" t="s">
        <v>14</v>
      </c>
      <c r="L19" t="s">
        <v>15</v>
      </c>
      <c r="M19" t="s">
        <v>16</v>
      </c>
      <c r="N19" t="s">
        <v>17</v>
      </c>
      <c r="O19" t="s">
        <v>18</v>
      </c>
      <c r="P19" t="s">
        <v>19</v>
      </c>
      <c r="Q19" t="s">
        <v>20</v>
      </c>
      <c r="R19" t="s">
        <v>21</v>
      </c>
      <c r="S19" t="s">
        <v>22</v>
      </c>
      <c r="T19" t="s">
        <v>23</v>
      </c>
      <c r="U19" t="s">
        <v>4</v>
      </c>
      <c r="V19" t="s">
        <v>5</v>
      </c>
      <c r="W19" t="s">
        <v>6</v>
      </c>
      <c r="X19" t="s">
        <v>7</v>
      </c>
      <c r="Y19" t="s">
        <v>8</v>
      </c>
      <c r="Z19" t="s">
        <v>9</v>
      </c>
      <c r="AA19" t="s">
        <v>10</v>
      </c>
      <c r="AB19" t="s">
        <v>11</v>
      </c>
      <c r="AC19" t="s">
        <v>12</v>
      </c>
      <c r="AD19" t="s">
        <v>13</v>
      </c>
      <c r="AE19" t="s">
        <v>14</v>
      </c>
      <c r="AF19" t="s">
        <v>15</v>
      </c>
      <c r="AG19" t="s">
        <v>16</v>
      </c>
      <c r="AH19" t="s">
        <v>17</v>
      </c>
      <c r="AI19" t="s">
        <v>18</v>
      </c>
      <c r="AJ19" t="s">
        <v>19</v>
      </c>
      <c r="AK19" t="s">
        <v>20</v>
      </c>
      <c r="AL19" t="s">
        <v>21</v>
      </c>
      <c r="AM19" t="s">
        <v>22</v>
      </c>
      <c r="AN19" t="s">
        <v>23</v>
      </c>
    </row>
    <row r="20" spans="1:40" x14ac:dyDescent="0.3">
      <c r="A20" s="3" t="s">
        <v>24</v>
      </c>
      <c r="B20" s="3">
        <v>6.67</v>
      </c>
      <c r="C20" s="18">
        <v>6.4872799999999998E-3</v>
      </c>
      <c r="D20" s="3">
        <v>6.4</v>
      </c>
      <c r="E20" s="18">
        <v>399685000</v>
      </c>
      <c r="F20" s="18">
        <v>388736</v>
      </c>
      <c r="G20" s="3">
        <v>0.15248527000000001</v>
      </c>
      <c r="H20" s="3">
        <v>7.1854512999999995E-2</v>
      </c>
      <c r="I20" s="18">
        <v>8.8241891000000002E-5</v>
      </c>
      <c r="J20" s="18">
        <v>3.1269935E-6</v>
      </c>
      <c r="K20" s="18">
        <v>1.2641016E-5</v>
      </c>
      <c r="L20" s="18">
        <v>1.4874081E-5</v>
      </c>
      <c r="M20" s="3">
        <v>2.5891971000000001E-3</v>
      </c>
      <c r="N20" s="3">
        <v>1.8459197000000001E-4</v>
      </c>
      <c r="O20" s="3">
        <v>2.0239563</v>
      </c>
      <c r="P20" s="3">
        <v>7.3215361000000007E-2</v>
      </c>
      <c r="Q20" s="18">
        <v>1.3625878E-8</v>
      </c>
      <c r="R20" s="3" t="s">
        <v>31</v>
      </c>
      <c r="S20" s="3">
        <v>1.0727238E-4</v>
      </c>
      <c r="T20" s="18">
        <v>1.0508894000000001E-5</v>
      </c>
      <c r="U20" t="s">
        <v>24</v>
      </c>
      <c r="V20">
        <v>6.7250899999999998</v>
      </c>
      <c r="W20" s="20">
        <v>6.0893800000000001E-3</v>
      </c>
      <c r="X20">
        <v>6.4</v>
      </c>
      <c r="Y20" s="20">
        <v>396411000</v>
      </c>
      <c r="Z20" s="20">
        <v>358939</v>
      </c>
      <c r="AA20">
        <v>0.14776734999999999</v>
      </c>
      <c r="AB20">
        <v>5.5345184999999998E-2</v>
      </c>
      <c r="AC20" s="20">
        <v>7.7128525999999996E-5</v>
      </c>
      <c r="AD20" s="20">
        <v>2.6093007000000002E-6</v>
      </c>
      <c r="AE20" s="20">
        <v>1.7822637999999998E-5</v>
      </c>
      <c r="AF20" s="20">
        <v>1.0770143E-5</v>
      </c>
      <c r="AG20">
        <v>1.6995611000000001E-3</v>
      </c>
      <c r="AH20">
        <v>2.1750963000000001E-4</v>
      </c>
      <c r="AI20">
        <v>0.62516360000000004</v>
      </c>
      <c r="AJ20">
        <v>0.13180491999999999</v>
      </c>
      <c r="AK20" s="20">
        <v>1.3114788999999999E-8</v>
      </c>
      <c r="AL20" t="s">
        <v>31</v>
      </c>
      <c r="AM20">
        <v>-2.7951358000000002E-4</v>
      </c>
      <c r="AN20" s="20">
        <v>1.1407190000000001E-5</v>
      </c>
    </row>
    <row r="21" spans="1:40" x14ac:dyDescent="0.3">
      <c r="A21" t="s">
        <v>25</v>
      </c>
      <c r="B21">
        <v>6.3819800000000004</v>
      </c>
      <c r="C21" s="20">
        <v>1.6207999999999999E-4</v>
      </c>
      <c r="D21">
        <v>6.4</v>
      </c>
      <c r="E21" s="20">
        <v>417723000</v>
      </c>
      <c r="F21" s="20">
        <v>10608.7</v>
      </c>
      <c r="G21">
        <v>0.57465891999999996</v>
      </c>
      <c r="H21">
        <v>0.39361034</v>
      </c>
      <c r="I21" s="20">
        <v>7.3963718999999997E-5</v>
      </c>
      <c r="J21" s="20">
        <v>2.0639256999999999E-6</v>
      </c>
      <c r="K21" s="20">
        <v>1.1289769E-5</v>
      </c>
      <c r="L21" s="20">
        <v>2.8011163999999999E-5</v>
      </c>
      <c r="M21">
        <v>6.1248607E-3</v>
      </c>
      <c r="N21">
        <v>2.1820271E-4</v>
      </c>
      <c r="O21">
        <v>-0.22558436000000001</v>
      </c>
      <c r="P21">
        <v>1.6409528E-2</v>
      </c>
      <c r="Q21" s="20">
        <v>3.2590755000000002E-8</v>
      </c>
      <c r="R21" s="20">
        <v>8.2918311999999997E-10</v>
      </c>
      <c r="S21">
        <v>1.5021642E-4</v>
      </c>
      <c r="T21" s="20">
        <v>1.1079371999999999E-5</v>
      </c>
      <c r="U21" t="s">
        <v>25</v>
      </c>
      <c r="V21">
        <v>6.3790899999999997</v>
      </c>
      <c r="W21" s="20">
        <v>1.12524E-4</v>
      </c>
      <c r="X21">
        <v>6.4</v>
      </c>
      <c r="Y21" s="20">
        <v>417912000</v>
      </c>
      <c r="Z21" s="20">
        <v>7371.72</v>
      </c>
      <c r="AA21">
        <v>0.10620309999999999</v>
      </c>
      <c r="AB21">
        <v>1.0183654E-2</v>
      </c>
      <c r="AC21" s="20">
        <v>6.4714028000000001E-5</v>
      </c>
      <c r="AD21" s="20">
        <v>1.0220159999999999E-6</v>
      </c>
      <c r="AE21" s="20">
        <v>1.6637251E-5</v>
      </c>
      <c r="AF21" s="20">
        <v>2.7087837999999999E-6</v>
      </c>
      <c r="AG21">
        <v>3.0855417E-3</v>
      </c>
      <c r="AH21" s="20">
        <v>8.7191135000000002E-5</v>
      </c>
      <c r="AI21">
        <v>1.3924270999999999</v>
      </c>
      <c r="AJ21">
        <v>1.7919258E-2</v>
      </c>
      <c r="AK21" s="20">
        <v>3.4588420999999997E-8</v>
      </c>
      <c r="AL21" s="20">
        <v>1.1755457E-9</v>
      </c>
      <c r="AM21">
        <v>-2.4561534999999998E-4</v>
      </c>
      <c r="AN21" s="20">
        <v>1.1775170999999999E-5</v>
      </c>
    </row>
    <row r="22" spans="1:40" x14ac:dyDescent="0.3">
      <c r="A22" t="s">
        <v>28</v>
      </c>
      <c r="B22">
        <v>6.3674299999999997</v>
      </c>
      <c r="C22" s="20">
        <v>1.25554E-4</v>
      </c>
      <c r="D22">
        <v>6.4</v>
      </c>
      <c r="E22" s="20">
        <v>418678000</v>
      </c>
      <c r="F22" s="20">
        <v>8255.5499999999993</v>
      </c>
      <c r="G22">
        <v>0.15726092999999999</v>
      </c>
      <c r="H22">
        <v>1.2879056999999999E-2</v>
      </c>
      <c r="I22" s="20">
        <v>7.4205692999999994E-5</v>
      </c>
      <c r="J22" s="20">
        <v>1.0415187E-6</v>
      </c>
      <c r="K22" s="20">
        <v>2.2818229000000001E-5</v>
      </c>
      <c r="L22" s="20">
        <v>1.6501155999999999E-6</v>
      </c>
      <c r="M22">
        <v>3.1422673999999999E-3</v>
      </c>
      <c r="N22" s="20">
        <v>7.8199268999999997E-5</v>
      </c>
      <c r="O22">
        <v>0.72388843000000003</v>
      </c>
      <c r="P22">
        <v>1.5765304000000001E-2</v>
      </c>
      <c r="Q22" s="20">
        <v>3.6247400000000002E-8</v>
      </c>
      <c r="R22" s="20">
        <v>1.0951178E-9</v>
      </c>
      <c r="S22">
        <v>1.1897815E-4</v>
      </c>
      <c r="T22" s="20">
        <v>1.0592093000000001E-5</v>
      </c>
      <c r="U22" t="s">
        <v>28</v>
      </c>
      <c r="V22">
        <v>6.3705800000000004</v>
      </c>
      <c r="W22" s="20">
        <v>9.5227299999999995E-5</v>
      </c>
      <c r="X22">
        <v>6.4</v>
      </c>
      <c r="Y22" s="20">
        <v>418470000</v>
      </c>
      <c r="Z22" s="20">
        <v>6255.28</v>
      </c>
      <c r="AA22">
        <v>0.12761437</v>
      </c>
      <c r="AB22">
        <v>1.1686472E-2</v>
      </c>
      <c r="AC22" s="20">
        <v>6.7305891999999993E-5</v>
      </c>
      <c r="AD22" s="20">
        <v>9.8964655999999993E-7</v>
      </c>
      <c r="AE22" s="20">
        <v>1.9181343999999999E-5</v>
      </c>
      <c r="AF22" s="20">
        <v>2.3457204000000001E-6</v>
      </c>
      <c r="AG22">
        <v>2.9569190000000001E-3</v>
      </c>
      <c r="AH22" s="20">
        <v>7.7954812999999997E-5</v>
      </c>
      <c r="AI22">
        <v>4.7041134999999998E-2</v>
      </c>
      <c r="AJ22">
        <v>1.6627302E-2</v>
      </c>
      <c r="AK22" s="20">
        <v>3.7966581000000001E-8</v>
      </c>
      <c r="AL22" s="20">
        <v>1.2092041E-9</v>
      </c>
      <c r="AM22">
        <v>-2.7326998000000002E-4</v>
      </c>
      <c r="AN22" s="20">
        <v>1.0981577E-5</v>
      </c>
    </row>
    <row r="23" spans="1:40" x14ac:dyDescent="0.3">
      <c r="A23" t="s">
        <v>26</v>
      </c>
      <c r="B23">
        <v>6.4731399999999999</v>
      </c>
      <c r="C23" s="20">
        <v>2.2583099999999999E-3</v>
      </c>
      <c r="D23">
        <v>6.4</v>
      </c>
      <c r="E23" s="20">
        <v>412029000</v>
      </c>
      <c r="F23" s="20">
        <v>135867</v>
      </c>
      <c r="G23">
        <v>0.29480170999999999</v>
      </c>
      <c r="H23">
        <v>0.15944796999999999</v>
      </c>
      <c r="I23" s="20">
        <v>7.8803768000000005E-5</v>
      </c>
      <c r="J23" s="20">
        <v>2.0774792999999999E-6</v>
      </c>
      <c r="K23" s="20">
        <v>1.5583005E-5</v>
      </c>
      <c r="L23" s="20">
        <v>1.4845119999999999E-5</v>
      </c>
      <c r="M23">
        <v>3.9521084000000003E-3</v>
      </c>
      <c r="N23">
        <v>1.6033131999999999E-4</v>
      </c>
      <c r="O23">
        <v>0.84075345000000001</v>
      </c>
      <c r="P23">
        <v>3.5130064000000003E-2</v>
      </c>
      <c r="Q23" s="20">
        <v>2.7488011000000001E-8</v>
      </c>
      <c r="R23" t="s">
        <v>31</v>
      </c>
      <c r="S23">
        <v>1.2548898E-4</v>
      </c>
      <c r="T23" s="20">
        <v>1.0726786E-5</v>
      </c>
      <c r="U23" t="s">
        <v>26</v>
      </c>
      <c r="V23">
        <v>6.4915900000000004</v>
      </c>
      <c r="W23" s="20">
        <v>2.0990399999999999E-3</v>
      </c>
      <c r="X23">
        <v>6.4</v>
      </c>
      <c r="Y23" s="20">
        <v>410931000</v>
      </c>
      <c r="Z23" s="20">
        <v>124189</v>
      </c>
      <c r="AA23">
        <v>0.12719494000000001</v>
      </c>
      <c r="AB23">
        <v>2.5738436999999999E-2</v>
      </c>
      <c r="AC23" s="20">
        <v>6.9716147999999999E-5</v>
      </c>
      <c r="AD23" s="20">
        <v>1.5403211E-6</v>
      </c>
      <c r="AE23" s="20">
        <v>1.7880410999999999E-5</v>
      </c>
      <c r="AF23" s="20">
        <v>5.2748824999999997E-6</v>
      </c>
      <c r="AG23">
        <v>2.5806739000000002E-3</v>
      </c>
      <c r="AH23">
        <v>1.2755186E-4</v>
      </c>
      <c r="AI23">
        <v>0.68821060000000001</v>
      </c>
      <c r="AJ23">
        <v>5.5450492999999997E-2</v>
      </c>
      <c r="AK23" s="20">
        <v>2.8556596999999999E-8</v>
      </c>
      <c r="AL23" t="s">
        <v>31</v>
      </c>
      <c r="AM23">
        <v>-2.6613297000000001E-4</v>
      </c>
      <c r="AN23" s="20">
        <v>1.1387978999999999E-5</v>
      </c>
    </row>
    <row r="24" spans="1:40" x14ac:dyDescent="0.3">
      <c r="A24" s="2" t="s">
        <v>32</v>
      </c>
      <c r="B24" s="3">
        <f>(B21+B22)/2</f>
        <v>6.3747050000000005</v>
      </c>
    </row>
    <row r="25" spans="1:40" x14ac:dyDescent="0.3">
      <c r="A25" s="3" t="s">
        <v>33</v>
      </c>
      <c r="B25" s="3" t="s">
        <v>2</v>
      </c>
      <c r="C25" s="3" t="s">
        <v>2</v>
      </c>
      <c r="D25" s="3" t="s">
        <v>2</v>
      </c>
      <c r="E25" s="3" t="s">
        <v>2</v>
      </c>
      <c r="F25" s="3" t="s">
        <v>2</v>
      </c>
      <c r="G25" s="3" t="s">
        <v>2</v>
      </c>
      <c r="H25" s="3" t="s">
        <v>2</v>
      </c>
      <c r="I25" s="3" t="s">
        <v>2</v>
      </c>
      <c r="J25" s="3" t="s">
        <v>2</v>
      </c>
      <c r="K25" s="3" t="s">
        <v>2</v>
      </c>
      <c r="L25" s="3" t="s">
        <v>2</v>
      </c>
      <c r="M25" s="3" t="s">
        <v>2</v>
      </c>
      <c r="N25" s="3" t="s">
        <v>2</v>
      </c>
      <c r="O25" s="3" t="s">
        <v>2</v>
      </c>
      <c r="P25" s="3" t="s">
        <v>2</v>
      </c>
      <c r="Q25" s="3" t="s">
        <v>2</v>
      </c>
      <c r="R25" s="3" t="s">
        <v>2</v>
      </c>
      <c r="S25" s="3" t="s">
        <v>2</v>
      </c>
      <c r="T25" s="3" t="s">
        <v>2</v>
      </c>
    </row>
    <row r="26" spans="1:40" x14ac:dyDescent="0.3">
      <c r="A26" s="3" t="s">
        <v>4</v>
      </c>
      <c r="B26" s="3" t="s">
        <v>5</v>
      </c>
      <c r="C26" s="3" t="s">
        <v>6</v>
      </c>
      <c r="D26" s="3" t="s">
        <v>7</v>
      </c>
      <c r="E26" s="3" t="s">
        <v>8</v>
      </c>
      <c r="F26" s="3" t="s">
        <v>9</v>
      </c>
      <c r="G26" s="3" t="s">
        <v>10</v>
      </c>
      <c r="H26" s="3" t="s">
        <v>11</v>
      </c>
      <c r="I26" s="3" t="s">
        <v>12</v>
      </c>
      <c r="J26" s="3" t="s">
        <v>13</v>
      </c>
      <c r="K26" s="3" t="s">
        <v>14</v>
      </c>
      <c r="L26" s="3" t="s">
        <v>15</v>
      </c>
      <c r="M26" s="3" t="s">
        <v>16</v>
      </c>
      <c r="N26" s="3" t="s">
        <v>17</v>
      </c>
      <c r="O26" s="3" t="s">
        <v>18</v>
      </c>
      <c r="P26" s="3" t="s">
        <v>19</v>
      </c>
      <c r="Q26" s="3" t="s">
        <v>20</v>
      </c>
      <c r="R26" s="3" t="s">
        <v>21</v>
      </c>
      <c r="S26" s="3" t="s">
        <v>22</v>
      </c>
      <c r="T26" s="3" t="s">
        <v>23</v>
      </c>
    </row>
    <row r="27" spans="1:40" x14ac:dyDescent="0.3">
      <c r="A27" s="3" t="s">
        <v>24</v>
      </c>
      <c r="B27" s="3">
        <v>6.3498099999999997</v>
      </c>
      <c r="C27" s="18">
        <v>6.2441900000000003E-5</v>
      </c>
      <c r="D27" s="3">
        <v>6.4</v>
      </c>
      <c r="E27" s="18">
        <v>419839000</v>
      </c>
      <c r="F27" s="18">
        <v>4128.55</v>
      </c>
      <c r="G27" s="3">
        <v>8.0467197000000004E-2</v>
      </c>
      <c r="H27" s="3">
        <v>8.8074529999999998E-3</v>
      </c>
      <c r="I27" s="18">
        <v>6.6948142999999994E-5</v>
      </c>
      <c r="J27" s="18">
        <v>1.1525769E-6</v>
      </c>
      <c r="K27" s="18">
        <v>1.6511757999999998E-5</v>
      </c>
      <c r="L27" s="18">
        <v>3.0744874999999999E-6</v>
      </c>
      <c r="M27" s="3">
        <v>5.1852542999999999E-3</v>
      </c>
      <c r="N27" s="18">
        <v>6.9065359000000006E-5</v>
      </c>
      <c r="O27" s="3">
        <v>0.86903947000000004</v>
      </c>
      <c r="P27" s="3">
        <v>8.4293004000000008E-3</v>
      </c>
      <c r="Q27" s="18">
        <v>3.3463736000000003E-8</v>
      </c>
      <c r="R27" s="18">
        <v>5.3035889999999998E-10</v>
      </c>
      <c r="S27" s="3">
        <v>-3.7798828000000002E-4</v>
      </c>
      <c r="T27" s="18">
        <v>8.9213664000000008E-6</v>
      </c>
    </row>
    <row r="28" spans="1:40" x14ac:dyDescent="0.3">
      <c r="A28" s="3" t="s">
        <v>25</v>
      </c>
      <c r="B28" s="3">
        <v>6.3887499999999999</v>
      </c>
      <c r="C28" s="18">
        <v>6.5868400000000001E-5</v>
      </c>
      <c r="D28" s="3">
        <v>6.4</v>
      </c>
      <c r="E28" s="18">
        <v>417281000</v>
      </c>
      <c r="F28" s="18">
        <v>4302.1899999999996</v>
      </c>
      <c r="G28" s="3">
        <v>6.8694442999999994E-2</v>
      </c>
      <c r="H28" s="3">
        <v>7.3669050999999996E-3</v>
      </c>
      <c r="I28" s="18">
        <v>6.3759993999999996E-5</v>
      </c>
      <c r="J28" s="18">
        <v>1.0875842E-6</v>
      </c>
      <c r="K28" s="18">
        <v>1.3535641E-5</v>
      </c>
      <c r="L28" s="18">
        <v>3.3733059000000002E-6</v>
      </c>
      <c r="M28" s="3">
        <v>4.6906548999999997E-3</v>
      </c>
      <c r="N28" s="18">
        <v>7.5070535999999997E-5</v>
      </c>
      <c r="O28" s="3">
        <v>1.8060594000000001</v>
      </c>
      <c r="P28" s="3">
        <v>1.0134026000000001E-2</v>
      </c>
      <c r="Q28" s="18">
        <v>2.9684566000000001E-8</v>
      </c>
      <c r="R28" s="18">
        <v>5.5724691E-10</v>
      </c>
      <c r="S28" s="3">
        <v>-1.8541255E-4</v>
      </c>
      <c r="T28" s="18">
        <v>9.0235548999999998E-6</v>
      </c>
    </row>
    <row r="29" spans="1:40" x14ac:dyDescent="0.3">
      <c r="A29" s="3" t="s">
        <v>28</v>
      </c>
      <c r="B29" s="3">
        <v>6.3765299999999998</v>
      </c>
      <c r="C29" s="18">
        <v>5.2232399999999998E-5</v>
      </c>
      <c r="D29" s="3">
        <v>6.4</v>
      </c>
      <c r="E29" s="18">
        <v>418080000</v>
      </c>
      <c r="F29" s="18">
        <v>3424.64</v>
      </c>
      <c r="G29" s="3">
        <v>5.2225446000000002E-2</v>
      </c>
      <c r="H29" s="3">
        <v>7.2513828000000001E-3</v>
      </c>
      <c r="I29" s="18">
        <v>6.2787378000000001E-5</v>
      </c>
      <c r="J29" s="18">
        <v>1.1696603E-6</v>
      </c>
      <c r="K29" s="18">
        <v>1.0847162000000001E-6</v>
      </c>
      <c r="L29" s="18">
        <v>6.1076543999999997E-6</v>
      </c>
      <c r="M29" s="3">
        <v>5.5562709000000002E-3</v>
      </c>
      <c r="N29" s="18">
        <v>6.9300510999999995E-5</v>
      </c>
      <c r="O29" s="3">
        <v>1.8239133000000001</v>
      </c>
      <c r="P29" s="3">
        <v>7.9203810000000006E-3</v>
      </c>
      <c r="Q29" s="18">
        <v>3.4310314999999999E-8</v>
      </c>
      <c r="R29" s="18">
        <v>5.1641484999999997E-10</v>
      </c>
      <c r="S29" s="3">
        <v>-3.4861461999999998E-4</v>
      </c>
      <c r="T29" s="18">
        <v>9.4363224999999996E-6</v>
      </c>
    </row>
    <row r="30" spans="1:40" x14ac:dyDescent="0.3">
      <c r="A30" s="3" t="s">
        <v>26</v>
      </c>
      <c r="B30" s="5">
        <f t="shared" ref="B30:T30" si="0">(B27+B28+B29)/3</f>
        <v>6.3716966666666659</v>
      </c>
      <c r="C30" s="3">
        <f t="shared" si="0"/>
        <v>6.0180900000000012E-5</v>
      </c>
      <c r="D30" s="3">
        <f t="shared" si="0"/>
        <v>6.4000000000000012</v>
      </c>
      <c r="E30" s="4">
        <f t="shared" si="0"/>
        <v>418400000</v>
      </c>
      <c r="F30" s="4">
        <f t="shared" si="0"/>
        <v>3951.7933333333331</v>
      </c>
      <c r="G30" s="3">
        <f t="shared" si="0"/>
        <v>6.712902866666666E-2</v>
      </c>
      <c r="H30" s="6">
        <f t="shared" si="0"/>
        <v>7.8085803000000004E-3</v>
      </c>
      <c r="I30" s="7">
        <f t="shared" si="0"/>
        <v>6.4498504999999993E-5</v>
      </c>
      <c r="J30" s="7">
        <f t="shared" si="0"/>
        <v>1.1366071333333333E-6</v>
      </c>
      <c r="K30" s="7">
        <f t="shared" si="0"/>
        <v>1.0377371733333332E-5</v>
      </c>
      <c r="L30" s="7">
        <f t="shared" si="0"/>
        <v>4.1851492666666663E-6</v>
      </c>
      <c r="M30" s="6">
        <f t="shared" si="0"/>
        <v>5.1440600333333333E-3</v>
      </c>
      <c r="N30" s="7">
        <f t="shared" si="0"/>
        <v>7.1145468666666657E-5</v>
      </c>
      <c r="O30" s="8">
        <f t="shared" si="0"/>
        <v>1.4996707233333335</v>
      </c>
      <c r="P30" s="3">
        <f t="shared" si="0"/>
        <v>8.8279024666666674E-3</v>
      </c>
      <c r="Q30" s="7">
        <f t="shared" si="0"/>
        <v>3.2486205666666664E-8</v>
      </c>
      <c r="R30" s="7">
        <f t="shared" si="0"/>
        <v>5.3467355333333332E-10</v>
      </c>
      <c r="S30" s="9">
        <f t="shared" si="0"/>
        <v>-3.0400515000000004E-4</v>
      </c>
      <c r="T30" s="7">
        <f t="shared" si="0"/>
        <v>9.1270812666666656E-6</v>
      </c>
    </row>
    <row r="31" spans="1:40" x14ac:dyDescent="0.3">
      <c r="A31" t="s">
        <v>34</v>
      </c>
      <c r="B31" t="s">
        <v>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s="2" t="s">
        <v>34</v>
      </c>
      <c r="V31" t="s">
        <v>3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</row>
    <row r="32" spans="1:40" x14ac:dyDescent="0.3">
      <c r="A32" t="s">
        <v>4</v>
      </c>
      <c r="B32" t="s">
        <v>5</v>
      </c>
      <c r="C32" t="s">
        <v>6</v>
      </c>
      <c r="D32" t="s">
        <v>7</v>
      </c>
      <c r="E32" t="s">
        <v>8</v>
      </c>
      <c r="F32" t="s">
        <v>9</v>
      </c>
      <c r="G32" t="s">
        <v>10</v>
      </c>
      <c r="H32" t="s">
        <v>11</v>
      </c>
      <c r="I32" t="s">
        <v>12</v>
      </c>
      <c r="J32" t="s">
        <v>13</v>
      </c>
      <c r="K32" t="s">
        <v>14</v>
      </c>
      <c r="L32" t="s">
        <v>15</v>
      </c>
      <c r="M32" t="s">
        <v>16</v>
      </c>
      <c r="N32" t="s">
        <v>17</v>
      </c>
      <c r="O32" t="s">
        <v>18</v>
      </c>
      <c r="P32" t="s">
        <v>19</v>
      </c>
      <c r="Q32" t="s">
        <v>20</v>
      </c>
      <c r="R32" t="s">
        <v>21</v>
      </c>
      <c r="S32" t="s">
        <v>22</v>
      </c>
      <c r="T32" t="s">
        <v>23</v>
      </c>
      <c r="U32" s="3" t="s">
        <v>4</v>
      </c>
      <c r="V32" t="s">
        <v>5</v>
      </c>
      <c r="W32" t="s">
        <v>6</v>
      </c>
      <c r="X32" t="s">
        <v>7</v>
      </c>
      <c r="Y32" t="s">
        <v>8</v>
      </c>
      <c r="Z32" t="s">
        <v>9</v>
      </c>
      <c r="AA32" t="s">
        <v>10</v>
      </c>
      <c r="AB32" t="s">
        <v>11</v>
      </c>
      <c r="AC32" t="s">
        <v>12</v>
      </c>
      <c r="AD32" t="s">
        <v>13</v>
      </c>
      <c r="AE32" t="s">
        <v>14</v>
      </c>
      <c r="AF32" t="s">
        <v>15</v>
      </c>
      <c r="AG32" t="s">
        <v>16</v>
      </c>
      <c r="AH32" t="s">
        <v>17</v>
      </c>
      <c r="AI32" t="s">
        <v>18</v>
      </c>
      <c r="AJ32" t="s">
        <v>19</v>
      </c>
      <c r="AK32" t="s">
        <v>20</v>
      </c>
      <c r="AL32" t="s">
        <v>21</v>
      </c>
      <c r="AM32" t="s">
        <v>22</v>
      </c>
      <c r="AN32" t="s">
        <v>23</v>
      </c>
    </row>
    <row r="33" spans="1:40" x14ac:dyDescent="0.3">
      <c r="A33" t="s">
        <v>24</v>
      </c>
      <c r="B33">
        <v>6.3976899999999999</v>
      </c>
      <c r="C33" s="20">
        <v>1.2879800000000001E-4</v>
      </c>
      <c r="D33">
        <v>6.4</v>
      </c>
      <c r="E33" s="20">
        <v>416697000</v>
      </c>
      <c r="F33" s="20">
        <v>8388.9599999999991</v>
      </c>
      <c r="G33">
        <v>7.0098304E-2</v>
      </c>
      <c r="H33">
        <v>6.3440616999999998E-4</v>
      </c>
      <c r="I33" s="20">
        <v>7.0759488000000006E-5</v>
      </c>
      <c r="J33" s="20">
        <v>4.8400994E-7</v>
      </c>
      <c r="K33" s="20">
        <v>5.7042357E-9</v>
      </c>
      <c r="L33" t="s">
        <v>31</v>
      </c>
      <c r="M33">
        <v>6.7727598E-3</v>
      </c>
      <c r="N33">
        <v>1.0253001E-4</v>
      </c>
      <c r="O33">
        <v>1.7437491000000001</v>
      </c>
      <c r="P33">
        <v>9.5711961999999998E-3</v>
      </c>
      <c r="Q33" s="20">
        <v>2.6582349000000001E-8</v>
      </c>
      <c r="R33" s="20">
        <v>4.6272761000000002E-10</v>
      </c>
      <c r="S33">
        <v>5.6879000999999997E-4</v>
      </c>
      <c r="T33" s="20">
        <v>1.0494033999999999E-5</v>
      </c>
      <c r="U33" s="3" t="s">
        <v>24</v>
      </c>
      <c r="V33">
        <v>6.4084099999999999</v>
      </c>
      <c r="W33" s="20">
        <v>1.0737E-4</v>
      </c>
      <c r="X33">
        <v>6.4</v>
      </c>
      <c r="Y33" s="20">
        <v>416000000</v>
      </c>
      <c r="Z33" s="20">
        <v>6969.87</v>
      </c>
      <c r="AA33">
        <v>6.4856914000000002E-2</v>
      </c>
      <c r="AB33">
        <v>4.9854640000000002E-4</v>
      </c>
      <c r="AC33" s="20">
        <v>6.4021198999999993E-5</v>
      </c>
      <c r="AD33" s="20">
        <v>3.9365800999999997E-7</v>
      </c>
      <c r="AE33" s="20">
        <v>1.4353432999999999E-9</v>
      </c>
      <c r="AF33" t="s">
        <v>31</v>
      </c>
      <c r="AG33">
        <v>6.5899195999999998E-3</v>
      </c>
      <c r="AH33" s="20">
        <v>9.2958935000000004E-5</v>
      </c>
      <c r="AI33">
        <v>1.869148</v>
      </c>
      <c r="AJ33">
        <v>8.9621786000000005E-3</v>
      </c>
      <c r="AK33" s="20">
        <v>2.7356149000000001E-8</v>
      </c>
      <c r="AL33" s="20">
        <v>4.4706780000000001E-10</v>
      </c>
      <c r="AM33">
        <v>2.1628557999999999E-4</v>
      </c>
      <c r="AN33" s="20">
        <v>9.9825550000000002E-6</v>
      </c>
    </row>
    <row r="34" spans="1:40" x14ac:dyDescent="0.3">
      <c r="A34" t="s">
        <v>25</v>
      </c>
      <c r="B34">
        <v>6.3708499999999999</v>
      </c>
      <c r="C34" s="20">
        <v>8.4573999999999994E-5</v>
      </c>
      <c r="D34">
        <v>6.4</v>
      </c>
      <c r="E34" s="20">
        <v>418453000</v>
      </c>
      <c r="F34" s="20">
        <v>5555.03</v>
      </c>
      <c r="G34">
        <v>9.3399846999999994E-2</v>
      </c>
      <c r="H34">
        <v>1.2631854E-2</v>
      </c>
      <c r="I34" s="20">
        <v>7.2735204999999995E-5</v>
      </c>
      <c r="J34" s="20">
        <v>1.4254417E-6</v>
      </c>
      <c r="K34" s="20">
        <v>1.402562E-5</v>
      </c>
      <c r="L34" s="20">
        <v>3.9464192000000002E-6</v>
      </c>
      <c r="M34">
        <v>6.8198418000000004E-3</v>
      </c>
      <c r="N34" s="20">
        <v>9.3995972000000003E-5</v>
      </c>
      <c r="O34">
        <v>1.6007445</v>
      </c>
      <c r="P34">
        <v>8.6833844000000007E-3</v>
      </c>
      <c r="Q34" s="20">
        <v>2.9838468000000003E-8</v>
      </c>
      <c r="R34" s="20">
        <v>4.8191991000000004E-10</v>
      </c>
      <c r="S34">
        <v>3.2656911000000002E-4</v>
      </c>
      <c r="T34" s="20">
        <v>1.0985648E-5</v>
      </c>
      <c r="U34" s="3" t="s">
        <v>25</v>
      </c>
      <c r="V34">
        <v>6.3824800000000002</v>
      </c>
      <c r="W34" s="20">
        <v>6.9249499999999995E-5</v>
      </c>
      <c r="X34">
        <v>6.4</v>
      </c>
      <c r="Y34" s="20">
        <v>417691000</v>
      </c>
      <c r="Z34" s="20">
        <v>4531.92</v>
      </c>
      <c r="AA34">
        <v>6.6858891000000004E-2</v>
      </c>
      <c r="AB34">
        <v>8.7038464999999992E-3</v>
      </c>
      <c r="AC34" s="20">
        <v>6.3683859000000003E-5</v>
      </c>
      <c r="AD34" s="20">
        <v>1.1591454999999999E-6</v>
      </c>
      <c r="AE34" s="20">
        <v>5.3925728000000003E-6</v>
      </c>
      <c r="AF34" s="20">
        <v>5.1538509000000001E-6</v>
      </c>
      <c r="AG34">
        <v>6.6364531000000001E-3</v>
      </c>
      <c r="AH34" s="20">
        <v>8.7205666999999994E-5</v>
      </c>
      <c r="AI34">
        <v>1.7341131999999999</v>
      </c>
      <c r="AJ34">
        <v>8.3165753000000002E-3</v>
      </c>
      <c r="AK34" s="20">
        <v>3.0404318000000001E-8</v>
      </c>
      <c r="AL34" s="20">
        <v>4.7063150999999996E-10</v>
      </c>
      <c r="AM34" s="20">
        <v>-2.910175E-5</v>
      </c>
      <c r="AN34" s="20">
        <v>1.0745211E-5</v>
      </c>
    </row>
    <row r="35" spans="1:40" x14ac:dyDescent="0.3">
      <c r="A35" t="s">
        <v>28</v>
      </c>
      <c r="B35">
        <v>6.3742900000000002</v>
      </c>
      <c r="C35" s="20">
        <v>8.6270499999999993E-5</v>
      </c>
      <c r="D35">
        <v>6.4</v>
      </c>
      <c r="E35" s="20">
        <v>418227000</v>
      </c>
      <c r="F35" s="20">
        <v>5660.33</v>
      </c>
      <c r="G35">
        <v>7.1675965999999994E-2</v>
      </c>
      <c r="H35">
        <v>1.0279613999999999E-2</v>
      </c>
      <c r="I35" s="20">
        <v>6.7901229000000006E-5</v>
      </c>
      <c r="J35" s="20">
        <v>1.2622003999999999E-6</v>
      </c>
      <c r="K35" s="20">
        <v>1.4986483E-6</v>
      </c>
      <c r="L35" s="20">
        <v>6.0566571999999997E-6</v>
      </c>
      <c r="M35">
        <v>8.3707934999999994E-3</v>
      </c>
      <c r="N35" s="20">
        <v>9.9692441000000007E-5</v>
      </c>
      <c r="O35">
        <v>2.3609659999999999</v>
      </c>
      <c r="P35">
        <v>7.5031565999999997E-3</v>
      </c>
      <c r="Q35" s="20">
        <v>2.8850124E-8</v>
      </c>
      <c r="R35" s="20">
        <v>4.0419631000000001E-10</v>
      </c>
      <c r="S35" s="20">
        <v>3.5867739999999998E-5</v>
      </c>
      <c r="T35" s="20">
        <v>1.1707343999999999E-5</v>
      </c>
      <c r="U35" s="3" t="s">
        <v>28</v>
      </c>
      <c r="V35">
        <v>6.3840000000000003</v>
      </c>
      <c r="W35" s="20">
        <v>7.9609299999999997E-5</v>
      </c>
      <c r="X35">
        <v>6.4</v>
      </c>
      <c r="Y35" s="20">
        <v>417591000</v>
      </c>
      <c r="Z35" s="20">
        <v>5207.41</v>
      </c>
      <c r="AA35">
        <v>6.3280236000000004E-2</v>
      </c>
      <c r="AB35">
        <v>7.6404092E-3</v>
      </c>
      <c r="AC35" s="20">
        <v>6.1535921000000006E-5</v>
      </c>
      <c r="AD35" s="20">
        <v>1.0587691000000001E-6</v>
      </c>
      <c r="AE35" s="20">
        <v>1.1060085E-7</v>
      </c>
      <c r="AF35" s="20">
        <v>5.3902259E-6</v>
      </c>
      <c r="AG35">
        <v>8.0272788000000008E-3</v>
      </c>
      <c r="AH35" s="20">
        <v>9.5587584000000002E-5</v>
      </c>
      <c r="AI35">
        <v>-3.0242013999999999</v>
      </c>
      <c r="AJ35">
        <v>7.5681506999999999E-3</v>
      </c>
      <c r="AK35" s="20">
        <v>2.9369941999999999E-8</v>
      </c>
      <c r="AL35" s="20">
        <v>4.1713092E-10</v>
      </c>
      <c r="AM35">
        <v>-3.2054461999999999E-4</v>
      </c>
      <c r="AN35" s="20">
        <v>1.1906798E-5</v>
      </c>
    </row>
    <row r="36" spans="1:40" x14ac:dyDescent="0.3">
      <c r="A36" t="s">
        <v>26</v>
      </c>
      <c r="B36">
        <v>6.3809399999999998</v>
      </c>
      <c r="C36" s="20">
        <v>9.9881000000000001E-5</v>
      </c>
      <c r="D36">
        <v>6.4</v>
      </c>
      <c r="E36" s="20">
        <v>417792000</v>
      </c>
      <c r="F36" s="20">
        <v>6534.77</v>
      </c>
      <c r="G36">
        <v>7.8391372000000001E-2</v>
      </c>
      <c r="H36">
        <v>7.8486249000000001E-3</v>
      </c>
      <c r="I36" s="20">
        <v>7.0465307000000004E-5</v>
      </c>
      <c r="J36" s="20">
        <v>1.0572174E-6</v>
      </c>
      <c r="K36" s="20">
        <v>5.1766574000000004E-6</v>
      </c>
      <c r="L36" t="s">
        <v>31</v>
      </c>
      <c r="M36">
        <v>7.3211316999999996E-3</v>
      </c>
      <c r="N36" s="20">
        <v>9.8739472999999998E-5</v>
      </c>
      <c r="O36">
        <v>1.9018199</v>
      </c>
      <c r="P36">
        <v>8.5859123999999995E-3</v>
      </c>
      <c r="Q36" s="20">
        <v>2.8423647E-8</v>
      </c>
      <c r="R36" s="20">
        <v>4.4961461000000002E-10</v>
      </c>
      <c r="S36">
        <v>3.1040895000000003E-4</v>
      </c>
      <c r="T36" s="20">
        <v>1.1062342000000001E-5</v>
      </c>
      <c r="U36" s="3" t="s">
        <v>26</v>
      </c>
      <c r="V36">
        <v>6.3916300000000001</v>
      </c>
      <c r="W36" s="20">
        <v>8.5409500000000003E-5</v>
      </c>
      <c r="X36">
        <v>6.4</v>
      </c>
      <c r="Y36" s="20">
        <v>417094000</v>
      </c>
      <c r="Z36" s="20">
        <v>5569.73</v>
      </c>
      <c r="AA36">
        <v>6.4998680000000003E-2</v>
      </c>
      <c r="AB36">
        <v>5.6142674000000002E-3</v>
      </c>
      <c r="AC36" s="20">
        <v>6.3080325999999998E-5</v>
      </c>
      <c r="AD36" s="20">
        <v>8.7052419999999998E-7</v>
      </c>
      <c r="AE36" s="20">
        <v>1.8348697E-6</v>
      </c>
      <c r="AF36" t="s">
        <v>31</v>
      </c>
      <c r="AG36">
        <v>7.0845505E-3</v>
      </c>
      <c r="AH36" s="20">
        <v>9.1917395000000002E-5</v>
      </c>
      <c r="AI36">
        <v>0.19301995</v>
      </c>
      <c r="AJ36">
        <v>8.2823015999999999E-3</v>
      </c>
      <c r="AK36" s="20">
        <v>2.9043469999999998E-8</v>
      </c>
      <c r="AL36" s="20">
        <v>4.4494341000000001E-10</v>
      </c>
      <c r="AM36" s="20">
        <v>-4.4453597999999999E-5</v>
      </c>
      <c r="AN36" s="20">
        <v>1.0878188000000001E-5</v>
      </c>
    </row>
    <row r="37" spans="1:40" x14ac:dyDescent="0.3">
      <c r="A37" s="3" t="s">
        <v>35</v>
      </c>
      <c r="B37" s="3" t="s">
        <v>2</v>
      </c>
      <c r="C37" s="3" t="s">
        <v>2</v>
      </c>
      <c r="D37" s="3" t="s">
        <v>2</v>
      </c>
      <c r="E37" s="3" t="s">
        <v>2</v>
      </c>
      <c r="F37" s="3" t="s">
        <v>2</v>
      </c>
      <c r="G37" s="3" t="s">
        <v>2</v>
      </c>
      <c r="H37" s="3" t="s">
        <v>2</v>
      </c>
      <c r="I37" s="3" t="s">
        <v>2</v>
      </c>
      <c r="J37" s="3" t="s">
        <v>2</v>
      </c>
      <c r="K37" s="3" t="s">
        <v>2</v>
      </c>
      <c r="L37" s="3" t="s">
        <v>2</v>
      </c>
      <c r="M37" s="3" t="s">
        <v>2</v>
      </c>
      <c r="N37" s="3" t="s">
        <v>2</v>
      </c>
      <c r="O37" s="3" t="s">
        <v>2</v>
      </c>
      <c r="P37" s="3" t="s">
        <v>2</v>
      </c>
      <c r="Q37" s="3" t="s">
        <v>2</v>
      </c>
      <c r="R37" s="3" t="s">
        <v>2</v>
      </c>
      <c r="S37" s="3" t="s">
        <v>2</v>
      </c>
      <c r="T37" s="3" t="s">
        <v>2</v>
      </c>
    </row>
    <row r="38" spans="1:40" x14ac:dyDescent="0.3">
      <c r="A38" s="3" t="s">
        <v>4</v>
      </c>
      <c r="B38" s="3" t="s">
        <v>5</v>
      </c>
      <c r="C38" s="3" t="s">
        <v>6</v>
      </c>
      <c r="D38" s="3" t="s">
        <v>7</v>
      </c>
      <c r="E38" s="3" t="s">
        <v>8</v>
      </c>
      <c r="F38" s="3" t="s">
        <v>9</v>
      </c>
      <c r="G38" s="3" t="s">
        <v>10</v>
      </c>
      <c r="H38" s="3" t="s">
        <v>11</v>
      </c>
      <c r="I38" s="3" t="s">
        <v>12</v>
      </c>
      <c r="J38" s="3" t="s">
        <v>13</v>
      </c>
      <c r="K38" s="3" t="s">
        <v>14</v>
      </c>
      <c r="L38" s="3" t="s">
        <v>15</v>
      </c>
      <c r="M38" s="3" t="s">
        <v>16</v>
      </c>
      <c r="N38" s="3" t="s">
        <v>17</v>
      </c>
      <c r="O38" s="3" t="s">
        <v>18</v>
      </c>
      <c r="P38" s="3" t="s">
        <v>19</v>
      </c>
      <c r="Q38" s="3" t="s">
        <v>20</v>
      </c>
      <c r="R38" s="3" t="s">
        <v>21</v>
      </c>
      <c r="S38" s="3" t="s">
        <v>22</v>
      </c>
      <c r="T38" s="3" t="s">
        <v>23</v>
      </c>
    </row>
    <row r="39" spans="1:40" x14ac:dyDescent="0.3">
      <c r="A39" s="3" t="s">
        <v>24</v>
      </c>
      <c r="B39" s="3">
        <v>6.3734900000000003</v>
      </c>
      <c r="C39" s="18">
        <v>4.19858E-5</v>
      </c>
      <c r="D39" s="3">
        <v>6.4</v>
      </c>
      <c r="E39" s="18">
        <v>418279000</v>
      </c>
      <c r="F39" s="18">
        <v>2755.44</v>
      </c>
      <c r="G39" s="3">
        <v>9.7675412000000003E-2</v>
      </c>
      <c r="H39" s="3">
        <v>2.9314804E-2</v>
      </c>
      <c r="I39" s="18">
        <v>6.6029095999999997E-5</v>
      </c>
      <c r="J39" s="18">
        <v>2.7650004999999999E-6</v>
      </c>
      <c r="K39" s="18">
        <v>2.4711893000000001E-5</v>
      </c>
      <c r="L39" s="18">
        <v>6.8692119999999997E-6</v>
      </c>
      <c r="M39" s="3">
        <v>7.4244035000000002E-3</v>
      </c>
      <c r="N39" s="3">
        <v>1.4480687999999999E-4</v>
      </c>
      <c r="O39" s="3">
        <v>0.39107303999999998</v>
      </c>
      <c r="P39" s="3">
        <v>1.1405411000000001E-2</v>
      </c>
      <c r="Q39" s="18">
        <v>3.2112983999999999E-8</v>
      </c>
      <c r="R39" s="18">
        <v>6.6377098E-10</v>
      </c>
      <c r="S39" s="18">
        <v>-6.3081634000000002E-5</v>
      </c>
      <c r="T39" s="18">
        <v>1.5255176E-5</v>
      </c>
    </row>
    <row r="40" spans="1:40" x14ac:dyDescent="0.3">
      <c r="A40" s="3" t="s">
        <v>25</v>
      </c>
      <c r="B40" s="3">
        <v>6.36442</v>
      </c>
      <c r="C40" s="18">
        <v>3.9026000000000002E-5</v>
      </c>
      <c r="D40" s="3">
        <v>6.4</v>
      </c>
      <c r="E40" s="18">
        <v>418876000</v>
      </c>
      <c r="F40" s="18">
        <v>2568.5100000000002</v>
      </c>
      <c r="G40" s="3">
        <v>9.2543168999999995E-2</v>
      </c>
      <c r="H40" s="3">
        <v>2.6131040000000001E-2</v>
      </c>
      <c r="I40" s="18">
        <v>6.4417822999999995E-5</v>
      </c>
      <c r="J40" s="18">
        <v>2.8952186E-6</v>
      </c>
      <c r="K40" s="18">
        <v>2.9754893999999999E-5</v>
      </c>
      <c r="L40" s="18">
        <v>5.1514484999999997E-6</v>
      </c>
      <c r="M40" s="3">
        <v>8.2443250000000003E-3</v>
      </c>
      <c r="N40" s="3">
        <v>1.3949357E-4</v>
      </c>
      <c r="O40" s="3">
        <v>0.53658428000000002</v>
      </c>
      <c r="P40" s="3">
        <v>9.9327666000000002E-3</v>
      </c>
      <c r="Q40" s="18">
        <v>3.1688690999999998E-8</v>
      </c>
      <c r="R40" s="18">
        <v>5.6701419000000004E-10</v>
      </c>
      <c r="S40" s="3">
        <v>-2.0359514E-4</v>
      </c>
      <c r="T40" s="18">
        <v>1.4658721999999999E-5</v>
      </c>
    </row>
    <row r="41" spans="1:40" x14ac:dyDescent="0.3">
      <c r="A41" s="3" t="s">
        <v>28</v>
      </c>
      <c r="B41" s="3">
        <v>6.3735900000000001</v>
      </c>
      <c r="C41" s="18">
        <v>1.2929099999999999E-4</v>
      </c>
      <c r="D41" s="3">
        <v>6.4</v>
      </c>
      <c r="E41" s="18">
        <v>418273000</v>
      </c>
      <c r="F41" s="18">
        <v>8484.83</v>
      </c>
      <c r="G41" s="3">
        <v>3.4582005999999998E-2</v>
      </c>
      <c r="H41" s="3">
        <v>4.4797295000000001E-2</v>
      </c>
      <c r="I41" s="18">
        <v>9.2352969000000004E-5</v>
      </c>
      <c r="J41" s="18">
        <v>9.7444219999999996E-6</v>
      </c>
      <c r="K41" s="18">
        <v>4.8565647999999996E-6</v>
      </c>
      <c r="L41" s="18">
        <v>4.7607731E-5</v>
      </c>
      <c r="M41" s="3">
        <v>1.1927857E-3</v>
      </c>
      <c r="N41" s="18">
        <v>7.0163970999999995E-5</v>
      </c>
      <c r="O41" s="3">
        <v>-2.5064540000000002</v>
      </c>
      <c r="P41" s="3">
        <v>3.670441E-2</v>
      </c>
      <c r="Q41" s="18">
        <v>5.6474455000000003E-8</v>
      </c>
      <c r="R41" s="18">
        <v>4.2413465000000002E-9</v>
      </c>
      <c r="S41" s="3">
        <v>-3.0073813000000002E-4</v>
      </c>
      <c r="T41" s="18">
        <v>1.1760601999999999E-5</v>
      </c>
    </row>
    <row r="42" spans="1:40" x14ac:dyDescent="0.3">
      <c r="A42" s="3" t="s">
        <v>36</v>
      </c>
      <c r="B42" s="3">
        <v>6.37643</v>
      </c>
      <c r="C42" s="18">
        <v>1.85577E-4</v>
      </c>
      <c r="D42" s="3">
        <v>6.4</v>
      </c>
      <c r="E42" s="18">
        <v>418087000</v>
      </c>
      <c r="F42" s="18">
        <v>12167.8</v>
      </c>
      <c r="G42" s="3">
        <v>2.9634068E-2</v>
      </c>
      <c r="H42" s="3">
        <v>2.3403796000000001E-2</v>
      </c>
      <c r="I42" s="18">
        <v>7.0293511000000004E-5</v>
      </c>
      <c r="J42" s="18">
        <v>6.3616198E-6</v>
      </c>
      <c r="K42" s="18">
        <v>1.1757679E-5</v>
      </c>
      <c r="L42" s="18">
        <v>2.6797359E-5</v>
      </c>
      <c r="M42" s="3">
        <v>1.3137072E-3</v>
      </c>
      <c r="N42" s="18">
        <v>8.9023388999999995E-5</v>
      </c>
      <c r="O42" s="3">
        <v>2.5851853</v>
      </c>
      <c r="P42" s="3">
        <v>4.2117150999999999E-2</v>
      </c>
      <c r="Q42" s="18">
        <v>4.4362559999999997E-8</v>
      </c>
      <c r="R42" s="18">
        <v>3.6011646999999998E-9</v>
      </c>
      <c r="S42" s="3">
        <v>-3.0472438999999999E-4</v>
      </c>
      <c r="T42" s="18">
        <v>1.3106152E-5</v>
      </c>
    </row>
    <row r="43" spans="1:40" x14ac:dyDescent="0.3">
      <c r="A43" s="3" t="s">
        <v>26</v>
      </c>
      <c r="B43" s="3">
        <v>6.3719799999999998</v>
      </c>
      <c r="C43" s="18">
        <v>9.8969900000000003E-5</v>
      </c>
      <c r="D43" s="3">
        <v>6.4</v>
      </c>
      <c r="E43" s="18">
        <v>418379000</v>
      </c>
      <c r="F43" s="18">
        <v>6494.15</v>
      </c>
      <c r="G43" s="3">
        <v>6.3608663999999995E-2</v>
      </c>
      <c r="H43" s="3">
        <v>3.0911734E-2</v>
      </c>
      <c r="I43" s="18">
        <v>7.3273349999999999E-5</v>
      </c>
      <c r="J43" s="18">
        <v>5.4415651999999997E-6</v>
      </c>
      <c r="K43" s="18">
        <v>1.7770258E-5</v>
      </c>
      <c r="L43" s="18">
        <v>2.1606438000000001E-5</v>
      </c>
      <c r="M43" s="3">
        <v>4.5438053000000003E-3</v>
      </c>
      <c r="N43" s="3">
        <v>1.1087195E-4</v>
      </c>
      <c r="O43" s="3">
        <v>0.25159715999999999</v>
      </c>
      <c r="P43" s="3">
        <v>2.5039934999999999E-2</v>
      </c>
      <c r="Q43" s="18">
        <v>4.1159672999999998E-8</v>
      </c>
      <c r="R43" s="18">
        <v>2.2683240999999999E-9</v>
      </c>
      <c r="S43" s="3">
        <v>-2.1803482000000001E-4</v>
      </c>
      <c r="T43" s="18">
        <v>1.3695162999999999E-5</v>
      </c>
    </row>
    <row r="44" spans="1:40" x14ac:dyDescent="0.3">
      <c r="A44" s="2">
        <v>45450</v>
      </c>
      <c r="B44" s="3" t="s">
        <v>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 t="s">
        <v>37</v>
      </c>
      <c r="V44" s="3" t="s">
        <v>38</v>
      </c>
      <c r="W44" s="3" t="s">
        <v>2</v>
      </c>
      <c r="X44" s="3" t="s">
        <v>2</v>
      </c>
      <c r="Y44" s="3" t="s">
        <v>2</v>
      </c>
      <c r="Z44" s="3" t="s">
        <v>2</v>
      </c>
      <c r="AA44" s="3" t="s">
        <v>2</v>
      </c>
      <c r="AB44" s="3" t="s">
        <v>2</v>
      </c>
      <c r="AC44" s="3" t="s">
        <v>2</v>
      </c>
      <c r="AD44" s="3" t="s">
        <v>2</v>
      </c>
      <c r="AE44" s="3" t="s">
        <v>2</v>
      </c>
      <c r="AF44" s="3" t="s">
        <v>2</v>
      </c>
      <c r="AG44" s="3" t="s">
        <v>2</v>
      </c>
      <c r="AH44" s="3" t="s">
        <v>2</v>
      </c>
      <c r="AI44" s="3" t="s">
        <v>2</v>
      </c>
      <c r="AJ44" s="3" t="s">
        <v>2</v>
      </c>
      <c r="AK44" s="3" t="s">
        <v>2</v>
      </c>
      <c r="AL44" s="3" t="s">
        <v>2</v>
      </c>
      <c r="AM44" s="3" t="s">
        <v>2</v>
      </c>
      <c r="AN44" s="3" t="s">
        <v>2</v>
      </c>
    </row>
    <row r="45" spans="1:40" x14ac:dyDescent="0.3">
      <c r="A45" s="3" t="s">
        <v>4</v>
      </c>
      <c r="B45" s="3" t="s">
        <v>5</v>
      </c>
      <c r="C45" s="3" t="s">
        <v>6</v>
      </c>
      <c r="D45" s="3" t="s">
        <v>7</v>
      </c>
      <c r="E45" s="3" t="s">
        <v>8</v>
      </c>
      <c r="F45" s="3" t="s">
        <v>9</v>
      </c>
      <c r="G45" s="3" t="s">
        <v>10</v>
      </c>
      <c r="H45" s="3" t="s">
        <v>11</v>
      </c>
      <c r="I45" s="3" t="s">
        <v>12</v>
      </c>
      <c r="J45" s="3" t="s">
        <v>13</v>
      </c>
      <c r="K45" s="3" t="s">
        <v>14</v>
      </c>
      <c r="L45" s="3" t="s">
        <v>15</v>
      </c>
      <c r="M45" s="3" t="s">
        <v>16</v>
      </c>
      <c r="N45" s="3" t="s">
        <v>17</v>
      </c>
      <c r="O45" s="3" t="s">
        <v>18</v>
      </c>
      <c r="P45" s="3" t="s">
        <v>19</v>
      </c>
      <c r="Q45" s="3" t="s">
        <v>20</v>
      </c>
      <c r="R45" s="3" t="s">
        <v>21</v>
      </c>
      <c r="S45" s="3" t="s">
        <v>22</v>
      </c>
      <c r="T45" s="3" t="s">
        <v>23</v>
      </c>
      <c r="U45" s="3" t="s">
        <v>4</v>
      </c>
      <c r="V45" s="3" t="s">
        <v>5</v>
      </c>
      <c r="W45" s="3" t="s">
        <v>6</v>
      </c>
      <c r="X45" s="3" t="s">
        <v>7</v>
      </c>
      <c r="Y45" s="3" t="s">
        <v>8</v>
      </c>
      <c r="Z45" s="3" t="s">
        <v>9</v>
      </c>
      <c r="AA45" s="3" t="s">
        <v>10</v>
      </c>
      <c r="AB45" s="3" t="s">
        <v>11</v>
      </c>
      <c r="AC45" s="3" t="s">
        <v>12</v>
      </c>
      <c r="AD45" s="3" t="s">
        <v>13</v>
      </c>
      <c r="AE45" s="3" t="s">
        <v>14</v>
      </c>
      <c r="AF45" s="3" t="s">
        <v>15</v>
      </c>
      <c r="AG45" s="3" t="s">
        <v>16</v>
      </c>
      <c r="AH45" s="3" t="s">
        <v>17</v>
      </c>
      <c r="AI45" s="3" t="s">
        <v>18</v>
      </c>
      <c r="AJ45" s="3" t="s">
        <v>19</v>
      </c>
      <c r="AK45" s="3" t="s">
        <v>20</v>
      </c>
      <c r="AL45" s="3" t="s">
        <v>21</v>
      </c>
      <c r="AM45" s="3" t="s">
        <v>22</v>
      </c>
      <c r="AN45" s="3" t="s">
        <v>23</v>
      </c>
    </row>
    <row r="46" spans="1:40" x14ac:dyDescent="0.3">
      <c r="A46" s="3" t="s">
        <v>24</v>
      </c>
      <c r="B46" s="3">
        <v>6.3214199999999998</v>
      </c>
      <c r="C46" s="18">
        <v>5.0317600000000001E-5</v>
      </c>
      <c r="D46" s="3">
        <v>6.4</v>
      </c>
      <c r="E46" s="18">
        <v>421725000</v>
      </c>
      <c r="F46" s="18">
        <v>3356.87</v>
      </c>
      <c r="G46" s="3">
        <v>4.4695875000000003E-2</v>
      </c>
      <c r="H46" s="3">
        <v>6.6602668000000004E-2</v>
      </c>
      <c r="I46" s="3">
        <v>1.0294935E-4</v>
      </c>
      <c r="J46" s="18">
        <v>1.1033732E-5</v>
      </c>
      <c r="K46" s="18">
        <v>2.0047538999999999E-6</v>
      </c>
      <c r="L46" s="18">
        <v>5.6489827999999999E-5</v>
      </c>
      <c r="M46" s="3">
        <v>1.6785049E-3</v>
      </c>
      <c r="N46" s="18">
        <v>6.9657081000000002E-5</v>
      </c>
      <c r="O46" s="3">
        <v>3.0368241</v>
      </c>
      <c r="P46" s="3">
        <v>2.5475050999999999E-2</v>
      </c>
      <c r="Q46" s="18">
        <v>7.2796165000000002E-8</v>
      </c>
      <c r="R46" s="18">
        <v>4.1614566E-9</v>
      </c>
      <c r="S46" s="18">
        <v>3.3993783E-5</v>
      </c>
      <c r="T46" s="18">
        <v>1.3461322E-5</v>
      </c>
      <c r="U46" s="3" t="s">
        <v>24</v>
      </c>
      <c r="V46" s="3">
        <v>6.3224900000000002</v>
      </c>
      <c r="W46" s="18">
        <v>4.7006399999999998E-5</v>
      </c>
      <c r="X46" s="3">
        <v>6.4</v>
      </c>
      <c r="Y46" s="18">
        <v>421654000</v>
      </c>
      <c r="Z46" s="18">
        <v>3134.91</v>
      </c>
      <c r="AA46" s="3">
        <v>3.1978007000000003E-2</v>
      </c>
      <c r="AB46" s="3">
        <v>4.4274807999999999E-2</v>
      </c>
      <c r="AC46" s="18">
        <v>7.6869634999999996E-5</v>
      </c>
      <c r="AD46" s="18">
        <v>8.1321320000000005E-6</v>
      </c>
      <c r="AE46" s="18">
        <v>6.5347506999999996E-7</v>
      </c>
      <c r="AF46" s="18">
        <v>6.2147801999999994E-5</v>
      </c>
      <c r="AG46" s="3">
        <v>1.9343959999999999E-3</v>
      </c>
      <c r="AH46" s="18">
        <v>7.4848233000000003E-5</v>
      </c>
      <c r="AI46" s="3">
        <v>-0.34554741</v>
      </c>
      <c r="AJ46" s="3">
        <v>2.3300527000000001E-2</v>
      </c>
      <c r="AK46" s="18">
        <v>6.3559281999999997E-8</v>
      </c>
      <c r="AL46" s="18">
        <v>3.1311795999999998E-9</v>
      </c>
      <c r="AM46" s="18">
        <v>-7.3497003000000006E-5</v>
      </c>
      <c r="AN46" s="18">
        <v>1.3269585999999999E-5</v>
      </c>
    </row>
    <row r="47" spans="1:40" x14ac:dyDescent="0.3">
      <c r="A47" s="3" t="s">
        <v>25</v>
      </c>
      <c r="B47" s="3">
        <v>6.3548499999999999</v>
      </c>
      <c r="C47" s="18">
        <v>9.9077400000000001E-5</v>
      </c>
      <c r="D47" s="3">
        <v>6.4</v>
      </c>
      <c r="E47" s="18">
        <v>419506000</v>
      </c>
      <c r="F47" s="18">
        <v>6540.44</v>
      </c>
      <c r="G47" s="3">
        <v>4.0047597999999997E-2</v>
      </c>
      <c r="H47" s="3">
        <v>3.9791152000000002E-3</v>
      </c>
      <c r="I47" s="3">
        <v>1.0947640999999999E-4</v>
      </c>
      <c r="J47" s="18">
        <v>5.4777248000000003E-6</v>
      </c>
      <c r="K47" s="18">
        <v>1.0014112000000001E-8</v>
      </c>
      <c r="L47" s="3" t="s">
        <v>31</v>
      </c>
      <c r="M47" s="3">
        <v>1.1663348E-3</v>
      </c>
      <c r="N47" s="3">
        <v>9.3616116000000004E-4</v>
      </c>
      <c r="O47" s="3">
        <v>-0.94839848000000004</v>
      </c>
      <c r="P47" s="3">
        <v>0.84272654999999996</v>
      </c>
      <c r="Q47" s="18">
        <v>6.3433823999999996E-9</v>
      </c>
      <c r="R47" s="3" t="s">
        <v>31</v>
      </c>
      <c r="S47" s="3">
        <v>2.4298232000000001E-4</v>
      </c>
      <c r="T47" s="18">
        <v>1.6458309999999999E-5</v>
      </c>
      <c r="U47" s="3" t="s">
        <v>25</v>
      </c>
      <c r="V47" s="3">
        <v>6.3551599999999997</v>
      </c>
      <c r="W47" s="18">
        <v>9.4177699999999998E-5</v>
      </c>
      <c r="X47" s="3">
        <v>6.4</v>
      </c>
      <c r="Y47" s="18">
        <v>419486000</v>
      </c>
      <c r="Z47" s="18">
        <v>6216.4</v>
      </c>
      <c r="AA47" s="3">
        <v>2.0623359000000001E-2</v>
      </c>
      <c r="AB47" s="3">
        <v>2.8306978999999999E-2</v>
      </c>
      <c r="AC47" s="18">
        <v>7.0140295000000003E-5</v>
      </c>
      <c r="AD47" s="18">
        <v>9.3098743000000008E-6</v>
      </c>
      <c r="AE47" s="18">
        <v>2.6658458E-8</v>
      </c>
      <c r="AF47" s="18">
        <v>6.2498590999999994E-5</v>
      </c>
      <c r="AG47" s="3">
        <v>8.0580126999999998E-4</v>
      </c>
      <c r="AH47" s="18">
        <v>7.6320871000000004E-5</v>
      </c>
      <c r="AI47" s="3">
        <v>-1.8499137000000001</v>
      </c>
      <c r="AJ47" s="3">
        <v>5.7106537999999998E-2</v>
      </c>
      <c r="AK47" s="18">
        <v>8.0808762000000003E-8</v>
      </c>
      <c r="AL47" s="18">
        <v>1.0845765E-8</v>
      </c>
      <c r="AM47" s="3">
        <v>1.2393646999999999E-4</v>
      </c>
      <c r="AN47" s="18">
        <v>1.6594629000000001E-5</v>
      </c>
    </row>
    <row r="48" spans="1:40" x14ac:dyDescent="0.3">
      <c r="A48" s="3" t="s">
        <v>28</v>
      </c>
      <c r="B48" s="3">
        <v>6.3014099999999997</v>
      </c>
      <c r="C48" s="18">
        <v>2.5705099999999999E-5</v>
      </c>
      <c r="D48" s="3">
        <v>6.4</v>
      </c>
      <c r="E48" s="18">
        <v>423064000</v>
      </c>
      <c r="F48" s="18">
        <v>1725.79</v>
      </c>
      <c r="G48" s="3">
        <v>9.1492808999999994E-2</v>
      </c>
      <c r="H48" s="3">
        <v>5.1090528000000003E-2</v>
      </c>
      <c r="I48" s="18">
        <v>7.8005541999999999E-5</v>
      </c>
      <c r="J48" s="18">
        <v>4.5171290999999996E-6</v>
      </c>
      <c r="K48" s="18">
        <v>1.8323253999999999E-5</v>
      </c>
      <c r="L48" s="18">
        <v>1.5090995E-5</v>
      </c>
      <c r="M48" s="3">
        <v>4.8389508000000001E-3</v>
      </c>
      <c r="N48" s="18">
        <v>9.6245823999999998E-5</v>
      </c>
      <c r="O48" s="3">
        <v>-1.0995248</v>
      </c>
      <c r="P48" s="3">
        <v>1.1874688E-2</v>
      </c>
      <c r="Q48" s="18">
        <v>5.1830806999999997E-8</v>
      </c>
      <c r="R48" s="18">
        <v>1.2321561E-9</v>
      </c>
      <c r="S48" s="3">
        <v>-4.3137284999999998E-4</v>
      </c>
      <c r="T48" s="18">
        <v>1.4589092E-5</v>
      </c>
      <c r="U48" s="3" t="s">
        <v>28</v>
      </c>
      <c r="V48" s="3">
        <v>6.3020899999999997</v>
      </c>
      <c r="W48" s="18">
        <v>2.5661799999999999E-5</v>
      </c>
      <c r="X48" s="3">
        <v>6.4</v>
      </c>
      <c r="Y48" s="18">
        <v>423018000</v>
      </c>
      <c r="Z48" s="18">
        <v>1722.51</v>
      </c>
      <c r="AA48" s="3">
        <v>0.10581138</v>
      </c>
      <c r="AB48" s="3">
        <v>3.9131175999999997E-2</v>
      </c>
      <c r="AC48" s="18">
        <v>7.0465328000000001E-5</v>
      </c>
      <c r="AD48" s="18">
        <v>3.4220511999999998E-6</v>
      </c>
      <c r="AE48" s="18">
        <v>2.6567854000000001E-5</v>
      </c>
      <c r="AF48" s="18">
        <v>7.6001154000000003E-6</v>
      </c>
      <c r="AG48" s="3">
        <v>5.0470106000000004E-3</v>
      </c>
      <c r="AH48" s="18">
        <v>9.6306206999999995E-5</v>
      </c>
      <c r="AI48" s="3">
        <v>-1.8535311999999999</v>
      </c>
      <c r="AJ48" s="3">
        <v>1.1379696E-2</v>
      </c>
      <c r="AK48" s="18">
        <v>4.9976218999999997E-8</v>
      </c>
      <c r="AL48" s="18">
        <v>1.1221810000000001E-9</v>
      </c>
      <c r="AM48" s="3">
        <v>-5.4484463999999999E-4</v>
      </c>
      <c r="AN48" s="18">
        <v>1.4410147E-5</v>
      </c>
    </row>
    <row r="49" spans="1:40" x14ac:dyDescent="0.3">
      <c r="A49" s="3" t="s">
        <v>36</v>
      </c>
      <c r="B49" s="3">
        <v>6.298</v>
      </c>
      <c r="C49" s="18">
        <v>3.2418E-5</v>
      </c>
      <c r="D49" s="3">
        <v>6.4</v>
      </c>
      <c r="E49" s="18">
        <v>423293000</v>
      </c>
      <c r="F49" s="18">
        <v>2178.84</v>
      </c>
      <c r="G49" s="3">
        <v>0.10354963</v>
      </c>
      <c r="H49" s="3">
        <v>6.1975885000000001E-2</v>
      </c>
      <c r="I49" s="18">
        <v>8.9975489000000003E-5</v>
      </c>
      <c r="J49" s="18">
        <v>6.8340870999999997E-6</v>
      </c>
      <c r="K49" s="18">
        <v>2.6893492000000001E-5</v>
      </c>
      <c r="L49" s="18">
        <v>9.4185076000000002E-6</v>
      </c>
      <c r="M49" s="3">
        <v>3.4429843000000002E-3</v>
      </c>
      <c r="N49" s="18">
        <v>9.4400984999999999E-5</v>
      </c>
      <c r="O49" s="3">
        <v>0.20175599</v>
      </c>
      <c r="P49" s="3">
        <v>1.6965794999999999E-2</v>
      </c>
      <c r="Q49" s="18">
        <v>4.9714734999999997E-8</v>
      </c>
      <c r="R49" s="18">
        <v>1.6584387999999999E-9</v>
      </c>
      <c r="S49" s="18">
        <v>8.6264186000000002E-5</v>
      </c>
      <c r="T49" s="18">
        <v>1.4137687E-5</v>
      </c>
      <c r="U49" s="3" t="s">
        <v>36</v>
      </c>
      <c r="V49" s="3">
        <v>6.29908</v>
      </c>
      <c r="W49" s="18">
        <v>2.7072399999999999E-5</v>
      </c>
      <c r="X49" s="3">
        <v>6.4</v>
      </c>
      <c r="Y49" s="18">
        <v>423220000</v>
      </c>
      <c r="Z49" s="18">
        <v>1818.93</v>
      </c>
      <c r="AA49" s="3">
        <v>6.7394034000000005E-2</v>
      </c>
      <c r="AB49" s="3">
        <v>3.7421843000000003E-2</v>
      </c>
      <c r="AC49" s="18">
        <v>7.0321487999999995E-5</v>
      </c>
      <c r="AD49" s="18">
        <v>4.8237499000000003E-6</v>
      </c>
      <c r="AE49" s="18">
        <v>2.5079186E-5</v>
      </c>
      <c r="AF49" s="18">
        <v>1.2380805E-5</v>
      </c>
      <c r="AG49" s="3">
        <v>3.6409207E-3</v>
      </c>
      <c r="AH49" s="18">
        <v>9.0113566999999994E-5</v>
      </c>
      <c r="AI49" s="3">
        <v>-2.3799670000000002</v>
      </c>
      <c r="AJ49" s="3">
        <v>1.4813560999999999E-2</v>
      </c>
      <c r="AK49" s="18">
        <v>4.7702168E-8</v>
      </c>
      <c r="AL49" s="18">
        <v>1.3661312000000001E-9</v>
      </c>
      <c r="AM49" s="18">
        <v>-3.1884432999999999E-5</v>
      </c>
      <c r="AN49" s="18">
        <v>1.2922077E-5</v>
      </c>
    </row>
    <row r="50" spans="1:40" x14ac:dyDescent="0.3">
      <c r="A50" s="3" t="s">
        <v>26</v>
      </c>
      <c r="B50" s="3">
        <v>6.3189200000000003</v>
      </c>
      <c r="C50" s="18">
        <v>5.1879499999999997E-5</v>
      </c>
      <c r="D50" s="3">
        <v>6.4</v>
      </c>
      <c r="E50" s="18">
        <v>421897000</v>
      </c>
      <c r="F50" s="18">
        <v>3450.48</v>
      </c>
      <c r="G50" s="3">
        <v>6.9946477000000007E-2</v>
      </c>
      <c r="H50" s="3">
        <v>4.5912049000000003E-2</v>
      </c>
      <c r="I50" s="18">
        <v>9.5101697999999999E-5</v>
      </c>
      <c r="J50" s="18">
        <v>6.9656681999999999E-6</v>
      </c>
      <c r="K50" s="18">
        <v>1.1807878000000001E-5</v>
      </c>
      <c r="L50" s="3" t="s">
        <v>31</v>
      </c>
      <c r="M50" s="3">
        <v>2.7816936999999998E-3</v>
      </c>
      <c r="N50" s="3">
        <v>2.9911625999999998E-4</v>
      </c>
      <c r="O50" s="3">
        <v>0.29766419999999999</v>
      </c>
      <c r="P50" s="3">
        <v>0.22426051999999999</v>
      </c>
      <c r="Q50" s="18">
        <v>4.5171272000000002E-8</v>
      </c>
      <c r="R50" s="3" t="s">
        <v>31</v>
      </c>
      <c r="S50" s="18">
        <v>-1.7033141E-5</v>
      </c>
      <c r="T50" s="18">
        <v>1.4661603E-5</v>
      </c>
      <c r="U50" s="3" t="s">
        <v>26</v>
      </c>
      <c r="V50" s="3">
        <v>6.3197099999999997</v>
      </c>
      <c r="W50" s="18">
        <v>4.8479600000000003E-5</v>
      </c>
      <c r="X50" s="3">
        <v>6.4</v>
      </c>
      <c r="Y50" s="18">
        <v>421845000</v>
      </c>
      <c r="Z50" s="18">
        <v>3223.19</v>
      </c>
      <c r="AA50" s="3">
        <v>5.6451693999999997E-2</v>
      </c>
      <c r="AB50" s="3">
        <v>3.7283701000000002E-2</v>
      </c>
      <c r="AC50" s="18">
        <v>7.1949186000000001E-5</v>
      </c>
      <c r="AD50" s="18">
        <v>6.4219519000000001E-6</v>
      </c>
      <c r="AE50" s="18">
        <v>1.3081793E-5</v>
      </c>
      <c r="AF50" s="18">
        <v>3.6156828000000002E-5</v>
      </c>
      <c r="AG50" s="3">
        <v>2.8570320999999998E-3</v>
      </c>
      <c r="AH50" s="18">
        <v>8.439722E-5</v>
      </c>
      <c r="AI50" s="3">
        <v>-1.6072398000000001</v>
      </c>
      <c r="AJ50" s="3">
        <v>2.6650080999999999E-2</v>
      </c>
      <c r="AK50" s="18">
        <v>6.0511608E-8</v>
      </c>
      <c r="AL50" s="18">
        <v>4.1163143000000004E-9</v>
      </c>
      <c r="AM50" s="3">
        <v>-1.3157239999999999E-4</v>
      </c>
      <c r="AN50" s="18">
        <v>1.4299110000000001E-5</v>
      </c>
    </row>
    <row r="51" spans="1:40" x14ac:dyDescent="0.3">
      <c r="A51" t="s">
        <v>39</v>
      </c>
      <c r="B51" t="s">
        <v>1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</row>
    <row r="52" spans="1:40" x14ac:dyDescent="0.3">
      <c r="A52" t="s">
        <v>4</v>
      </c>
      <c r="B52" t="s">
        <v>5</v>
      </c>
      <c r="C52" t="s">
        <v>6</v>
      </c>
      <c r="D52" t="s">
        <v>7</v>
      </c>
      <c r="E52" t="s">
        <v>8</v>
      </c>
      <c r="F52" t="s">
        <v>9</v>
      </c>
      <c r="G52" t="s">
        <v>10</v>
      </c>
      <c r="H52" t="s">
        <v>11</v>
      </c>
      <c r="I52" t="s">
        <v>12</v>
      </c>
      <c r="J52" t="s">
        <v>13</v>
      </c>
      <c r="K52" t="s">
        <v>14</v>
      </c>
      <c r="L52" t="s">
        <v>15</v>
      </c>
      <c r="M52" t="s">
        <v>16</v>
      </c>
      <c r="N52" t="s">
        <v>17</v>
      </c>
      <c r="O52" t="s">
        <v>18</v>
      </c>
      <c r="P52" t="s">
        <v>19</v>
      </c>
      <c r="Q52" t="s">
        <v>20</v>
      </c>
      <c r="R52" t="s">
        <v>21</v>
      </c>
      <c r="S52" t="s">
        <v>22</v>
      </c>
      <c r="T52" t="s">
        <v>23</v>
      </c>
    </row>
    <row r="53" spans="1:40" x14ac:dyDescent="0.3">
      <c r="A53" t="s">
        <v>24</v>
      </c>
      <c r="B53">
        <v>6.3687699999999996</v>
      </c>
      <c r="C53" s="20">
        <v>3.9410199999999998E-5</v>
      </c>
      <c r="D53">
        <v>6.4</v>
      </c>
      <c r="E53" s="20">
        <v>418589000</v>
      </c>
      <c r="F53" s="20">
        <v>2590.25</v>
      </c>
      <c r="G53">
        <v>0.13429325</v>
      </c>
      <c r="H53">
        <v>1.4721832000000001E-2</v>
      </c>
      <c r="I53" s="20">
        <v>7.1646935000000003E-5</v>
      </c>
      <c r="J53" s="20">
        <v>1.2294788999999999E-6</v>
      </c>
      <c r="K53" s="20">
        <v>1.9767495999999999E-5</v>
      </c>
      <c r="L53" s="20">
        <v>2.6413407999999998E-6</v>
      </c>
      <c r="M53">
        <v>1.0372320000000001E-2</v>
      </c>
      <c r="N53" s="20">
        <v>9.4446128E-5</v>
      </c>
      <c r="O53">
        <v>-0.11684232</v>
      </c>
      <c r="P53">
        <v>5.6826005000000001E-3</v>
      </c>
      <c r="Q53" s="20">
        <v>3.3887645999999998E-8</v>
      </c>
      <c r="R53" s="20">
        <v>3.6441710000000003E-10</v>
      </c>
      <c r="S53">
        <v>5.7853354000000001E-4</v>
      </c>
      <c r="T53" s="20">
        <v>1.1761687000000001E-5</v>
      </c>
    </row>
    <row r="54" spans="1:40" x14ac:dyDescent="0.3">
      <c r="A54" t="s">
        <v>25</v>
      </c>
      <c r="B54">
        <v>6.3906200000000002</v>
      </c>
      <c r="C54" s="20">
        <v>3.8996599999999999E-5</v>
      </c>
      <c r="D54">
        <v>6.4</v>
      </c>
      <c r="E54" s="20">
        <v>417158000</v>
      </c>
      <c r="F54" s="20">
        <v>2545.56</v>
      </c>
      <c r="G54">
        <v>5.1723386000000003E-2</v>
      </c>
      <c r="H54">
        <v>1.0945445E-2</v>
      </c>
      <c r="I54" s="20">
        <v>6.9050427999999995E-5</v>
      </c>
      <c r="J54" s="20">
        <v>1.949779E-6</v>
      </c>
      <c r="K54" s="20">
        <v>2.5186948999999998E-6</v>
      </c>
      <c r="L54" s="20">
        <v>8.6126699999999993E-6</v>
      </c>
      <c r="M54">
        <v>6.9343095999999998E-3</v>
      </c>
      <c r="N54" s="20">
        <v>7.7970939000000003E-5</v>
      </c>
      <c r="O54">
        <v>-3.1031105000000001</v>
      </c>
      <c r="P54">
        <v>7.2386637E-3</v>
      </c>
      <c r="Q54" s="20">
        <v>4.3984761999999997E-8</v>
      </c>
      <c r="R54" s="20">
        <v>6.3034248E-10</v>
      </c>
      <c r="S54" s="20">
        <v>-4.7213745999999997E-5</v>
      </c>
      <c r="T54" s="20">
        <v>1.2566564000000001E-5</v>
      </c>
    </row>
    <row r="55" spans="1:40" x14ac:dyDescent="0.3">
      <c r="A55" t="s">
        <v>28</v>
      </c>
      <c r="B55">
        <v>6.3782300000000003</v>
      </c>
      <c r="C55" s="20">
        <v>3.7451599999999999E-5</v>
      </c>
      <c r="D55">
        <v>6.4</v>
      </c>
      <c r="E55" s="20">
        <v>417969000</v>
      </c>
      <c r="F55" s="20">
        <v>2454.23</v>
      </c>
      <c r="G55">
        <v>0.14407033</v>
      </c>
      <c r="H55">
        <v>1.1160965E-2</v>
      </c>
      <c r="I55" s="20">
        <v>7.4437167000000003E-5</v>
      </c>
      <c r="J55" s="20">
        <v>1.2165278999999999E-6</v>
      </c>
      <c r="K55" s="20">
        <v>2.6636621999999999E-5</v>
      </c>
      <c r="L55" s="20">
        <v>1.1801121999999999E-6</v>
      </c>
      <c r="M55">
        <v>1.2038329E-2</v>
      </c>
      <c r="N55" s="20">
        <v>9.1771162999999999E-5</v>
      </c>
      <c r="O55">
        <v>-1.8121768</v>
      </c>
      <c r="P55">
        <v>4.9073919000000004E-3</v>
      </c>
      <c r="Q55" s="20">
        <v>3.2515561E-8</v>
      </c>
      <c r="R55" s="20">
        <v>3.0500681000000002E-10</v>
      </c>
      <c r="S55">
        <v>4.6670354000000002E-4</v>
      </c>
      <c r="T55" s="20">
        <v>1.1867393999999999E-5</v>
      </c>
    </row>
    <row r="56" spans="1:40" x14ac:dyDescent="0.3">
      <c r="A56" t="s">
        <v>26</v>
      </c>
      <c r="B56">
        <v>6.3792099999999996</v>
      </c>
      <c r="C56" s="20">
        <v>3.8619499999999998E-5</v>
      </c>
      <c r="D56">
        <v>6.4</v>
      </c>
      <c r="E56" s="20">
        <v>417905000</v>
      </c>
      <c r="F56" s="20">
        <v>2530.0100000000002</v>
      </c>
      <c r="G56">
        <v>0.11002898999999999</v>
      </c>
      <c r="H56">
        <v>1.227608E-2</v>
      </c>
      <c r="I56" s="20">
        <v>7.171151E-5</v>
      </c>
      <c r="J56" s="20">
        <v>1.4652619E-6</v>
      </c>
      <c r="K56" s="20">
        <v>1.6307604E-5</v>
      </c>
      <c r="L56" s="20">
        <v>4.1447076999999999E-6</v>
      </c>
      <c r="M56">
        <v>9.7816528000000003E-3</v>
      </c>
      <c r="N56" s="20">
        <v>8.8062742999999997E-5</v>
      </c>
      <c r="O56">
        <v>-1.6773765</v>
      </c>
      <c r="P56">
        <v>5.9428854000000003E-3</v>
      </c>
      <c r="Q56" s="20">
        <v>3.6795989999999998E-8</v>
      </c>
      <c r="R56" s="20">
        <v>4.3325546E-10</v>
      </c>
      <c r="S56">
        <v>3.3267445000000002E-4</v>
      </c>
      <c r="T56" s="20">
        <v>1.2065215E-5</v>
      </c>
    </row>
    <row r="59" spans="1:40" x14ac:dyDescent="0.3">
      <c r="B59" s="17" t="s">
        <v>120</v>
      </c>
      <c r="C59" s="17" t="s">
        <v>123</v>
      </c>
      <c r="D59" s="17" t="s">
        <v>124</v>
      </c>
      <c r="E59" s="17" t="s">
        <v>125</v>
      </c>
      <c r="F59" s="17" t="s">
        <v>126</v>
      </c>
    </row>
    <row r="60" spans="1:40" x14ac:dyDescent="0.3">
      <c r="A60" s="17" t="s">
        <v>122</v>
      </c>
      <c r="B60">
        <f>SUM(B3:B4,B8:B10,B14:B16,B21:B22,B27:B29,B33:B35,B39:B42,B46:B49,B53:B55)/COUNT(B3:B4,B8:B10,B14:B16,B21:B22,B27:B29,B33:B35,B39:B42,B46:B49,B53:B55)</f>
        <v>6.364177407407408</v>
      </c>
      <c r="C60">
        <f>B5</f>
        <v>6.3623200000000004</v>
      </c>
      <c r="D60">
        <f>AVERAGE(B8:B10)</f>
        <v>6.3749266666666671</v>
      </c>
      <c r="E60">
        <f>AVERAGE(B14:B16)</f>
        <v>6.358273333333333</v>
      </c>
      <c r="F60">
        <f>AVERAGE(B33:B35)</f>
        <v>6.3809433333333336</v>
      </c>
    </row>
    <row r="61" spans="1:40" x14ac:dyDescent="0.3">
      <c r="A61" s="17" t="s">
        <v>121</v>
      </c>
      <c r="B61">
        <f>STDEV(B3:B4,B8:B10,B14:B16,B21:B22,B27:B29,B33:B35,B39:B42,B46:B49,B53:B55)</f>
        <v>2.3836024544727875E-2</v>
      </c>
      <c r="C61">
        <f>_xlfn.STDEV.S(B3:B4)</f>
        <v>1.0613672785610213E-2</v>
      </c>
      <c r="D61">
        <f>_xlfn.STDEV.S(B8:B10)</f>
        <v>7.315643056720081E-3</v>
      </c>
      <c r="E61">
        <f>_xlfn.STDEV.S(B14:B16)</f>
        <v>5.3069419945323522E-3</v>
      </c>
      <c r="F61">
        <f>STDEV(B33:B35)</f>
        <v>1.460467505059016E-2</v>
      </c>
    </row>
    <row r="62" spans="1:40" x14ac:dyDescent="0.3">
      <c r="A62" s="17" t="s">
        <v>127</v>
      </c>
      <c r="B62">
        <f>100*(B61/B60)</f>
        <v>0.37453425665011469</v>
      </c>
      <c r="C62">
        <f t="shared" ref="C62:F62" si="1">100*(C61/C60)</f>
        <v>0.16682079470397926</v>
      </c>
      <c r="D62">
        <f t="shared" si="1"/>
        <v>0.11475650527828421</v>
      </c>
      <c r="E62">
        <f t="shared" si="1"/>
        <v>8.3465144014973972E-2</v>
      </c>
      <c r="F62">
        <f t="shared" si="1"/>
        <v>0.22887956039817767</v>
      </c>
    </row>
  </sheetData>
  <pageMargins left="0" right="0" top="0" bottom="0" header="0" footer="0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EFF9-55C4-5C42-B912-2BE9354E245C}">
  <dimension ref="A1:AI1009"/>
  <sheetViews>
    <sheetView zoomScale="28" zoomScaleNormal="93" workbookViewId="0">
      <selection activeCell="AU3" sqref="AU3"/>
    </sheetView>
  </sheetViews>
  <sheetFormatPr defaultColWidth="8.77734375" defaultRowHeight="14.4" x14ac:dyDescent="0.3"/>
  <cols>
    <col min="1" max="1" width="22.33203125" customWidth="1"/>
    <col min="5" max="5" width="22.6640625" bestFit="1" customWidth="1"/>
    <col min="6" max="6" width="36.6640625" customWidth="1"/>
    <col min="7" max="9" width="18.44140625" customWidth="1"/>
    <col min="10" max="11" width="19" customWidth="1"/>
    <col min="12" max="12" width="15.6640625" customWidth="1"/>
    <col min="13" max="13" width="15.44140625" customWidth="1"/>
    <col min="14" max="15" width="18.33203125" customWidth="1"/>
    <col min="16" max="16" width="15.44140625" customWidth="1"/>
    <col min="17" max="17" width="14.6640625" customWidth="1"/>
    <col min="18" max="18" width="15.6640625" customWidth="1"/>
    <col min="19" max="19" width="14.44140625" customWidth="1"/>
    <col min="20" max="20" width="14.6640625" customWidth="1"/>
    <col min="21" max="22" width="15.44140625" customWidth="1"/>
    <col min="23" max="23" width="16.44140625" customWidth="1"/>
    <col min="24" max="24" width="15.6640625" customWidth="1"/>
    <col min="26" max="26" width="14.109375" customWidth="1"/>
    <col min="27" max="27" width="20.6640625" customWidth="1"/>
    <col min="28" max="28" width="15.6640625" customWidth="1"/>
    <col min="29" max="29" width="11.6640625" customWidth="1"/>
    <col min="33" max="33" width="11.77734375" bestFit="1" customWidth="1"/>
    <col min="34" max="34" width="9.6640625" customWidth="1"/>
  </cols>
  <sheetData>
    <row r="1" spans="1:35" x14ac:dyDescent="0.3">
      <c r="E1" s="3" t="s">
        <v>40</v>
      </c>
      <c r="F1" s="3" t="s">
        <v>41</v>
      </c>
      <c r="G1" s="3" t="s">
        <v>42</v>
      </c>
      <c r="H1" s="3" t="s">
        <v>43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AA1" s="17" t="s">
        <v>114</v>
      </c>
      <c r="AB1" s="17"/>
    </row>
    <row r="2" spans="1:35" x14ac:dyDescent="0.3">
      <c r="E2" s="2">
        <v>45395</v>
      </c>
      <c r="F2" s="3" t="s">
        <v>44</v>
      </c>
      <c r="G2" s="3">
        <v>1000</v>
      </c>
      <c r="H2" s="3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35" ht="115.2" x14ac:dyDescent="0.3">
      <c r="E3" s="2">
        <v>45409</v>
      </c>
      <c r="F3" s="3"/>
      <c r="G3" s="3">
        <v>500</v>
      </c>
      <c r="H3" s="3">
        <v>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19" t="s">
        <v>135</v>
      </c>
      <c r="AA3" s="19" t="s">
        <v>115</v>
      </c>
      <c r="AB3" s="17" t="s">
        <v>136</v>
      </c>
      <c r="AC3" s="19" t="s">
        <v>129</v>
      </c>
      <c r="AD3" s="19" t="s">
        <v>128</v>
      </c>
      <c r="AE3" s="19" t="s">
        <v>134</v>
      </c>
      <c r="AF3" s="19" t="s">
        <v>133</v>
      </c>
      <c r="AG3" s="19"/>
      <c r="AH3" s="19"/>
      <c r="AI3" s="19"/>
    </row>
    <row r="4" spans="1:35" x14ac:dyDescent="0.3">
      <c r="E4" s="2">
        <v>45410</v>
      </c>
      <c r="F4" s="3" t="s">
        <v>45</v>
      </c>
      <c r="G4" s="3">
        <v>500</v>
      </c>
      <c r="H4" s="3">
        <v>10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17" t="s">
        <v>139</v>
      </c>
      <c r="AA4" s="17" t="s">
        <v>116</v>
      </c>
      <c r="AB4">
        <v>1</v>
      </c>
      <c r="AC4" s="17" t="s">
        <v>130</v>
      </c>
      <c r="AD4">
        <f>G19</f>
        <v>2703.5915150000001</v>
      </c>
      <c r="AE4">
        <f>2.7618</f>
        <v>2.7618</v>
      </c>
      <c r="AF4">
        <v>9</v>
      </c>
    </row>
    <row r="5" spans="1:35" x14ac:dyDescent="0.3">
      <c r="E5" s="2" t="s">
        <v>46</v>
      </c>
      <c r="F5" s="3" t="s">
        <v>47</v>
      </c>
      <c r="G5" s="3">
        <v>500</v>
      </c>
      <c r="H5" s="3">
        <v>10</v>
      </c>
      <c r="I5">
        <f>MAX($G$10:$G$285)</f>
        <v>3591.21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Z5" s="17" t="s">
        <v>139</v>
      </c>
      <c r="AA5" s="17" t="s">
        <v>117</v>
      </c>
      <c r="AB5">
        <f>AB4+1</f>
        <v>2</v>
      </c>
      <c r="AC5" s="17" t="s">
        <v>131</v>
      </c>
      <c r="AD5" s="11">
        <f>G66</f>
        <v>2728.73</v>
      </c>
      <c r="AE5">
        <f>3.3011</f>
        <v>3.3010999999999999</v>
      </c>
      <c r="AF5">
        <v>10</v>
      </c>
      <c r="AH5" s="20"/>
    </row>
    <row r="6" spans="1:35" x14ac:dyDescent="0.3">
      <c r="E6" s="2">
        <v>45437</v>
      </c>
      <c r="F6" s="3" t="s">
        <v>48</v>
      </c>
      <c r="G6" s="3">
        <v>1000</v>
      </c>
      <c r="H6" s="3">
        <v>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Z6" s="17" t="s">
        <v>139</v>
      </c>
      <c r="AA6" s="17" t="s">
        <v>118</v>
      </c>
      <c r="AB6">
        <f>AB5+9</f>
        <v>11</v>
      </c>
      <c r="AC6" s="17" t="s">
        <v>131</v>
      </c>
      <c r="AD6" s="11">
        <f>G113</f>
        <v>2759.42</v>
      </c>
      <c r="AE6">
        <f>3.2344</f>
        <v>3.2343999999999999</v>
      </c>
      <c r="AF6">
        <v>10</v>
      </c>
      <c r="AH6" s="20"/>
    </row>
    <row r="7" spans="1:35" x14ac:dyDescent="0.3">
      <c r="E7" s="2">
        <v>45484</v>
      </c>
      <c r="F7" s="3" t="s">
        <v>49</v>
      </c>
      <c r="G7" s="3">
        <v>1000</v>
      </c>
      <c r="H7" s="3">
        <v>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Z7" s="17" t="s">
        <v>139</v>
      </c>
      <c r="AA7" s="17" t="s">
        <v>119</v>
      </c>
      <c r="AB7">
        <f>AB6+3</f>
        <v>14</v>
      </c>
      <c r="AC7" s="17" t="s">
        <v>132</v>
      </c>
      <c r="AD7" s="11">
        <f>G195</f>
        <v>2649.28</v>
      </c>
      <c r="AE7">
        <f>2.7618</f>
        <v>2.7618</v>
      </c>
      <c r="AF7">
        <v>0</v>
      </c>
      <c r="AH7" s="20"/>
    </row>
    <row r="8" spans="1:35" x14ac:dyDescent="0.3">
      <c r="E8" s="12">
        <v>45395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Z8" s="17" t="s">
        <v>139</v>
      </c>
      <c r="AA8" s="17" t="s">
        <v>116</v>
      </c>
      <c r="AB8">
        <v>1</v>
      </c>
      <c r="AC8" s="17" t="s">
        <v>138</v>
      </c>
      <c r="AD8">
        <v>2750.6</v>
      </c>
      <c r="AE8">
        <v>6</v>
      </c>
      <c r="AF8">
        <v>3</v>
      </c>
    </row>
    <row r="9" spans="1:35" x14ac:dyDescent="0.3">
      <c r="A9" s="17" t="s">
        <v>107</v>
      </c>
      <c r="C9" s="13" t="s">
        <v>4</v>
      </c>
      <c r="E9" s="17" t="s">
        <v>106</v>
      </c>
      <c r="F9" s="13" t="s">
        <v>7</v>
      </c>
      <c r="G9" s="13" t="s">
        <v>50</v>
      </c>
      <c r="H9" s="13" t="s">
        <v>141</v>
      </c>
      <c r="I9" s="13" t="s">
        <v>8</v>
      </c>
      <c r="J9" s="13" t="s">
        <v>9</v>
      </c>
      <c r="K9" s="13" t="s">
        <v>10</v>
      </c>
      <c r="L9" s="13" t="s">
        <v>11</v>
      </c>
      <c r="M9" s="13" t="s">
        <v>12</v>
      </c>
      <c r="N9" s="13" t="s">
        <v>13</v>
      </c>
      <c r="O9" s="13" t="s">
        <v>14</v>
      </c>
      <c r="P9" s="13" t="s">
        <v>15</v>
      </c>
      <c r="Q9" s="13" t="s">
        <v>16</v>
      </c>
      <c r="R9" s="13" t="s">
        <v>17</v>
      </c>
      <c r="S9" s="13" t="s">
        <v>18</v>
      </c>
      <c r="T9" s="13" t="s">
        <v>19</v>
      </c>
      <c r="U9" s="13" t="s">
        <v>20</v>
      </c>
      <c r="V9" s="13" t="s">
        <v>21</v>
      </c>
      <c r="W9" s="13" t="s">
        <v>22</v>
      </c>
      <c r="X9" s="13" t="s">
        <v>23</v>
      </c>
      <c r="Z9" s="17" t="s">
        <v>139</v>
      </c>
      <c r="AA9" s="17" t="s">
        <v>118</v>
      </c>
      <c r="AB9">
        <v>11</v>
      </c>
      <c r="AC9" s="17" t="s">
        <v>138</v>
      </c>
      <c r="AD9">
        <v>2732.2</v>
      </c>
      <c r="AE9">
        <v>5.3</v>
      </c>
      <c r="AF9">
        <v>3</v>
      </c>
    </row>
    <row r="10" spans="1:35" x14ac:dyDescent="0.3">
      <c r="A10" s="17" t="s">
        <v>108</v>
      </c>
      <c r="C10" s="13">
        <v>0</v>
      </c>
      <c r="E10">
        <f>C10</f>
        <v>0</v>
      </c>
      <c r="F10" s="13">
        <v>6.3623200000000004</v>
      </c>
      <c r="G10" s="13">
        <v>2916.3609070000002</v>
      </c>
      <c r="H10" s="13">
        <f>G10/MAX($G$10:$G$285)</f>
        <v>0.81208308815134733</v>
      </c>
      <c r="I10" s="13">
        <v>458380104.60000002</v>
      </c>
      <c r="J10" s="13">
        <v>8450.7227770000009</v>
      </c>
      <c r="K10" s="13">
        <v>5.3873322000000001E-2</v>
      </c>
      <c r="L10" s="13">
        <v>5.3351699999999995E-4</v>
      </c>
      <c r="M10" s="14">
        <v>5.97945E-6</v>
      </c>
      <c r="N10" s="14">
        <v>1.41458E-7</v>
      </c>
      <c r="O10" s="14">
        <v>4.2356599999999997E-6</v>
      </c>
      <c r="P10" s="14">
        <v>9.3035999999999997E-7</v>
      </c>
      <c r="Q10" s="13">
        <v>5.3108729999999998E-3</v>
      </c>
      <c r="R10" s="13">
        <v>1.18397E-4</v>
      </c>
      <c r="S10" s="13">
        <v>1.7473506080000001</v>
      </c>
      <c r="T10" s="13">
        <v>1.4372835E-2</v>
      </c>
      <c r="U10" s="14">
        <v>3.1462400000000003E-8</v>
      </c>
      <c r="V10" s="14">
        <v>8.5574600000000003E-10</v>
      </c>
      <c r="W10" s="13">
        <v>-7.3376799999999999E-4</v>
      </c>
      <c r="X10" s="15">
        <v>2.49724E-4</v>
      </c>
      <c r="Z10" s="17" t="s">
        <v>139</v>
      </c>
      <c r="AA10" s="17" t="s">
        <v>119</v>
      </c>
      <c r="AB10">
        <v>14</v>
      </c>
      <c r="AC10" s="17" t="s">
        <v>138</v>
      </c>
      <c r="AD10">
        <v>2735.6</v>
      </c>
      <c r="AE10">
        <v>7.5</v>
      </c>
      <c r="AF10">
        <v>3</v>
      </c>
    </row>
    <row r="11" spans="1:35" x14ac:dyDescent="0.3">
      <c r="A11" s="17" t="s">
        <v>108</v>
      </c>
      <c r="C11" s="13">
        <v>4</v>
      </c>
      <c r="E11">
        <f t="shared" ref="E11:E55" si="0">C11</f>
        <v>4</v>
      </c>
      <c r="F11" s="13">
        <v>6.3623200000000004</v>
      </c>
      <c r="G11" s="13">
        <v>2868.667234</v>
      </c>
      <c r="H11" s="13">
        <f t="shared" ref="H11:H74" si="1">G11/MAX($G$10:$G$285)</f>
        <v>0.79880241868339641</v>
      </c>
      <c r="I11" s="13">
        <v>450883833.89999998</v>
      </c>
      <c r="J11" s="13">
        <v>11862.832350000001</v>
      </c>
      <c r="K11" s="13">
        <v>5.9403914000000002E-2</v>
      </c>
      <c r="L11" s="13">
        <v>4.7906400000000002E-4</v>
      </c>
      <c r="M11" s="14">
        <v>6.0019899999999996E-6</v>
      </c>
      <c r="N11" s="14">
        <v>1.1275599999999999E-7</v>
      </c>
      <c r="O11" s="14">
        <v>3.7730699999999999E-6</v>
      </c>
      <c r="P11" s="14">
        <v>7.5399199999999999E-7</v>
      </c>
      <c r="Q11" s="13">
        <v>6.0601739999999998E-3</v>
      </c>
      <c r="R11" s="13">
        <v>1.28882E-4</v>
      </c>
      <c r="S11" s="13">
        <v>2.3227349400000001</v>
      </c>
      <c r="T11" s="13">
        <v>1.3580462E-2</v>
      </c>
      <c r="U11" s="14">
        <v>2.5179599999999999E-8</v>
      </c>
      <c r="V11" s="14">
        <v>6.2923999999999999E-10</v>
      </c>
      <c r="W11" s="13">
        <v>-8.2065800000000004E-4</v>
      </c>
      <c r="X11" s="15">
        <v>2.1698900000000001E-4</v>
      </c>
      <c r="Z11" s="17" t="s">
        <v>140</v>
      </c>
      <c r="AA11" s="17" t="s">
        <v>116</v>
      </c>
      <c r="AB11">
        <v>1</v>
      </c>
      <c r="AD11">
        <v>2924.8</v>
      </c>
      <c r="AE11">
        <v>23.5</v>
      </c>
      <c r="AF11">
        <v>3</v>
      </c>
    </row>
    <row r="12" spans="1:35" x14ac:dyDescent="0.3">
      <c r="A12" s="17" t="s">
        <v>108</v>
      </c>
      <c r="C12" s="13">
        <v>8</v>
      </c>
      <c r="E12">
        <f t="shared" si="0"/>
        <v>8</v>
      </c>
      <c r="F12" s="13">
        <v>6.3623200000000004</v>
      </c>
      <c r="G12" s="13">
        <v>2919.2484899999999</v>
      </c>
      <c r="H12" s="13">
        <f t="shared" si="1"/>
        <v>0.81288715781032017</v>
      </c>
      <c r="I12" s="13">
        <v>458833961.5</v>
      </c>
      <c r="J12" s="13">
        <v>6020.7360820000004</v>
      </c>
      <c r="K12" s="13">
        <v>6.0949093000000003E-2</v>
      </c>
      <c r="L12" s="13">
        <v>4.7272200000000002E-4</v>
      </c>
      <c r="M12" s="14">
        <v>5.9570199999999996E-6</v>
      </c>
      <c r="N12" s="14">
        <v>1.10302E-7</v>
      </c>
      <c r="O12" s="14">
        <v>5.6697400000000004E-6</v>
      </c>
      <c r="P12" s="14">
        <v>7.1544900000000004E-7</v>
      </c>
      <c r="Q12" s="13">
        <v>7.6509200000000003E-3</v>
      </c>
      <c r="R12" s="13">
        <v>1.13715E-4</v>
      </c>
      <c r="S12" s="13">
        <v>2.0293507489999998</v>
      </c>
      <c r="T12" s="13">
        <v>9.5782980000000007E-3</v>
      </c>
      <c r="U12" s="14">
        <v>2.9015900000000001E-8</v>
      </c>
      <c r="V12" s="14">
        <v>5.2066100000000005E-10</v>
      </c>
      <c r="W12" s="13">
        <v>-8.5400899999999997E-4</v>
      </c>
      <c r="X12" s="15">
        <v>2.18894E-4</v>
      </c>
      <c r="Z12" s="17" t="s">
        <v>140</v>
      </c>
      <c r="AA12" s="17" t="s">
        <v>117</v>
      </c>
      <c r="AB12">
        <f>AB11+1</f>
        <v>2</v>
      </c>
      <c r="AD12">
        <v>2949</v>
      </c>
      <c r="AE12">
        <v>32.1</v>
      </c>
      <c r="AF12">
        <v>3</v>
      </c>
    </row>
    <row r="13" spans="1:35" x14ac:dyDescent="0.3">
      <c r="A13" s="17" t="s">
        <v>108</v>
      </c>
      <c r="C13" s="13">
        <v>12</v>
      </c>
      <c r="E13">
        <f t="shared" si="0"/>
        <v>12</v>
      </c>
      <c r="F13" s="13">
        <v>6.3623200000000004</v>
      </c>
      <c r="G13" s="13">
        <v>2882.8287799999998</v>
      </c>
      <c r="H13" s="13">
        <f t="shared" si="1"/>
        <v>0.80274580990808109</v>
      </c>
      <c r="I13" s="13">
        <v>453109680.10000002</v>
      </c>
      <c r="J13" s="13">
        <v>22452.298709999999</v>
      </c>
      <c r="K13" s="13">
        <v>6.2244183000000002E-2</v>
      </c>
      <c r="L13" s="13">
        <v>5.7328299999999995E-4</v>
      </c>
      <c r="M13" s="14">
        <v>5.81186E-6</v>
      </c>
      <c r="N13" s="14">
        <v>1.2176900000000001E-7</v>
      </c>
      <c r="O13" s="14">
        <v>2.3713099999999999E-6</v>
      </c>
      <c r="P13" s="14">
        <v>9.0729999999999998E-7</v>
      </c>
      <c r="Q13" s="13">
        <v>3.7441499999999999E-3</v>
      </c>
      <c r="R13" s="13">
        <v>1.36062E-4</v>
      </c>
      <c r="S13" s="13">
        <v>-1.3730212289999999</v>
      </c>
      <c r="T13" s="13">
        <v>2.2893727999999999E-2</v>
      </c>
      <c r="U13" s="14">
        <v>2.7288599999999999E-8</v>
      </c>
      <c r="V13" s="14">
        <v>1.1330200000000001E-9</v>
      </c>
      <c r="W13" s="13">
        <v>-9.1185599999999995E-4</v>
      </c>
      <c r="X13" s="15">
        <v>2.5601699999999999E-4</v>
      </c>
      <c r="Z13" s="17" t="s">
        <v>140</v>
      </c>
      <c r="AA13" s="17" t="s">
        <v>118</v>
      </c>
      <c r="AB13">
        <f>AB12+9</f>
        <v>11</v>
      </c>
      <c r="AD13">
        <v>2965</v>
      </c>
      <c r="AE13">
        <v>27</v>
      </c>
      <c r="AF13">
        <v>3</v>
      </c>
    </row>
    <row r="14" spans="1:35" x14ac:dyDescent="0.3">
      <c r="A14" s="17" t="s">
        <v>108</v>
      </c>
      <c r="C14" s="13">
        <v>16</v>
      </c>
      <c r="E14">
        <f t="shared" si="0"/>
        <v>16</v>
      </c>
      <c r="F14" s="13">
        <v>6.3623200000000004</v>
      </c>
      <c r="G14" s="13">
        <v>2831.0709459999998</v>
      </c>
      <c r="H14" s="13">
        <f t="shared" si="1"/>
        <v>0.78833344360257396</v>
      </c>
      <c r="I14" s="13">
        <v>444974623.39999998</v>
      </c>
      <c r="J14" s="13">
        <v>26185.408479999998</v>
      </c>
      <c r="K14" s="13">
        <v>4.6847041999999998E-2</v>
      </c>
      <c r="L14" s="14">
        <v>6.9507500000000005E-5</v>
      </c>
      <c r="M14" s="14">
        <v>6.2522E-6</v>
      </c>
      <c r="N14" s="14">
        <v>6.2648099999999998E-8</v>
      </c>
      <c r="O14" s="14">
        <v>3.8344500000000001E-9</v>
      </c>
      <c r="P14" s="13"/>
      <c r="Q14" s="13">
        <v>3.097767E-3</v>
      </c>
      <c r="R14" s="13">
        <v>1.20431E-4</v>
      </c>
      <c r="S14" s="13">
        <v>-1.280904831</v>
      </c>
      <c r="T14" s="13">
        <v>2.4652759E-2</v>
      </c>
      <c r="U14" s="14">
        <v>2.6225000000000002E-8</v>
      </c>
      <c r="V14" s="14">
        <v>1.14943E-9</v>
      </c>
      <c r="W14" s="13">
        <v>-6.8408800000000001E-4</v>
      </c>
      <c r="X14" s="15">
        <v>1.13069E-4</v>
      </c>
      <c r="Z14" s="17" t="s">
        <v>140</v>
      </c>
      <c r="AA14" s="17" t="s">
        <v>119</v>
      </c>
      <c r="AB14">
        <f>AB13+3</f>
        <v>14</v>
      </c>
      <c r="AD14">
        <v>2917.1</v>
      </c>
      <c r="AE14">
        <v>20.100000000000001</v>
      </c>
      <c r="AF14">
        <v>3</v>
      </c>
    </row>
    <row r="15" spans="1:35" x14ac:dyDescent="0.3">
      <c r="A15" s="17" t="s">
        <v>108</v>
      </c>
      <c r="C15" s="13">
        <v>20</v>
      </c>
      <c r="E15">
        <f t="shared" si="0"/>
        <v>20</v>
      </c>
      <c r="F15" s="13">
        <v>6.3623200000000004</v>
      </c>
      <c r="G15" s="13">
        <v>2784.5478520000001</v>
      </c>
      <c r="H15" s="13">
        <f t="shared" si="1"/>
        <v>0.7753787308455925</v>
      </c>
      <c r="I15" s="13">
        <v>437662338.89999998</v>
      </c>
      <c r="J15" s="13">
        <v>24666.7955</v>
      </c>
      <c r="K15" s="13">
        <v>6.3553403999999994E-2</v>
      </c>
      <c r="L15" s="13">
        <v>5.8230800000000002E-4</v>
      </c>
      <c r="M15" s="14">
        <v>5.9039100000000002E-6</v>
      </c>
      <c r="N15" s="14">
        <v>1.18607E-7</v>
      </c>
      <c r="O15" s="14">
        <v>4.1946999999999998E-6</v>
      </c>
      <c r="P15" s="14">
        <v>8.7535800000000002E-7</v>
      </c>
      <c r="Q15" s="13">
        <v>3.4724140000000001E-3</v>
      </c>
      <c r="R15" s="13">
        <v>1.3779800000000001E-4</v>
      </c>
      <c r="S15" s="13">
        <v>-0.53602224799999998</v>
      </c>
      <c r="T15" s="13">
        <v>2.518654E-2</v>
      </c>
      <c r="U15" s="14">
        <v>2.6304100000000001E-8</v>
      </c>
      <c r="V15" s="14">
        <v>1.1801700000000001E-9</v>
      </c>
      <c r="W15" s="13">
        <v>-1.203403E-3</v>
      </c>
      <c r="X15" s="15">
        <v>2.4502299999999997E-4</v>
      </c>
      <c r="Z15" s="17" t="s">
        <v>140</v>
      </c>
      <c r="AA15" s="17" t="s">
        <v>116</v>
      </c>
      <c r="AB15">
        <v>1</v>
      </c>
      <c r="AD15">
        <v>2928.5</v>
      </c>
      <c r="AE15">
        <v>10.199999999999999</v>
      </c>
      <c r="AF15">
        <v>3</v>
      </c>
    </row>
    <row r="16" spans="1:35" x14ac:dyDescent="0.3">
      <c r="A16" s="17" t="s">
        <v>108</v>
      </c>
      <c r="C16" s="13">
        <v>24</v>
      </c>
      <c r="E16">
        <f t="shared" si="0"/>
        <v>24</v>
      </c>
      <c r="F16" s="13">
        <v>6.3623200000000004</v>
      </c>
      <c r="G16" s="13">
        <v>2741.1190000000001</v>
      </c>
      <c r="H16" s="13">
        <f t="shared" si="1"/>
        <v>0.76328563353298751</v>
      </c>
      <c r="I16" s="13">
        <v>430836393</v>
      </c>
      <c r="J16" s="13">
        <v>27137.72381</v>
      </c>
      <c r="K16" s="13">
        <v>5.3957964999999997E-2</v>
      </c>
      <c r="L16" s="14">
        <v>8.2565700000000001E-5</v>
      </c>
      <c r="M16" s="14">
        <v>6.1103700000000004E-6</v>
      </c>
      <c r="N16" s="14">
        <v>6.0425600000000006E-8</v>
      </c>
      <c r="O16" s="14">
        <v>3.4047099999999999E-9</v>
      </c>
      <c r="P16" s="13"/>
      <c r="Q16" s="13">
        <v>2.1305600000000001E-3</v>
      </c>
      <c r="R16" s="14">
        <v>9.5309000000000005E-5</v>
      </c>
      <c r="S16" s="13">
        <v>-3.005423623</v>
      </c>
      <c r="T16" s="13">
        <v>2.9314001999999999E-2</v>
      </c>
      <c r="U16" s="14">
        <v>3.7387100000000001E-8</v>
      </c>
      <c r="V16" s="14">
        <v>2.1027000000000002E-9</v>
      </c>
      <c r="W16" s="13">
        <v>-8.8388500000000005E-4</v>
      </c>
      <c r="X16" s="15">
        <v>1.3232599999999999E-4</v>
      </c>
      <c r="Z16" s="17" t="s">
        <v>140</v>
      </c>
      <c r="AA16" s="17" t="s">
        <v>118</v>
      </c>
      <c r="AB16">
        <v>11</v>
      </c>
      <c r="AD16">
        <v>2921.4</v>
      </c>
      <c r="AE16">
        <v>12.7</v>
      </c>
      <c r="AF16">
        <v>3</v>
      </c>
    </row>
    <row r="17" spans="1:32" x14ac:dyDescent="0.3">
      <c r="A17" s="17" t="s">
        <v>108</v>
      </c>
      <c r="C17" s="13">
        <v>28</v>
      </c>
      <c r="E17">
        <f t="shared" si="0"/>
        <v>28</v>
      </c>
      <c r="F17" s="13">
        <v>6.3623200000000004</v>
      </c>
      <c r="G17" s="13">
        <v>2715.0408170000001</v>
      </c>
      <c r="H17" s="13">
        <f t="shared" si="1"/>
        <v>0.75602396323244814</v>
      </c>
      <c r="I17" s="13">
        <v>426737545</v>
      </c>
      <c r="J17" s="13">
        <v>10199.69371</v>
      </c>
      <c r="K17" s="13">
        <v>5.4190536999999997E-2</v>
      </c>
      <c r="L17" s="13">
        <v>5.7754099999999999E-4</v>
      </c>
      <c r="M17" s="14">
        <v>6.02046E-6</v>
      </c>
      <c r="N17" s="14">
        <v>1.4665500000000001E-7</v>
      </c>
      <c r="O17" s="14">
        <v>7.6236299999999997E-6</v>
      </c>
      <c r="P17" s="14">
        <v>9.6263199999999993E-7</v>
      </c>
      <c r="Q17" s="13">
        <v>4.3285820000000001E-3</v>
      </c>
      <c r="R17" s="13">
        <v>1.16999E-4</v>
      </c>
      <c r="S17" s="13">
        <v>1.9558035709999999</v>
      </c>
      <c r="T17" s="13">
        <v>1.7343995000000001E-2</v>
      </c>
      <c r="U17" s="14">
        <v>3.30693E-8</v>
      </c>
      <c r="V17" s="14">
        <v>1.0824700000000001E-9</v>
      </c>
      <c r="W17" s="13">
        <v>-3.7491299999999999E-4</v>
      </c>
      <c r="X17" s="15">
        <v>2.50492E-4</v>
      </c>
      <c r="Z17" s="17" t="s">
        <v>140</v>
      </c>
      <c r="AA17" s="17" t="s">
        <v>119</v>
      </c>
      <c r="AB17">
        <v>14</v>
      </c>
      <c r="AD17">
        <v>2919</v>
      </c>
      <c r="AE17">
        <v>12.7</v>
      </c>
      <c r="AF17">
        <v>3</v>
      </c>
    </row>
    <row r="18" spans="1:32" x14ac:dyDescent="0.3">
      <c r="A18" s="17" t="s">
        <v>108</v>
      </c>
      <c r="C18" s="13">
        <v>32</v>
      </c>
      <c r="E18">
        <f t="shared" si="0"/>
        <v>32</v>
      </c>
      <c r="F18" s="13">
        <v>6.3623200000000004</v>
      </c>
      <c r="G18" s="13">
        <v>2705.6075679999999</v>
      </c>
      <c r="H18" s="13">
        <f t="shared" si="1"/>
        <v>0.75339720261416065</v>
      </c>
      <c r="I18" s="13">
        <v>425254870.5</v>
      </c>
      <c r="J18" s="13">
        <v>17638.31768</v>
      </c>
      <c r="K18" s="13">
        <v>6.2363315000000002E-2</v>
      </c>
      <c r="L18" s="13">
        <v>6.5675599999999998E-4</v>
      </c>
      <c r="M18" s="14">
        <v>6.3586399999999998E-6</v>
      </c>
      <c r="N18" s="14">
        <v>1.2828000000000001E-7</v>
      </c>
      <c r="O18" s="14">
        <v>1.22665E-5</v>
      </c>
      <c r="P18" s="14">
        <v>8.6831399999999998E-7</v>
      </c>
      <c r="Q18" s="13">
        <v>2.8807490000000002E-3</v>
      </c>
      <c r="R18" s="13">
        <v>1.17293E-4</v>
      </c>
      <c r="S18" s="13">
        <v>-1.3710850139999999</v>
      </c>
      <c r="T18" s="13">
        <v>2.5526927000000001E-2</v>
      </c>
      <c r="U18" s="14">
        <v>3.2657900000000002E-8</v>
      </c>
      <c r="V18" s="14">
        <v>1.54879E-9</v>
      </c>
      <c r="W18" s="13">
        <v>-9.0333899999999996E-4</v>
      </c>
      <c r="X18" s="15">
        <v>2.1810300000000001E-4</v>
      </c>
    </row>
    <row r="19" spans="1:32" x14ac:dyDescent="0.3">
      <c r="A19" s="17" t="s">
        <v>108</v>
      </c>
      <c r="C19" s="13">
        <v>36</v>
      </c>
      <c r="E19">
        <f t="shared" si="0"/>
        <v>36</v>
      </c>
      <c r="F19" s="13">
        <v>6.3623200000000004</v>
      </c>
      <c r="G19" s="13">
        <v>2703.5915150000001</v>
      </c>
      <c r="H19" s="13">
        <f t="shared" si="1"/>
        <v>0.75283581717582659</v>
      </c>
      <c r="I19" s="13">
        <v>424937996.60000002</v>
      </c>
      <c r="J19" s="13">
        <v>7292.3567869999997</v>
      </c>
      <c r="K19" s="13">
        <v>5.7170230000000002E-2</v>
      </c>
      <c r="L19" s="13">
        <v>5.8944200000000003E-4</v>
      </c>
      <c r="M19" s="14">
        <v>6.4550199999999997E-6</v>
      </c>
      <c r="N19" s="14">
        <v>1.3955600000000001E-7</v>
      </c>
      <c r="O19" s="14">
        <v>1.11075E-5</v>
      </c>
      <c r="P19" s="14">
        <v>8.4053599999999998E-7</v>
      </c>
      <c r="Q19" s="13">
        <v>5.5366909999999998E-3</v>
      </c>
      <c r="R19" s="13">
        <v>1.1829599999999999E-4</v>
      </c>
      <c r="S19" s="13">
        <v>2.9540826130000002</v>
      </c>
      <c r="T19" s="13">
        <v>1.3676529E-2</v>
      </c>
      <c r="U19" s="14">
        <v>3.20882E-8</v>
      </c>
      <c r="V19" s="14">
        <v>8.3478999999999997E-10</v>
      </c>
      <c r="W19" s="13">
        <v>-3.77788E-4</v>
      </c>
      <c r="X19" s="15">
        <v>2.209E-4</v>
      </c>
    </row>
    <row r="20" spans="1:32" x14ac:dyDescent="0.3">
      <c r="A20" s="17" t="s">
        <v>108</v>
      </c>
      <c r="C20" s="13">
        <v>40</v>
      </c>
      <c r="E20">
        <f t="shared" si="0"/>
        <v>40</v>
      </c>
      <c r="F20" s="13">
        <v>6.3623200000000004</v>
      </c>
      <c r="G20" s="13">
        <v>2697.1228190000002</v>
      </c>
      <c r="H20" s="13">
        <f t="shared" si="1"/>
        <v>0.7510345591040346</v>
      </c>
      <c r="I20" s="13">
        <v>423921277</v>
      </c>
      <c r="J20" s="13">
        <v>17218.766930000002</v>
      </c>
      <c r="K20" s="13">
        <v>5.6109352000000001E-2</v>
      </c>
      <c r="L20" s="13">
        <v>6.4648400000000001E-4</v>
      </c>
      <c r="M20" s="14">
        <v>6.3233899999999996E-6</v>
      </c>
      <c r="N20" s="14">
        <v>1.3522099999999999E-7</v>
      </c>
      <c r="O20" s="14">
        <v>2.88505E-6</v>
      </c>
      <c r="P20" s="14">
        <v>1.06138E-6</v>
      </c>
      <c r="Q20" s="13">
        <v>2.7190320000000001E-3</v>
      </c>
      <c r="R20" s="13">
        <v>1.08835E-4</v>
      </c>
      <c r="S20" s="13">
        <v>-1.1852198810000001</v>
      </c>
      <c r="T20" s="13">
        <v>2.5252098000000001E-2</v>
      </c>
      <c r="U20" s="14">
        <v>3.5196699999999998E-8</v>
      </c>
      <c r="V20" s="14">
        <v>1.66812E-9</v>
      </c>
      <c r="W20" s="13">
        <v>-2.4049600000000001E-4</v>
      </c>
      <c r="X20" s="15">
        <v>2.18123E-4</v>
      </c>
    </row>
    <row r="21" spans="1:32" x14ac:dyDescent="0.3">
      <c r="A21" s="17" t="s">
        <v>108</v>
      </c>
      <c r="C21" s="13">
        <v>44</v>
      </c>
      <c r="E21">
        <f t="shared" si="0"/>
        <v>44</v>
      </c>
      <c r="F21" s="13">
        <v>6.3623200000000004</v>
      </c>
      <c r="G21" s="13"/>
      <c r="H21" s="13">
        <f t="shared" si="1"/>
        <v>0</v>
      </c>
      <c r="I21" s="13">
        <v>412117717.5</v>
      </c>
      <c r="J21" s="13">
        <v>261944.52840000001</v>
      </c>
      <c r="K21" s="13">
        <v>5.5268116999999999E-2</v>
      </c>
      <c r="L21" s="14">
        <v>8.2904299999999998E-5</v>
      </c>
      <c r="M21" s="14">
        <v>6.1862000000000002E-6</v>
      </c>
      <c r="N21" s="14">
        <v>6.3208299999999996E-8</v>
      </c>
      <c r="O21" s="14">
        <v>4.3983399999999999E-14</v>
      </c>
      <c r="P21" s="13"/>
      <c r="Q21" s="13">
        <v>2.653079E-3</v>
      </c>
      <c r="R21" s="13">
        <v>1.2974199999999999E-4</v>
      </c>
      <c r="S21" s="13">
        <v>0.31042239799999999</v>
      </c>
      <c r="T21" s="13">
        <v>4.9096629000000003E-2</v>
      </c>
      <c r="U21" s="14">
        <v>1.8181400000000001E-8</v>
      </c>
      <c r="V21" s="13"/>
      <c r="W21" s="13">
        <v>-8.2382600000000005E-4</v>
      </c>
      <c r="X21" s="15">
        <v>1.36322E-4</v>
      </c>
    </row>
    <row r="22" spans="1:32" x14ac:dyDescent="0.3">
      <c r="A22" s="17" t="s">
        <v>108</v>
      </c>
      <c r="C22" s="13">
        <v>48</v>
      </c>
      <c r="E22">
        <f t="shared" si="0"/>
        <v>48</v>
      </c>
      <c r="F22" s="13">
        <v>6.3623200000000004</v>
      </c>
      <c r="G22" s="13">
        <v>2743.024645</v>
      </c>
      <c r="H22" s="13">
        <f t="shared" si="1"/>
        <v>0.76381627501594174</v>
      </c>
      <c r="I22" s="13">
        <v>431135913.5</v>
      </c>
      <c r="J22" s="13">
        <v>15289.29407</v>
      </c>
      <c r="K22" s="13">
        <v>6.2540872999999997E-2</v>
      </c>
      <c r="L22" s="13">
        <v>6.0477399999999998E-4</v>
      </c>
      <c r="M22" s="14">
        <v>6.0125100000000003E-6</v>
      </c>
      <c r="N22" s="14">
        <v>1.2352100000000001E-7</v>
      </c>
      <c r="O22" s="14">
        <v>8.3240399999999997E-6</v>
      </c>
      <c r="P22" s="14">
        <v>8.71694E-7</v>
      </c>
      <c r="Q22" s="13">
        <v>3.3129740000000002E-3</v>
      </c>
      <c r="R22" s="13">
        <v>1.2259200000000001E-4</v>
      </c>
      <c r="S22" s="13">
        <v>-1.1755535610000001</v>
      </c>
      <c r="T22" s="13">
        <v>2.3231865000000001E-2</v>
      </c>
      <c r="U22" s="14">
        <v>3.0532099999999997E-8</v>
      </c>
      <c r="V22" s="14">
        <v>1.3054099999999999E-9</v>
      </c>
      <c r="W22" s="13">
        <v>-6.4695200000000001E-4</v>
      </c>
      <c r="X22" s="15">
        <v>2.3795899999999999E-4</v>
      </c>
    </row>
    <row r="23" spans="1:32" x14ac:dyDescent="0.3">
      <c r="A23" s="17" t="s">
        <v>108</v>
      </c>
      <c r="C23" s="13">
        <v>52</v>
      </c>
      <c r="E23">
        <f t="shared" si="0"/>
        <v>52</v>
      </c>
      <c r="F23" s="13">
        <v>6.3623200000000004</v>
      </c>
      <c r="G23" s="13">
        <v>2769.437246</v>
      </c>
      <c r="H23" s="13">
        <f t="shared" si="1"/>
        <v>0.77117106657644641</v>
      </c>
      <c r="I23" s="13">
        <v>435287323.69999999</v>
      </c>
      <c r="J23" s="13">
        <v>16023.41389</v>
      </c>
      <c r="K23" s="13">
        <v>6.3590167000000003E-2</v>
      </c>
      <c r="L23" s="13">
        <v>5.3881399999999998E-4</v>
      </c>
      <c r="M23" s="14">
        <v>5.9182299999999999E-6</v>
      </c>
      <c r="N23" s="14">
        <v>1.2048100000000001E-7</v>
      </c>
      <c r="O23" s="14">
        <v>5.4843899999999997E-6</v>
      </c>
      <c r="P23" s="14">
        <v>7.92399E-7</v>
      </c>
      <c r="Q23" s="13">
        <v>3.6887320000000001E-3</v>
      </c>
      <c r="R23" s="13">
        <v>1.2652E-4</v>
      </c>
      <c r="S23" s="13">
        <v>2.7360490620000002</v>
      </c>
      <c r="T23" s="13">
        <v>2.2194289999999998E-2</v>
      </c>
      <c r="U23" s="14">
        <v>2.90663E-8</v>
      </c>
      <c r="V23" s="14">
        <v>1.1967399999999999E-9</v>
      </c>
      <c r="W23" s="13">
        <v>-1.6249490000000001E-3</v>
      </c>
      <c r="X23" s="15">
        <v>2.5261800000000003E-4</v>
      </c>
    </row>
    <row r="24" spans="1:32" x14ac:dyDescent="0.3">
      <c r="A24" s="17" t="s">
        <v>108</v>
      </c>
      <c r="C24" s="13">
        <v>56</v>
      </c>
      <c r="E24">
        <f t="shared" si="0"/>
        <v>56</v>
      </c>
      <c r="F24" s="13">
        <v>6.3623200000000004</v>
      </c>
      <c r="G24" s="13">
        <v>2825.232974</v>
      </c>
      <c r="H24" s="13">
        <f t="shared" si="1"/>
        <v>0.78670781547166557</v>
      </c>
      <c r="I24" s="13">
        <v>444057038</v>
      </c>
      <c r="J24" s="13">
        <v>18277.653719999998</v>
      </c>
      <c r="K24" s="13">
        <v>6.8140294000000004E-2</v>
      </c>
      <c r="L24" s="13">
        <v>6.4375900000000004E-4</v>
      </c>
      <c r="M24" s="14">
        <v>6.1707500000000002E-6</v>
      </c>
      <c r="N24" s="14">
        <v>1.17678E-7</v>
      </c>
      <c r="O24" s="14">
        <v>7.1399099999999999E-6</v>
      </c>
      <c r="P24" s="14">
        <v>8.4423500000000002E-7</v>
      </c>
      <c r="Q24" s="13">
        <v>4.1863650000000001E-3</v>
      </c>
      <c r="R24" s="13">
        <v>1.45678E-4</v>
      </c>
      <c r="S24" s="13">
        <v>-1.52028472</v>
      </c>
      <c r="T24" s="13">
        <v>2.1856522E-2</v>
      </c>
      <c r="U24" s="14">
        <v>2.62331E-8</v>
      </c>
      <c r="V24" s="14">
        <v>1.0248E-9</v>
      </c>
      <c r="W24" s="13">
        <v>-1.471357E-3</v>
      </c>
      <c r="X24" s="15">
        <v>2.37445E-4</v>
      </c>
    </row>
    <row r="25" spans="1:32" x14ac:dyDescent="0.3">
      <c r="A25" s="17" t="s">
        <v>108</v>
      </c>
      <c r="C25" s="13">
        <v>60</v>
      </c>
      <c r="E25">
        <f t="shared" si="0"/>
        <v>60</v>
      </c>
      <c r="F25" s="13">
        <v>6.3623200000000004</v>
      </c>
      <c r="G25" s="13">
        <v>2871.2661889999999</v>
      </c>
      <c r="H25" s="13">
        <f t="shared" si="1"/>
        <v>0.79952611765950754</v>
      </c>
      <c r="I25" s="13">
        <v>451292325.60000002</v>
      </c>
      <c r="J25" s="13">
        <v>12971.272639999999</v>
      </c>
      <c r="K25" s="13">
        <v>6.4217591000000004E-2</v>
      </c>
      <c r="L25" s="13">
        <v>6.42813E-4</v>
      </c>
      <c r="M25" s="14">
        <v>6.0436199999999997E-6</v>
      </c>
      <c r="N25" s="14">
        <v>1.24471E-7</v>
      </c>
      <c r="O25" s="14">
        <v>3.43182E-6</v>
      </c>
      <c r="P25" s="14">
        <v>9.4690900000000003E-7</v>
      </c>
      <c r="Q25" s="13">
        <v>5.0469470000000004E-3</v>
      </c>
      <c r="R25" s="13">
        <v>1.4799600000000001E-4</v>
      </c>
      <c r="S25" s="13">
        <v>-2.3691245520000002</v>
      </c>
      <c r="T25" s="13">
        <v>1.8305744999999998E-2</v>
      </c>
      <c r="U25" s="14">
        <v>2.6292300000000001E-8</v>
      </c>
      <c r="V25" s="14">
        <v>8.6173999999999996E-10</v>
      </c>
      <c r="W25" s="13">
        <v>-1.464302E-3</v>
      </c>
      <c r="X25" s="15">
        <v>2.4929200000000002E-4</v>
      </c>
    </row>
    <row r="26" spans="1:32" x14ac:dyDescent="0.3">
      <c r="A26" s="17" t="s">
        <v>108</v>
      </c>
      <c r="C26" s="13">
        <v>64</v>
      </c>
      <c r="E26">
        <f t="shared" si="0"/>
        <v>64</v>
      </c>
      <c r="F26" s="13">
        <v>6.3623200000000004</v>
      </c>
      <c r="G26" s="13">
        <v>2938.9012210000001</v>
      </c>
      <c r="H26" s="13">
        <f t="shared" si="1"/>
        <v>0.81835961166292137</v>
      </c>
      <c r="I26" s="13">
        <v>461922886.69999999</v>
      </c>
      <c r="J26" s="13">
        <v>10870.60593</v>
      </c>
      <c r="K26" s="13">
        <v>7.2911952000000002E-2</v>
      </c>
      <c r="L26" s="13">
        <v>6.9297800000000002E-4</v>
      </c>
      <c r="M26" s="14">
        <v>6.3127100000000004E-6</v>
      </c>
      <c r="N26" s="14">
        <v>1.18339E-7</v>
      </c>
      <c r="O26" s="14">
        <v>9.1507099999999993E-6</v>
      </c>
      <c r="P26" s="14">
        <v>8.1426000000000004E-7</v>
      </c>
      <c r="Q26" s="13">
        <v>5.0447590000000002E-3</v>
      </c>
      <c r="R26" s="13">
        <v>1.4877400000000001E-4</v>
      </c>
      <c r="S26" s="13">
        <v>-2.3689558119999998</v>
      </c>
      <c r="T26" s="13">
        <v>1.8441332000000001E-2</v>
      </c>
      <c r="U26" s="14">
        <v>2.7615700000000001E-8</v>
      </c>
      <c r="V26" s="14">
        <v>9.2788100000000001E-10</v>
      </c>
      <c r="W26" s="13">
        <v>-1.047269E-3</v>
      </c>
      <c r="X26" s="15">
        <v>2.4386699999999999E-4</v>
      </c>
    </row>
    <row r="27" spans="1:32" x14ac:dyDescent="0.3">
      <c r="A27" s="17" t="s">
        <v>108</v>
      </c>
      <c r="C27" s="13">
        <v>68</v>
      </c>
      <c r="E27">
        <f t="shared" si="0"/>
        <v>68</v>
      </c>
      <c r="F27" s="13">
        <v>6.3623200000000004</v>
      </c>
      <c r="G27" s="13">
        <v>2911.3965870000002</v>
      </c>
      <c r="H27" s="13">
        <f t="shared" si="1"/>
        <v>0.81070073512827157</v>
      </c>
      <c r="I27" s="13">
        <v>457599835.69999999</v>
      </c>
      <c r="J27" s="13">
        <v>31289.54305</v>
      </c>
      <c r="K27" s="13">
        <v>7.1811203000000004E-2</v>
      </c>
      <c r="L27" s="13">
        <v>6.0696299999999997E-4</v>
      </c>
      <c r="M27" s="14">
        <v>5.80686E-6</v>
      </c>
      <c r="N27" s="14">
        <v>1.1172700000000001E-7</v>
      </c>
      <c r="O27" s="14">
        <v>3.64869E-6</v>
      </c>
      <c r="P27" s="14">
        <v>8.2302000000000002E-7</v>
      </c>
      <c r="Q27" s="13">
        <v>5.0303860000000004E-3</v>
      </c>
      <c r="R27" s="13">
        <v>1.76663E-4</v>
      </c>
      <c r="S27" s="13">
        <v>-1.892444915</v>
      </c>
      <c r="T27" s="13">
        <v>2.1882972000000001E-2</v>
      </c>
      <c r="U27" s="14">
        <v>2.18126E-8</v>
      </c>
      <c r="V27" s="14">
        <v>8.2537300000000004E-10</v>
      </c>
      <c r="W27" s="13">
        <v>-1.8600450000000001E-3</v>
      </c>
      <c r="X27" s="15">
        <v>2.6948500000000003E-4</v>
      </c>
    </row>
    <row r="28" spans="1:32" x14ac:dyDescent="0.3">
      <c r="A28" s="17" t="s">
        <v>108</v>
      </c>
      <c r="C28" s="13">
        <v>72</v>
      </c>
      <c r="E28">
        <f t="shared" si="0"/>
        <v>72</v>
      </c>
      <c r="F28" s="13">
        <v>6.3623200000000004</v>
      </c>
      <c r="G28" s="13">
        <v>2951.8618670000001</v>
      </c>
      <c r="H28" s="13">
        <f t="shared" si="1"/>
        <v>0.82196860306136377</v>
      </c>
      <c r="I28" s="13">
        <v>463959981</v>
      </c>
      <c r="J28" s="13">
        <v>25527.401399999999</v>
      </c>
      <c r="K28" s="13">
        <v>7.0082496999999994E-2</v>
      </c>
      <c r="L28" s="13">
        <v>6.4297400000000004E-4</v>
      </c>
      <c r="M28" s="14">
        <v>6.0287200000000001E-6</v>
      </c>
      <c r="N28" s="14">
        <v>1.1679300000000001E-7</v>
      </c>
      <c r="O28" s="14">
        <v>4.0420200000000001E-6</v>
      </c>
      <c r="P28" s="14">
        <v>8.6243799999999998E-7</v>
      </c>
      <c r="Q28" s="13">
        <v>4.4424089999999996E-3</v>
      </c>
      <c r="R28" s="13">
        <v>1.5589E-4</v>
      </c>
      <c r="S28" s="13">
        <v>-2.3016704240000001</v>
      </c>
      <c r="T28" s="13">
        <v>2.1987777999999999E-2</v>
      </c>
      <c r="U28" s="14">
        <v>2.5353100000000001E-8</v>
      </c>
      <c r="V28" s="14">
        <v>9.9603399999999995E-10</v>
      </c>
      <c r="W28" s="13">
        <v>-1.5131260000000001E-3</v>
      </c>
      <c r="X28" s="15">
        <v>2.5697099999999999E-4</v>
      </c>
    </row>
    <row r="29" spans="1:32" x14ac:dyDescent="0.3">
      <c r="A29" s="17" t="s">
        <v>108</v>
      </c>
      <c r="C29" s="13">
        <v>76</v>
      </c>
      <c r="E29">
        <f t="shared" si="0"/>
        <v>76</v>
      </c>
      <c r="F29" s="13">
        <v>6.3623200000000004</v>
      </c>
      <c r="G29" s="13">
        <v>2911.0496790000002</v>
      </c>
      <c r="H29" s="13">
        <f t="shared" si="1"/>
        <v>0.81060413593190039</v>
      </c>
      <c r="I29" s="13">
        <v>457545310.30000001</v>
      </c>
      <c r="J29" s="13">
        <v>26995.2929</v>
      </c>
      <c r="K29" s="13">
        <v>6.8435749000000004E-2</v>
      </c>
      <c r="L29" s="13">
        <v>4.9433099999999998E-4</v>
      </c>
      <c r="M29" s="14">
        <v>5.5597700000000001E-6</v>
      </c>
      <c r="N29" s="14">
        <v>1.10985E-7</v>
      </c>
      <c r="O29" s="14">
        <v>2.12112E-6</v>
      </c>
      <c r="P29" s="14">
        <v>7.3917799999999998E-7</v>
      </c>
      <c r="Q29" s="13">
        <v>3.121955E-3</v>
      </c>
      <c r="R29" s="13">
        <v>1.26747E-4</v>
      </c>
      <c r="S29" s="13">
        <v>2.3872939450000001</v>
      </c>
      <c r="T29" s="13">
        <v>2.640174E-2</v>
      </c>
      <c r="U29" s="14">
        <v>2.9306000000000001E-8</v>
      </c>
      <c r="V29" s="14">
        <v>1.4435599999999999E-9</v>
      </c>
      <c r="W29" s="13">
        <v>-2.607608E-3</v>
      </c>
      <c r="X29" s="15">
        <v>2.8417600000000002E-4</v>
      </c>
    </row>
    <row r="30" spans="1:32" x14ac:dyDescent="0.3">
      <c r="A30" s="17" t="s">
        <v>108</v>
      </c>
      <c r="C30" s="13">
        <v>80</v>
      </c>
      <c r="E30">
        <f t="shared" si="0"/>
        <v>80</v>
      </c>
      <c r="F30" s="13">
        <v>6.3623200000000004</v>
      </c>
      <c r="G30" s="13">
        <v>2761.3106299999999</v>
      </c>
      <c r="H30" s="13">
        <f t="shared" si="1"/>
        <v>0.76890814795013374</v>
      </c>
      <c r="I30" s="13">
        <v>434010020</v>
      </c>
      <c r="J30" s="13">
        <v>272339.90899999999</v>
      </c>
      <c r="K30" s="13">
        <v>7.4871960000000001E-2</v>
      </c>
      <c r="L30" s="13">
        <v>6.6691600000000004E-4</v>
      </c>
      <c r="M30" s="14">
        <v>6.36357E-6</v>
      </c>
      <c r="N30" s="14">
        <v>1.12408E-7</v>
      </c>
      <c r="O30" s="14">
        <v>8.3882899999999999E-6</v>
      </c>
      <c r="P30" s="14">
        <v>7.6267199999999999E-7</v>
      </c>
      <c r="Q30" s="13">
        <v>3.3801410000000001E-3</v>
      </c>
      <c r="R30" s="13">
        <v>1.6405599999999999E-4</v>
      </c>
      <c r="S30" s="13">
        <v>1.274929357</v>
      </c>
      <c r="T30" s="13">
        <v>4.9745240000000003E-2</v>
      </c>
      <c r="U30" s="14">
        <v>1.48356E-8</v>
      </c>
      <c r="V30" s="13"/>
      <c r="W30" s="13">
        <v>-8.5121800000000005E-4</v>
      </c>
      <c r="X30" s="15">
        <v>2.3691599999999999E-4</v>
      </c>
    </row>
    <row r="31" spans="1:32" x14ac:dyDescent="0.3">
      <c r="A31" s="17" t="s">
        <v>108</v>
      </c>
      <c r="C31" s="13">
        <v>84</v>
      </c>
      <c r="E31">
        <f t="shared" si="0"/>
        <v>84</v>
      </c>
      <c r="F31" s="13">
        <v>6.3623200000000004</v>
      </c>
      <c r="G31" s="13">
        <v>3386.4394550000002</v>
      </c>
      <c r="H31" s="13">
        <f t="shared" si="1"/>
        <v>0.94298006939165357</v>
      </c>
      <c r="I31" s="13">
        <v>532264874.19999999</v>
      </c>
      <c r="J31" s="13">
        <v>54497.048450000002</v>
      </c>
      <c r="K31" s="13">
        <v>5.5648731999999999E-2</v>
      </c>
      <c r="L31" s="13">
        <v>5.3750499999999997E-4</v>
      </c>
      <c r="M31" s="14">
        <v>6.4359599999999996E-6</v>
      </c>
      <c r="N31" s="14">
        <v>1.31263E-7</v>
      </c>
      <c r="O31" s="14">
        <v>9.6585900000000003E-6</v>
      </c>
      <c r="P31" s="14">
        <v>8.0023799999999997E-7</v>
      </c>
      <c r="Q31" s="13">
        <v>1.2161369999999999E-3</v>
      </c>
      <c r="R31" s="13">
        <v>1.0189200000000001E-4</v>
      </c>
      <c r="S31" s="13">
        <v>-0.31042249300000002</v>
      </c>
      <c r="T31" s="13">
        <v>5.5181789000000002E-2</v>
      </c>
      <c r="U31" s="14">
        <v>3.4856999999999999E-8</v>
      </c>
      <c r="V31" s="14">
        <v>3.6538099999999998E-9</v>
      </c>
      <c r="W31" s="13">
        <v>-6.4809500000000001E-4</v>
      </c>
      <c r="X31" s="15">
        <v>2.04916E-4</v>
      </c>
    </row>
    <row r="32" spans="1:32" x14ac:dyDescent="0.3">
      <c r="A32" s="17" t="s">
        <v>108</v>
      </c>
      <c r="C32" s="13">
        <v>88</v>
      </c>
      <c r="E32">
        <f t="shared" si="0"/>
        <v>88</v>
      </c>
      <c r="F32" s="13">
        <v>6.3623200000000004</v>
      </c>
      <c r="G32" s="13">
        <v>2685.0016169999999</v>
      </c>
      <c r="H32" s="13">
        <f t="shared" si="1"/>
        <v>0.74765931733315505</v>
      </c>
      <c r="I32" s="13">
        <v>422016122.60000002</v>
      </c>
      <c r="J32" s="13">
        <v>311407.42879999999</v>
      </c>
      <c r="K32" s="13">
        <v>5.3028664000000003E-2</v>
      </c>
      <c r="L32" s="13">
        <v>5.8598500000000002E-4</v>
      </c>
      <c r="M32" s="14">
        <v>6.3089900000000002E-6</v>
      </c>
      <c r="N32" s="14">
        <v>1.3796900000000001E-7</v>
      </c>
      <c r="O32" s="14">
        <v>4.2520000000000001E-6</v>
      </c>
      <c r="P32" s="14">
        <v>9.9766500000000009E-7</v>
      </c>
      <c r="Q32" s="13">
        <v>1.8796609999999999E-3</v>
      </c>
      <c r="R32" s="13">
        <v>1.17203E-4</v>
      </c>
      <c r="S32" s="13">
        <v>1.8674015829999999</v>
      </c>
      <c r="T32" s="13">
        <v>6.3610431999999995E-2</v>
      </c>
      <c r="U32" s="14">
        <v>1.8255E-8</v>
      </c>
      <c r="V32" s="13"/>
      <c r="W32" s="13">
        <v>-5.33499E-4</v>
      </c>
      <c r="X32" s="15">
        <v>2.1310599999999999E-4</v>
      </c>
    </row>
    <row r="33" spans="1:24" x14ac:dyDescent="0.3">
      <c r="A33" s="17" t="s">
        <v>108</v>
      </c>
      <c r="C33" s="13">
        <v>92</v>
      </c>
      <c r="E33">
        <f t="shared" si="0"/>
        <v>92</v>
      </c>
      <c r="F33" s="13">
        <v>6.3623200000000004</v>
      </c>
      <c r="G33" s="13">
        <v>3431.8580440000001</v>
      </c>
      <c r="H33" s="13">
        <f t="shared" si="1"/>
        <v>0.95562722425032232</v>
      </c>
      <c r="I33" s="13">
        <v>539403557.79999995</v>
      </c>
      <c r="J33" s="13">
        <v>69299.636069999993</v>
      </c>
      <c r="K33" s="13">
        <v>6.1042095999999997E-2</v>
      </c>
      <c r="L33" s="13">
        <v>6.7680099999999999E-4</v>
      </c>
      <c r="M33" s="14">
        <v>6.7247500000000003E-6</v>
      </c>
      <c r="N33" s="14">
        <v>1.34575E-7</v>
      </c>
      <c r="O33" s="14">
        <v>1.04819E-5</v>
      </c>
      <c r="P33" s="14">
        <v>8.8814300000000004E-7</v>
      </c>
      <c r="Q33" s="13">
        <v>1.891939E-3</v>
      </c>
      <c r="R33" s="13">
        <v>1.5370800000000001E-4</v>
      </c>
      <c r="S33" s="13">
        <v>1.176817335</v>
      </c>
      <c r="T33" s="13">
        <v>5.1750039999999997E-2</v>
      </c>
      <c r="U33" s="14">
        <v>2.4520000000000001E-8</v>
      </c>
      <c r="V33" s="14">
        <v>2.2537899999999999E-9</v>
      </c>
      <c r="W33" s="14">
        <v>-8.1324199999999996E-5</v>
      </c>
      <c r="X33" s="15">
        <v>2.07118E-4</v>
      </c>
    </row>
    <row r="34" spans="1:24" x14ac:dyDescent="0.3">
      <c r="A34" s="17" t="s">
        <v>108</v>
      </c>
      <c r="C34" s="13">
        <v>96</v>
      </c>
      <c r="E34">
        <f t="shared" si="0"/>
        <v>96</v>
      </c>
      <c r="F34" s="13">
        <v>6.3623200000000004</v>
      </c>
      <c r="G34" s="13">
        <v>3454.0285389999999</v>
      </c>
      <c r="H34" s="13">
        <f t="shared" si="1"/>
        <v>0.96180076882165055</v>
      </c>
      <c r="I34" s="13">
        <v>542888213.60000002</v>
      </c>
      <c r="J34" s="13">
        <v>88620.473299999998</v>
      </c>
      <c r="K34" s="13">
        <v>5.9301522000000002E-2</v>
      </c>
      <c r="L34" s="13">
        <v>5.9325899999999995E-4</v>
      </c>
      <c r="M34" s="14">
        <v>6.6600099999999996E-6</v>
      </c>
      <c r="N34" s="14">
        <v>1.2847599999999999E-7</v>
      </c>
      <c r="O34" s="14">
        <v>9.8985500000000003E-6</v>
      </c>
      <c r="P34" s="14">
        <v>8.0595900000000002E-7</v>
      </c>
      <c r="Q34" s="13">
        <v>1.672511E-3</v>
      </c>
      <c r="R34" s="13">
        <v>1.4468599999999999E-4</v>
      </c>
      <c r="S34" s="13">
        <v>2.3698088450000001</v>
      </c>
      <c r="T34" s="13">
        <v>5.4659183E-2</v>
      </c>
      <c r="U34" s="14">
        <v>2.44088E-8</v>
      </c>
      <c r="V34" s="14">
        <v>2.4369199999999999E-9</v>
      </c>
      <c r="W34" s="13">
        <v>-4.5081199999999998E-4</v>
      </c>
      <c r="X34" s="15">
        <v>1.9900399999999999E-4</v>
      </c>
    </row>
    <row r="35" spans="1:24" x14ac:dyDescent="0.3">
      <c r="A35" s="17" t="s">
        <v>108</v>
      </c>
      <c r="C35" s="13">
        <v>100</v>
      </c>
      <c r="E35">
        <f t="shared" si="0"/>
        <v>100</v>
      </c>
      <c r="F35" s="13">
        <v>6.3623200000000004</v>
      </c>
      <c r="G35" s="13">
        <v>3510.479366</v>
      </c>
      <c r="H35" s="13">
        <f t="shared" si="1"/>
        <v>0.9775199350636693</v>
      </c>
      <c r="I35" s="13">
        <v>551760893.10000002</v>
      </c>
      <c r="J35" s="13">
        <v>22227.885289999998</v>
      </c>
      <c r="K35" s="13">
        <v>5.7309274E-2</v>
      </c>
      <c r="L35" s="13">
        <v>5.5130299999999995E-4</v>
      </c>
      <c r="M35" s="14">
        <v>6.3967600000000001E-6</v>
      </c>
      <c r="N35" s="14">
        <v>1.3419299999999999E-7</v>
      </c>
      <c r="O35" s="14">
        <v>5.8705199999999997E-6</v>
      </c>
      <c r="P35" s="14">
        <v>8.3365200000000001E-7</v>
      </c>
      <c r="Q35" s="13">
        <v>3.61553E-3</v>
      </c>
      <c r="R35" s="13">
        <v>1.38617E-4</v>
      </c>
      <c r="S35" s="13">
        <v>-9.2684755999999993E-2</v>
      </c>
      <c r="T35" s="13">
        <v>2.5401902000000001E-2</v>
      </c>
      <c r="U35" s="14">
        <v>2.55317E-8</v>
      </c>
      <c r="V35" s="14">
        <v>1.1861799999999999E-9</v>
      </c>
      <c r="W35" s="13">
        <v>-8.3247699999999998E-4</v>
      </c>
      <c r="X35" s="15">
        <v>2.2430099999999999E-4</v>
      </c>
    </row>
    <row r="36" spans="1:24" x14ac:dyDescent="0.3">
      <c r="A36" s="17" t="s">
        <v>108</v>
      </c>
      <c r="C36" s="13">
        <v>104</v>
      </c>
      <c r="E36">
        <f t="shared" si="0"/>
        <v>104</v>
      </c>
      <c r="F36" s="13">
        <v>6.3623200000000004</v>
      </c>
      <c r="G36" s="13">
        <v>3523.3606770000001</v>
      </c>
      <c r="H36" s="13">
        <f t="shared" si="1"/>
        <v>0.98110683502217921</v>
      </c>
      <c r="I36" s="13">
        <v>553785518</v>
      </c>
      <c r="J36" s="13">
        <v>34628.700810000002</v>
      </c>
      <c r="K36" s="13">
        <v>5.4134925E-2</v>
      </c>
      <c r="L36" s="13">
        <v>5.2461000000000001E-4</v>
      </c>
      <c r="M36" s="14">
        <v>6.4415099999999999E-6</v>
      </c>
      <c r="N36" s="14">
        <v>1.3118399999999999E-7</v>
      </c>
      <c r="O36" s="14">
        <v>7.5413199999999998E-6</v>
      </c>
      <c r="P36" s="14">
        <v>8.2178200000000005E-7</v>
      </c>
      <c r="Q36" s="13">
        <v>2.10334E-3</v>
      </c>
      <c r="R36" s="13">
        <v>1.17052E-4</v>
      </c>
      <c r="S36" s="13">
        <v>-1.208691889</v>
      </c>
      <c r="T36" s="13">
        <v>3.6642684000000002E-2</v>
      </c>
      <c r="U36" s="14">
        <v>2.8428300000000001E-8</v>
      </c>
      <c r="V36" s="14">
        <v>1.9245499999999999E-9</v>
      </c>
      <c r="W36" s="13">
        <v>-2.4857999999999998E-4</v>
      </c>
      <c r="X36" s="15">
        <v>2.0123499999999999E-4</v>
      </c>
    </row>
    <row r="37" spans="1:24" x14ac:dyDescent="0.3">
      <c r="A37" s="17" t="s">
        <v>108</v>
      </c>
      <c r="C37" s="13">
        <v>108</v>
      </c>
      <c r="E37">
        <f t="shared" si="0"/>
        <v>108</v>
      </c>
      <c r="F37" s="13">
        <v>6.3623200000000004</v>
      </c>
      <c r="G37" s="13">
        <v>3521.1461380000001</v>
      </c>
      <c r="H37" s="13">
        <f t="shared" si="1"/>
        <v>0.98049017963304852</v>
      </c>
      <c r="I37" s="13">
        <v>553437447</v>
      </c>
      <c r="J37" s="13">
        <v>354696.82630000002</v>
      </c>
      <c r="K37" s="13">
        <v>5.9256495999999999E-2</v>
      </c>
      <c r="L37" s="13">
        <v>6.6819500000000001E-4</v>
      </c>
      <c r="M37" s="14">
        <v>6.5671500000000003E-6</v>
      </c>
      <c r="N37" s="14">
        <v>1.3709099999999999E-7</v>
      </c>
      <c r="O37" s="14">
        <v>9.0101899999999999E-6</v>
      </c>
      <c r="P37" s="14">
        <v>9.3739799999999996E-7</v>
      </c>
      <c r="Q37" s="13">
        <v>1.9290080000000001E-3</v>
      </c>
      <c r="R37" s="13">
        <v>1.6999199999999999E-4</v>
      </c>
      <c r="S37" s="13">
        <v>0.28268472500000003</v>
      </c>
      <c r="T37" s="13">
        <v>5.5820409000000001E-2</v>
      </c>
      <c r="U37" s="14">
        <v>2.2013E-8</v>
      </c>
      <c r="V37" s="14">
        <v>2.1225300000000001E-9</v>
      </c>
      <c r="W37" s="13">
        <v>-8.94658E-4</v>
      </c>
      <c r="X37" s="15">
        <v>2.14637E-4</v>
      </c>
    </row>
    <row r="38" spans="1:24" x14ac:dyDescent="0.3">
      <c r="A38" s="17" t="s">
        <v>108</v>
      </c>
      <c r="C38" s="13">
        <v>112</v>
      </c>
      <c r="E38">
        <f t="shared" si="0"/>
        <v>112</v>
      </c>
      <c r="F38" s="13">
        <v>6.3623200000000004</v>
      </c>
      <c r="G38" s="13">
        <v>2928.924829</v>
      </c>
      <c r="H38" s="13">
        <f t="shared" si="1"/>
        <v>0.81558160870570084</v>
      </c>
      <c r="I38" s="13">
        <v>460354843.69999999</v>
      </c>
      <c r="J38" s="13">
        <v>16487.216069999999</v>
      </c>
      <c r="K38" s="13">
        <v>5.7819150999999999E-2</v>
      </c>
      <c r="L38" s="13">
        <v>6.6412000000000003E-4</v>
      </c>
      <c r="M38" s="14">
        <v>6.4785400000000001E-6</v>
      </c>
      <c r="N38" s="14">
        <v>1.47185E-7</v>
      </c>
      <c r="O38" s="14">
        <v>4.1487099999999996E-6</v>
      </c>
      <c r="P38" s="14">
        <v>1.01309E-6</v>
      </c>
      <c r="Q38" s="13">
        <v>4.0742759999999999E-3</v>
      </c>
      <c r="R38" s="13">
        <v>1.3619399999999999E-4</v>
      </c>
      <c r="S38" s="13">
        <v>0.68310224100000005</v>
      </c>
      <c r="T38" s="13">
        <v>2.1349988E-2</v>
      </c>
      <c r="U38" s="14">
        <v>3.0559399999999998E-8</v>
      </c>
      <c r="V38" s="14">
        <v>1.2277300000000001E-9</v>
      </c>
      <c r="W38" s="13">
        <v>-4.3633799999999998E-4</v>
      </c>
      <c r="X38" s="15">
        <v>2.40184E-4</v>
      </c>
    </row>
    <row r="39" spans="1:24" x14ac:dyDescent="0.3">
      <c r="A39" s="17" t="s">
        <v>108</v>
      </c>
      <c r="C39" s="13">
        <v>116</v>
      </c>
      <c r="E39">
        <f t="shared" si="0"/>
        <v>116</v>
      </c>
      <c r="F39" s="13">
        <v>6.3623200000000004</v>
      </c>
      <c r="G39" s="13">
        <v>2993.7271959999998</v>
      </c>
      <c r="H39" s="13">
        <f t="shared" si="1"/>
        <v>0.83362632538893566</v>
      </c>
      <c r="I39" s="13">
        <v>470540179.60000002</v>
      </c>
      <c r="J39" s="13">
        <v>12662.527480000001</v>
      </c>
      <c r="K39" s="13">
        <v>5.3618872999999997E-2</v>
      </c>
      <c r="L39" s="13">
        <v>5.7194199999999998E-4</v>
      </c>
      <c r="M39" s="14">
        <v>6.4007399999999998E-6</v>
      </c>
      <c r="N39" s="14">
        <v>1.4131000000000001E-7</v>
      </c>
      <c r="O39" s="14">
        <v>1.1034399999999999E-6</v>
      </c>
      <c r="P39" s="14">
        <v>9.7763799999999996E-7</v>
      </c>
      <c r="Q39" s="13">
        <v>5.717382E-3</v>
      </c>
      <c r="R39" s="13">
        <v>1.4097E-4</v>
      </c>
      <c r="S39" s="13">
        <v>1.7488274290000001</v>
      </c>
      <c r="T39" s="13">
        <v>1.5854962E-2</v>
      </c>
      <c r="U39" s="14">
        <v>2.5729600000000001E-8</v>
      </c>
      <c r="V39" s="14">
        <v>7.5247300000000001E-10</v>
      </c>
      <c r="W39" s="13">
        <v>-3.9628999999999999E-4</v>
      </c>
      <c r="X39" s="15">
        <v>2.2373200000000001E-4</v>
      </c>
    </row>
    <row r="40" spans="1:24" x14ac:dyDescent="0.3">
      <c r="A40" s="17" t="s">
        <v>108</v>
      </c>
      <c r="C40" s="13">
        <v>120</v>
      </c>
      <c r="E40">
        <f t="shared" si="0"/>
        <v>120</v>
      </c>
      <c r="F40" s="13">
        <v>6.3623200000000004</v>
      </c>
      <c r="G40" s="13">
        <v>3035.0224210000001</v>
      </c>
      <c r="H40" s="13">
        <f t="shared" si="1"/>
        <v>0.84512529788010171</v>
      </c>
      <c r="I40" s="13">
        <v>477030771.89999998</v>
      </c>
      <c r="J40" s="13">
        <v>24311.69699</v>
      </c>
      <c r="K40" s="13">
        <v>5.3550256999999997E-2</v>
      </c>
      <c r="L40" s="13">
        <v>4.9849699999999998E-4</v>
      </c>
      <c r="M40" s="14">
        <v>6.1851600000000003E-6</v>
      </c>
      <c r="N40" s="14">
        <v>1.3072E-7</v>
      </c>
      <c r="O40" s="14">
        <v>2.2291099999999998E-6</v>
      </c>
      <c r="P40" s="14">
        <v>8.63129E-7</v>
      </c>
      <c r="Q40" s="13">
        <v>3.4357540000000001E-3</v>
      </c>
      <c r="R40" s="13">
        <v>1.31361E-4</v>
      </c>
      <c r="S40" s="13">
        <v>2.3300738920000001</v>
      </c>
      <c r="T40" s="13">
        <v>2.4745532000000001E-2</v>
      </c>
      <c r="U40" s="14">
        <v>2.5389399999999998E-8</v>
      </c>
      <c r="V40" s="14">
        <v>1.16146E-9</v>
      </c>
      <c r="W40" s="13">
        <v>-5.5166899999999997E-4</v>
      </c>
      <c r="X40" s="15">
        <v>2.1944400000000001E-4</v>
      </c>
    </row>
    <row r="41" spans="1:24" x14ac:dyDescent="0.3">
      <c r="A41" s="17" t="s">
        <v>108</v>
      </c>
      <c r="C41" s="13">
        <v>124</v>
      </c>
      <c r="E41">
        <f t="shared" si="0"/>
        <v>124</v>
      </c>
      <c r="F41" s="13">
        <v>6.3623200000000004</v>
      </c>
      <c r="G41" s="13">
        <v>3064.1191220000001</v>
      </c>
      <c r="H41" s="13">
        <f t="shared" si="1"/>
        <v>0.85322749769576267</v>
      </c>
      <c r="I41" s="13">
        <v>481604056.69999999</v>
      </c>
      <c r="J41" s="13">
        <v>12043.281059999999</v>
      </c>
      <c r="K41" s="13">
        <v>5.2546120000000002E-2</v>
      </c>
      <c r="L41" s="14">
        <v>7.9797799999999997E-5</v>
      </c>
      <c r="M41" s="14">
        <v>6.4837799999999999E-6</v>
      </c>
      <c r="N41" s="14">
        <v>6.65432E-8</v>
      </c>
      <c r="O41" s="14">
        <v>4.1963300000000001E-9</v>
      </c>
      <c r="P41" s="13"/>
      <c r="Q41" s="13">
        <v>4.4332360000000001E-3</v>
      </c>
      <c r="R41" s="13">
        <v>1.2875500000000001E-4</v>
      </c>
      <c r="S41" s="13">
        <v>2.528650641</v>
      </c>
      <c r="T41" s="13">
        <v>1.8297101E-2</v>
      </c>
      <c r="U41" s="14">
        <v>2.9704900000000002E-8</v>
      </c>
      <c r="V41" s="14">
        <v>9.9823699999999993E-10</v>
      </c>
      <c r="W41" s="13">
        <v>-4.15905E-4</v>
      </c>
      <c r="X41" s="15">
        <v>1.27145E-4</v>
      </c>
    </row>
    <row r="42" spans="1:24" x14ac:dyDescent="0.3">
      <c r="A42" s="17" t="s">
        <v>108</v>
      </c>
      <c r="C42" s="13">
        <v>128</v>
      </c>
      <c r="E42">
        <f t="shared" si="0"/>
        <v>128</v>
      </c>
      <c r="F42" s="13">
        <v>6.3623200000000004</v>
      </c>
      <c r="G42" s="13">
        <v>3059.0998960000002</v>
      </c>
      <c r="H42" s="13">
        <f t="shared" si="1"/>
        <v>0.85182985567538516</v>
      </c>
      <c r="I42" s="13">
        <v>480815158.10000002</v>
      </c>
      <c r="J42" s="13">
        <v>33979.272420000001</v>
      </c>
      <c r="K42" s="13">
        <v>4.7467792000000002E-2</v>
      </c>
      <c r="L42" s="14">
        <v>7.0823799999999998E-5</v>
      </c>
      <c r="M42" s="14">
        <v>6.5293399999999997E-6</v>
      </c>
      <c r="N42" s="14">
        <v>6.5222800000000004E-8</v>
      </c>
      <c r="O42" s="14">
        <v>3.5064300000000002E-13</v>
      </c>
      <c r="P42" s="13"/>
      <c r="Q42" s="13">
        <v>2.574518E-3</v>
      </c>
      <c r="R42" s="13">
        <v>1.19335E-4</v>
      </c>
      <c r="S42" s="13">
        <v>-2.2475649729999998</v>
      </c>
      <c r="T42" s="13">
        <v>2.9362991000000001E-2</v>
      </c>
      <c r="U42" s="14">
        <v>2.76636E-8</v>
      </c>
      <c r="V42" s="14">
        <v>1.48477E-9</v>
      </c>
      <c r="W42" s="13">
        <v>1.9459999999999999E-4</v>
      </c>
      <c r="X42" s="15">
        <v>1.11804E-4</v>
      </c>
    </row>
    <row r="43" spans="1:24" x14ac:dyDescent="0.3">
      <c r="A43" s="17" t="s">
        <v>108</v>
      </c>
      <c r="C43" s="13">
        <v>132</v>
      </c>
      <c r="E43">
        <f t="shared" si="0"/>
        <v>132</v>
      </c>
      <c r="F43" s="13">
        <v>6.3623200000000004</v>
      </c>
      <c r="G43" s="13">
        <v>3010.0217269999998</v>
      </c>
      <c r="H43" s="13">
        <f t="shared" si="1"/>
        <v>0.83816366266522979</v>
      </c>
      <c r="I43" s="13">
        <v>473101278.60000002</v>
      </c>
      <c r="J43" s="13">
        <v>16452.809649999999</v>
      </c>
      <c r="K43" s="13">
        <v>5.9824503000000001E-2</v>
      </c>
      <c r="L43" s="14">
        <v>7.8184399999999996E-5</v>
      </c>
      <c r="M43" s="14">
        <v>6.4083199999999998E-6</v>
      </c>
      <c r="N43" s="14">
        <v>5.80314E-8</v>
      </c>
      <c r="O43" s="14">
        <v>2.3283600000000002E-14</v>
      </c>
      <c r="P43" s="13"/>
      <c r="Q43" s="13">
        <v>3.7928409999999999E-3</v>
      </c>
      <c r="R43" s="13">
        <v>1.3280599999999999E-4</v>
      </c>
      <c r="S43" s="13">
        <v>1.447724612</v>
      </c>
      <c r="T43" s="13">
        <v>2.1177662E-2</v>
      </c>
      <c r="U43" s="14">
        <v>3.0231600000000001E-8</v>
      </c>
      <c r="V43" s="14">
        <v>1.17199E-9</v>
      </c>
      <c r="W43" s="13">
        <v>-9.0812200000000003E-4</v>
      </c>
      <c r="X43" s="15">
        <v>1.2711499999999999E-4</v>
      </c>
    </row>
    <row r="44" spans="1:24" x14ac:dyDescent="0.3">
      <c r="A44" s="17" t="s">
        <v>108</v>
      </c>
      <c r="C44" s="13">
        <v>136</v>
      </c>
      <c r="E44">
        <f t="shared" si="0"/>
        <v>136</v>
      </c>
      <c r="F44" s="13">
        <v>6.3623200000000004</v>
      </c>
      <c r="G44" s="13">
        <v>2956.084906</v>
      </c>
      <c r="H44" s="13">
        <f t="shared" si="1"/>
        <v>0.82314454069798204</v>
      </c>
      <c r="I44" s="13">
        <v>464623738.80000001</v>
      </c>
      <c r="J44" s="13">
        <v>9378.0375409999997</v>
      </c>
      <c r="K44" s="13">
        <v>6.6795451000000006E-2</v>
      </c>
      <c r="L44" s="13">
        <v>5.6904299999999998E-4</v>
      </c>
      <c r="M44" s="14">
        <v>6.5615900000000001E-6</v>
      </c>
      <c r="N44" s="14">
        <v>1.12781E-7</v>
      </c>
      <c r="O44" s="14">
        <v>7.9838300000000001E-6</v>
      </c>
      <c r="P44" s="14">
        <v>7.0928900000000005E-7</v>
      </c>
      <c r="Q44" s="13">
        <v>6.2383100000000004E-3</v>
      </c>
      <c r="R44" s="13">
        <v>1.3570499999999999E-4</v>
      </c>
      <c r="S44" s="13">
        <v>1.815692815</v>
      </c>
      <c r="T44" s="13">
        <v>1.3984606E-2</v>
      </c>
      <c r="U44" s="14">
        <v>2.57532E-8</v>
      </c>
      <c r="V44" s="14">
        <v>6.6262200000000005E-10</v>
      </c>
      <c r="W44" s="13">
        <v>-6.2128400000000005E-4</v>
      </c>
      <c r="X44" s="15">
        <v>2.0571899999999999E-4</v>
      </c>
    </row>
    <row r="45" spans="1:24" x14ac:dyDescent="0.3">
      <c r="A45" s="17" t="s">
        <v>108</v>
      </c>
      <c r="C45" s="13">
        <v>140</v>
      </c>
      <c r="E45">
        <f t="shared" si="0"/>
        <v>140</v>
      </c>
      <c r="F45" s="13">
        <v>6.3623200000000004</v>
      </c>
      <c r="G45" s="13">
        <v>2909.9287129999998</v>
      </c>
      <c r="H45" s="13">
        <f t="shared" si="1"/>
        <v>0.81029199434173993</v>
      </c>
      <c r="I45" s="13">
        <v>457369122.10000002</v>
      </c>
      <c r="J45" s="13">
        <v>14377.519630000001</v>
      </c>
      <c r="K45" s="13">
        <v>6.4746891000000001E-2</v>
      </c>
      <c r="L45" s="13">
        <v>5.32129E-4</v>
      </c>
      <c r="M45" s="14">
        <v>6.0364000000000003E-6</v>
      </c>
      <c r="N45" s="14">
        <v>1.1764500000000001E-7</v>
      </c>
      <c r="O45" s="14">
        <v>7.13318E-6</v>
      </c>
      <c r="P45" s="14">
        <v>7.4043400000000002E-7</v>
      </c>
      <c r="Q45" s="13">
        <v>4.7116880000000003E-3</v>
      </c>
      <c r="R45" s="13">
        <v>1.38985E-4</v>
      </c>
      <c r="S45" s="13">
        <v>2.2304542220000001</v>
      </c>
      <c r="T45" s="13">
        <v>1.8989900000000001E-2</v>
      </c>
      <c r="U45" s="14">
        <v>2.5627799999999999E-8</v>
      </c>
      <c r="V45" s="14">
        <v>8.9379900000000005E-10</v>
      </c>
      <c r="W45" s="13">
        <v>-2.1553599999999998E-3</v>
      </c>
      <c r="X45" s="15">
        <v>2.4212699999999999E-4</v>
      </c>
    </row>
    <row r="46" spans="1:24" x14ac:dyDescent="0.3">
      <c r="A46" s="17" t="s">
        <v>108</v>
      </c>
      <c r="C46" s="13">
        <v>144</v>
      </c>
      <c r="E46">
        <f t="shared" si="0"/>
        <v>144</v>
      </c>
      <c r="F46" s="13">
        <v>6.3623200000000004</v>
      </c>
      <c r="G46" s="13">
        <v>2867.8370490000002</v>
      </c>
      <c r="H46" s="13">
        <f t="shared" si="1"/>
        <v>0.79857124729547979</v>
      </c>
      <c r="I46" s="13">
        <v>450753349.19999999</v>
      </c>
      <c r="J46" s="13">
        <v>13254.543369999999</v>
      </c>
      <c r="K46" s="13">
        <v>5.9758841E-2</v>
      </c>
      <c r="L46" s="13">
        <v>6.7947999999999999E-4</v>
      </c>
      <c r="M46" s="14">
        <v>6.6753700000000001E-6</v>
      </c>
      <c r="N46" s="14">
        <v>1.32549E-7</v>
      </c>
      <c r="O46" s="14">
        <v>8.2963700000000003E-6</v>
      </c>
      <c r="P46" s="14">
        <v>9.4595599999999998E-7</v>
      </c>
      <c r="Q46" s="13">
        <v>4.0322320000000002E-3</v>
      </c>
      <c r="R46" s="13">
        <v>1.3343299999999999E-4</v>
      </c>
      <c r="S46" s="13">
        <v>-2.0851156369999999</v>
      </c>
      <c r="T46" s="13">
        <v>2.0749747999999998E-2</v>
      </c>
      <c r="U46" s="14">
        <v>2.82356E-8</v>
      </c>
      <c r="V46" s="14">
        <v>1.0649200000000001E-9</v>
      </c>
      <c r="W46" s="13">
        <v>-3.0078899999999998E-4</v>
      </c>
      <c r="X46" s="15">
        <v>2.0232200000000001E-4</v>
      </c>
    </row>
    <row r="47" spans="1:24" x14ac:dyDescent="0.3">
      <c r="A47" s="17" t="s">
        <v>108</v>
      </c>
      <c r="C47" s="13">
        <v>148</v>
      </c>
      <c r="E47">
        <f t="shared" si="0"/>
        <v>148</v>
      </c>
      <c r="F47" s="13">
        <v>6.3623200000000004</v>
      </c>
      <c r="G47" s="13">
        <v>2832.3881879999999</v>
      </c>
      <c r="H47" s="13">
        <f t="shared" si="1"/>
        <v>0.78870023975206127</v>
      </c>
      <c r="I47" s="13">
        <v>445181661.5</v>
      </c>
      <c r="J47" s="13">
        <v>13478.77066</v>
      </c>
      <c r="K47" s="13">
        <v>5.8873698000000002E-2</v>
      </c>
      <c r="L47" s="13">
        <v>5.1935900000000005E-4</v>
      </c>
      <c r="M47" s="14">
        <v>6.8389099999999997E-6</v>
      </c>
      <c r="N47" s="14">
        <v>1.21365E-7</v>
      </c>
      <c r="O47" s="14">
        <v>1.2075900000000001E-5</v>
      </c>
      <c r="P47" s="14">
        <v>6.6927199999999996E-7</v>
      </c>
      <c r="Q47" s="13">
        <v>3.4579760000000002E-3</v>
      </c>
      <c r="R47" s="13">
        <v>1.09752E-4</v>
      </c>
      <c r="S47" s="13">
        <v>-2.680169759</v>
      </c>
      <c r="T47" s="13">
        <v>2.0997069E-2</v>
      </c>
      <c r="U47" s="14">
        <v>3.0357300000000001E-8</v>
      </c>
      <c r="V47" s="14">
        <v>1.2054E-9</v>
      </c>
      <c r="W47" s="13">
        <v>1.2157799999999999E-4</v>
      </c>
      <c r="X47" s="15">
        <v>1.8033200000000001E-4</v>
      </c>
    </row>
    <row r="48" spans="1:24" x14ac:dyDescent="0.3">
      <c r="A48" s="17" t="s">
        <v>108</v>
      </c>
      <c r="C48" s="13">
        <v>152</v>
      </c>
      <c r="E48">
        <f t="shared" si="0"/>
        <v>152</v>
      </c>
      <c r="F48" s="13">
        <v>6.3623200000000004</v>
      </c>
      <c r="G48" s="13">
        <v>2785.2873599999998</v>
      </c>
      <c r="H48" s="13">
        <f t="shared" si="1"/>
        <v>0.7755846525265857</v>
      </c>
      <c r="I48" s="13">
        <v>437778571.30000001</v>
      </c>
      <c r="J48" s="13">
        <v>22243.891940000001</v>
      </c>
      <c r="K48" s="13">
        <v>5.9121604000000001E-2</v>
      </c>
      <c r="L48" s="13">
        <v>5.8992799999999998E-4</v>
      </c>
      <c r="M48" s="14">
        <v>6.5040099999999998E-6</v>
      </c>
      <c r="N48" s="14">
        <v>1.2007399999999999E-7</v>
      </c>
      <c r="O48" s="14">
        <v>8.9675500000000002E-6</v>
      </c>
      <c r="P48" s="14">
        <v>8.3820799999999998E-7</v>
      </c>
      <c r="Q48" s="13">
        <v>2.5601E-3</v>
      </c>
      <c r="R48" s="13">
        <v>1.10952E-4</v>
      </c>
      <c r="S48" s="13">
        <v>-0.81162639599999997</v>
      </c>
      <c r="T48" s="13">
        <v>2.7499837999999999E-2</v>
      </c>
      <c r="U48" s="14">
        <v>3.05964E-8</v>
      </c>
      <c r="V48" s="14">
        <v>1.54578E-9</v>
      </c>
      <c r="W48" s="14">
        <v>-4.8892199999999999E-5</v>
      </c>
      <c r="X48" s="15">
        <v>1.89903E-4</v>
      </c>
    </row>
    <row r="49" spans="1:24" x14ac:dyDescent="0.3">
      <c r="A49" s="17" t="s">
        <v>108</v>
      </c>
      <c r="C49" s="13">
        <v>156</v>
      </c>
      <c r="E49">
        <f t="shared" si="0"/>
        <v>156</v>
      </c>
      <c r="F49" s="13">
        <v>6.3623200000000004</v>
      </c>
      <c r="G49" s="13">
        <v>2757.442865</v>
      </c>
      <c r="H49" s="13">
        <f t="shared" si="1"/>
        <v>0.76783113908682588</v>
      </c>
      <c r="I49" s="13">
        <v>433402102.60000002</v>
      </c>
      <c r="J49" s="13">
        <v>42043.230839999997</v>
      </c>
      <c r="K49" s="13">
        <v>4.9696445999999998E-2</v>
      </c>
      <c r="L49" s="14">
        <v>7.0950000000000003E-5</v>
      </c>
      <c r="M49" s="14">
        <v>6.3627500000000002E-6</v>
      </c>
      <c r="N49" s="14">
        <v>6.1618599999999996E-8</v>
      </c>
      <c r="O49" s="14">
        <v>5.7152500000000005E-10</v>
      </c>
      <c r="P49" s="13"/>
      <c r="Q49" s="13">
        <v>2.6231370000000002E-3</v>
      </c>
      <c r="R49" s="13">
        <v>1.2949899999999999E-4</v>
      </c>
      <c r="S49" s="13">
        <v>-0.70591898200000003</v>
      </c>
      <c r="T49" s="13">
        <v>3.1255750999999998E-2</v>
      </c>
      <c r="U49" s="14">
        <v>2.54303E-8</v>
      </c>
      <c r="V49" s="14">
        <v>1.4008899999999999E-9</v>
      </c>
      <c r="W49" s="13">
        <v>1.4106399999999999E-4</v>
      </c>
      <c r="X49" s="15">
        <v>1.14595E-4</v>
      </c>
    </row>
    <row r="50" spans="1:24" x14ac:dyDescent="0.3">
      <c r="A50" s="17" t="s">
        <v>108</v>
      </c>
      <c r="C50" s="13">
        <v>160</v>
      </c>
      <c r="E50">
        <f t="shared" si="0"/>
        <v>160</v>
      </c>
      <c r="F50" s="13">
        <v>6.3623200000000004</v>
      </c>
      <c r="G50" s="13">
        <v>2758.3473220000001</v>
      </c>
      <c r="H50" s="13">
        <f t="shared" si="1"/>
        <v>0.76808299208344821</v>
      </c>
      <c r="I50" s="13">
        <v>433544260.89999998</v>
      </c>
      <c r="J50" s="13">
        <v>25746.154780000001</v>
      </c>
      <c r="K50" s="13">
        <v>4.9499634000000001E-2</v>
      </c>
      <c r="L50" s="14">
        <v>8.0437699999999997E-5</v>
      </c>
      <c r="M50" s="14">
        <v>6.1027699999999998E-6</v>
      </c>
      <c r="N50" s="14">
        <v>6.4747200000000002E-8</v>
      </c>
      <c r="O50" s="14">
        <v>9.2702000000000002E-13</v>
      </c>
      <c r="P50" s="13"/>
      <c r="Q50" s="13">
        <v>2.5030489999999998E-3</v>
      </c>
      <c r="R50" s="13">
        <v>1.1195499999999999E-4</v>
      </c>
      <c r="S50" s="13">
        <v>2.1130523700000001</v>
      </c>
      <c r="T50" s="13">
        <v>2.8988223E-2</v>
      </c>
      <c r="U50" s="14">
        <v>3.0195699999999998E-8</v>
      </c>
      <c r="V50" s="14">
        <v>1.6219400000000001E-9</v>
      </c>
      <c r="W50" s="13">
        <v>-3.6460600000000001E-4</v>
      </c>
      <c r="X50" s="15">
        <v>1.29777E-4</v>
      </c>
    </row>
    <row r="51" spans="1:24" x14ac:dyDescent="0.3">
      <c r="A51" s="17" t="s">
        <v>108</v>
      </c>
      <c r="C51" s="13">
        <v>164</v>
      </c>
      <c r="E51">
        <f t="shared" si="0"/>
        <v>164</v>
      </c>
      <c r="F51" s="13">
        <v>6.3623200000000004</v>
      </c>
      <c r="G51" s="13">
        <v>2771.1630660000001</v>
      </c>
      <c r="H51" s="13">
        <f t="shared" si="1"/>
        <v>0.77165163440734463</v>
      </c>
      <c r="I51" s="13">
        <v>435558580.19999999</v>
      </c>
      <c r="J51" s="13">
        <v>38342.057070000003</v>
      </c>
      <c r="K51" s="13">
        <v>5.6318118E-2</v>
      </c>
      <c r="L51" s="14">
        <v>7.3973999999999993E-5</v>
      </c>
      <c r="M51" s="14">
        <v>6.5919600000000003E-6</v>
      </c>
      <c r="N51" s="14">
        <v>5.8226500000000002E-8</v>
      </c>
      <c r="O51" s="14">
        <v>1.31927E-10</v>
      </c>
      <c r="P51" s="13"/>
      <c r="Q51" s="13">
        <v>2.8015409999999998E-3</v>
      </c>
      <c r="R51" s="13">
        <v>1.3055099999999999E-4</v>
      </c>
      <c r="S51" s="13">
        <v>-0.27925907300000002</v>
      </c>
      <c r="T51" s="13">
        <v>2.9495873999999998E-2</v>
      </c>
      <c r="U51" s="14">
        <v>2.6845E-8</v>
      </c>
      <c r="V51" s="14">
        <v>1.4279600000000001E-9</v>
      </c>
      <c r="W51" s="13">
        <v>4.1805899999999998E-4</v>
      </c>
      <c r="X51" s="15">
        <v>1.16282E-4</v>
      </c>
    </row>
    <row r="52" spans="1:24" x14ac:dyDescent="0.3">
      <c r="A52" s="17" t="s">
        <v>108</v>
      </c>
      <c r="C52" s="13">
        <v>168</v>
      </c>
      <c r="E52">
        <f t="shared" si="0"/>
        <v>168</v>
      </c>
      <c r="F52" s="13">
        <v>6.3623200000000004</v>
      </c>
      <c r="G52" s="13">
        <v>2790.3039199999998</v>
      </c>
      <c r="H52" s="13">
        <f t="shared" si="1"/>
        <v>0.77698155217879206</v>
      </c>
      <c r="I52" s="13">
        <v>438567050.89999998</v>
      </c>
      <c r="J52" s="13">
        <v>17697.16401</v>
      </c>
      <c r="K52" s="13">
        <v>6.6262705000000005E-2</v>
      </c>
      <c r="L52" s="13">
        <v>6.7294100000000003E-4</v>
      </c>
      <c r="M52" s="14">
        <v>6.1535700000000003E-6</v>
      </c>
      <c r="N52" s="14">
        <v>1.2589E-7</v>
      </c>
      <c r="O52" s="14">
        <v>6.7338099999999997E-6</v>
      </c>
      <c r="P52" s="14">
        <v>9.1419000000000001E-7</v>
      </c>
      <c r="Q52" s="13">
        <v>2.959621E-3</v>
      </c>
      <c r="R52" s="13">
        <v>1.22149E-4</v>
      </c>
      <c r="S52" s="13">
        <v>-1.786770204</v>
      </c>
      <c r="T52" s="13">
        <v>2.5926846999999999E-2</v>
      </c>
      <c r="U52" s="14">
        <v>3.3893999999999999E-8</v>
      </c>
      <c r="V52" s="14">
        <v>1.6490899999999999E-9</v>
      </c>
      <c r="W52" s="13">
        <v>-4.9688800000000002E-4</v>
      </c>
      <c r="X52" s="15">
        <v>2.4831099999999997E-4</v>
      </c>
    </row>
    <row r="53" spans="1:24" x14ac:dyDescent="0.3">
      <c r="A53" s="17" t="s">
        <v>108</v>
      </c>
      <c r="C53" s="13">
        <v>172</v>
      </c>
      <c r="E53">
        <f t="shared" si="0"/>
        <v>172</v>
      </c>
      <c r="F53" s="13">
        <v>6.3623200000000004</v>
      </c>
      <c r="G53" s="13">
        <v>2821.7763690000002</v>
      </c>
      <c r="H53" s="13">
        <f t="shared" si="1"/>
        <v>0.78574529726749487</v>
      </c>
      <c r="I53" s="13">
        <v>443513744.89999998</v>
      </c>
      <c r="J53" s="13">
        <v>20359.805469999999</v>
      </c>
      <c r="K53" s="13">
        <v>6.6756062000000005E-2</v>
      </c>
      <c r="L53" s="13">
        <v>6.0184799999999999E-4</v>
      </c>
      <c r="M53" s="14">
        <v>5.7928099999999997E-6</v>
      </c>
      <c r="N53" s="14">
        <v>1.18633E-7</v>
      </c>
      <c r="O53" s="14">
        <v>4.7670100000000001E-6</v>
      </c>
      <c r="P53" s="14">
        <v>8.7056000000000003E-7</v>
      </c>
      <c r="Q53" s="13">
        <v>3.1244010000000002E-3</v>
      </c>
      <c r="R53" s="13">
        <v>1.2687899999999999E-4</v>
      </c>
      <c r="S53" s="13">
        <v>-1.551806427</v>
      </c>
      <c r="T53" s="13">
        <v>2.5638869000000002E-2</v>
      </c>
      <c r="U53" s="14">
        <v>3.0712599999999997E-8</v>
      </c>
      <c r="V53" s="14">
        <v>1.44904E-9</v>
      </c>
      <c r="W53" s="13">
        <v>-1.7575049999999999E-3</v>
      </c>
      <c r="X53" s="15">
        <v>2.6503600000000002E-4</v>
      </c>
    </row>
    <row r="54" spans="1:24" x14ac:dyDescent="0.3">
      <c r="A54" s="17" t="s">
        <v>108</v>
      </c>
      <c r="C54" s="13">
        <v>176</v>
      </c>
      <c r="E54">
        <f t="shared" si="0"/>
        <v>176</v>
      </c>
      <c r="F54" s="13">
        <v>6.3623200000000004</v>
      </c>
      <c r="G54" s="13">
        <v>2860.996889</v>
      </c>
      <c r="H54" s="13">
        <f t="shared" si="1"/>
        <v>0.79666655222056071</v>
      </c>
      <c r="I54" s="13">
        <v>449678244.60000002</v>
      </c>
      <c r="J54" s="13">
        <v>20226.039489999999</v>
      </c>
      <c r="K54" s="13">
        <v>6.6402431999999997E-2</v>
      </c>
      <c r="L54" s="13">
        <v>6.5388700000000002E-4</v>
      </c>
      <c r="M54" s="14">
        <v>6.0768900000000004E-6</v>
      </c>
      <c r="N54" s="14">
        <v>1.2318E-7</v>
      </c>
      <c r="O54" s="14">
        <v>3.1809700000000001E-6</v>
      </c>
      <c r="P54" s="14">
        <v>9.2887499999999996E-7</v>
      </c>
      <c r="Q54" s="13">
        <v>3.5358899999999999E-3</v>
      </c>
      <c r="R54" s="13">
        <v>1.3889499999999999E-4</v>
      </c>
      <c r="S54" s="13">
        <v>-1.659229351</v>
      </c>
      <c r="T54" s="13">
        <v>2.4769467E-2</v>
      </c>
      <c r="U54" s="14">
        <v>2.8874999999999999E-8</v>
      </c>
      <c r="V54" s="14">
        <v>1.30452E-9</v>
      </c>
      <c r="W54" s="13">
        <v>-1.2918809999999999E-3</v>
      </c>
      <c r="X54" s="15">
        <v>2.5378800000000002E-4</v>
      </c>
    </row>
    <row r="55" spans="1:24" x14ac:dyDescent="0.3">
      <c r="A55" s="17" t="s">
        <v>108</v>
      </c>
      <c r="C55" s="13">
        <v>180</v>
      </c>
      <c r="E55">
        <f t="shared" si="0"/>
        <v>180</v>
      </c>
      <c r="F55" s="13">
        <v>6.3623200000000004</v>
      </c>
      <c r="G55" s="13">
        <v>2913.8749849999999</v>
      </c>
      <c r="H55" s="13">
        <f t="shared" si="1"/>
        <v>0.81139086408202243</v>
      </c>
      <c r="I55" s="13">
        <v>457989378.89999998</v>
      </c>
      <c r="J55" s="13">
        <v>27957.013220000001</v>
      </c>
      <c r="K55" s="13">
        <v>6.1282346000000001E-2</v>
      </c>
      <c r="L55" s="14">
        <v>8.7684300000000003E-5</v>
      </c>
      <c r="M55" s="14">
        <v>5.8576700000000003E-6</v>
      </c>
      <c r="N55" s="14">
        <v>5.5153300000000001E-8</v>
      </c>
      <c r="O55" s="14">
        <v>3.5407999999999999E-13</v>
      </c>
      <c r="P55" s="13"/>
      <c r="Q55" s="13">
        <v>4.2714220000000004E-3</v>
      </c>
      <c r="R55" s="13">
        <v>1.5244E-4</v>
      </c>
      <c r="S55" s="13">
        <v>-2.0316297040000002</v>
      </c>
      <c r="T55" s="13">
        <v>2.2554048E-2</v>
      </c>
      <c r="U55" s="14">
        <v>2.3752E-8</v>
      </c>
      <c r="V55" s="14">
        <v>9.3289599999999992E-10</v>
      </c>
      <c r="W55" s="13">
        <v>-1.017245E-3</v>
      </c>
      <c r="X55" s="15">
        <v>1.44456E-4</v>
      </c>
    </row>
    <row r="56" spans="1:24" x14ac:dyDescent="0.3">
      <c r="A56" s="17" t="s">
        <v>109</v>
      </c>
      <c r="C56" s="10">
        <v>-4</v>
      </c>
      <c r="E56" s="21">
        <f>C56-4</f>
        <v>-8</v>
      </c>
      <c r="F56" s="3">
        <v>6.37493</v>
      </c>
      <c r="G56" s="16">
        <v>2842.54</v>
      </c>
      <c r="H56" s="13">
        <f t="shared" si="1"/>
        <v>0.79152708975526354</v>
      </c>
      <c r="I56" s="18">
        <v>445894000</v>
      </c>
      <c r="J56" s="18">
        <v>10439.700000000001</v>
      </c>
      <c r="K56" s="3">
        <v>8.9320463000000003E-2</v>
      </c>
      <c r="L56" s="3">
        <v>6.7269336E-4</v>
      </c>
      <c r="M56" s="18">
        <v>7.1181789999999999E-6</v>
      </c>
      <c r="N56" s="18">
        <v>9.5362245999999996E-8</v>
      </c>
      <c r="O56" s="18">
        <v>1.1450876E-5</v>
      </c>
      <c r="P56" s="18">
        <v>5.6716369999999998E-7</v>
      </c>
      <c r="Q56" s="3">
        <v>6.8573608000000001E-3</v>
      </c>
      <c r="R56" s="3">
        <v>1.3789520999999999E-4</v>
      </c>
      <c r="S56" s="3">
        <v>2.6336835999999999</v>
      </c>
      <c r="T56" s="3">
        <v>1.2922172000000001E-2</v>
      </c>
      <c r="U56" s="18">
        <v>2.8287149999999999E-8</v>
      </c>
      <c r="V56" s="18">
        <v>6.8329942000000001E-10</v>
      </c>
      <c r="W56" s="3">
        <v>6.5510673000000004E-4</v>
      </c>
      <c r="X56" s="3">
        <v>1.9797101000000001E-4</v>
      </c>
    </row>
    <row r="57" spans="1:24" x14ac:dyDescent="0.3">
      <c r="A57" s="17" t="s">
        <v>109</v>
      </c>
      <c r="C57" s="10">
        <v>0</v>
      </c>
      <c r="E57" s="21">
        <f t="shared" ref="E57:E103" si="2">C57-4</f>
        <v>-4</v>
      </c>
      <c r="F57" s="3">
        <v>6.37493</v>
      </c>
      <c r="G57" s="16">
        <v>2895.29</v>
      </c>
      <c r="H57" s="13">
        <f t="shared" si="1"/>
        <v>0.80621573230192611</v>
      </c>
      <c r="I57" s="18">
        <v>454169000</v>
      </c>
      <c r="J57" s="18">
        <v>12601.6</v>
      </c>
      <c r="K57" s="3">
        <v>0.10617472</v>
      </c>
      <c r="L57" s="3">
        <v>7.5072865999999995E-4</v>
      </c>
      <c r="M57" s="18">
        <v>7.1630977999999997E-6</v>
      </c>
      <c r="N57" s="18">
        <v>8.8772680000000001E-8</v>
      </c>
      <c r="O57" s="18">
        <v>1.3541147999999999E-5</v>
      </c>
      <c r="P57" s="18">
        <v>5.1695045999999995E-7</v>
      </c>
      <c r="Q57" s="3">
        <v>1.0357481E-2</v>
      </c>
      <c r="R57" s="3">
        <v>1.928578E-4</v>
      </c>
      <c r="S57" s="3">
        <v>1.7448722999999999</v>
      </c>
      <c r="T57" s="3">
        <v>1.1812543E-2</v>
      </c>
      <c r="U57" s="18">
        <v>2.1329069000000001E-8</v>
      </c>
      <c r="V57" s="18">
        <v>4.4760122999999998E-10</v>
      </c>
      <c r="W57" s="3">
        <v>9.9583510000000007E-4</v>
      </c>
      <c r="X57" s="3">
        <v>2.1336673999999999E-4</v>
      </c>
    </row>
    <row r="58" spans="1:24" x14ac:dyDescent="0.3">
      <c r="A58" s="17" t="s">
        <v>109</v>
      </c>
      <c r="C58" s="10">
        <v>4</v>
      </c>
      <c r="E58" s="21">
        <f t="shared" si="2"/>
        <v>0</v>
      </c>
      <c r="F58" s="3">
        <v>6.37493</v>
      </c>
      <c r="G58" s="16">
        <v>2922.65</v>
      </c>
      <c r="H58" s="13">
        <f t="shared" si="1"/>
        <v>0.81383433438868791</v>
      </c>
      <c r="I58" s="18">
        <v>458460000</v>
      </c>
      <c r="J58" s="18">
        <v>7862.43</v>
      </c>
      <c r="K58" s="3">
        <v>0.10282465</v>
      </c>
      <c r="L58" s="3">
        <v>7.0007337999999995E-4</v>
      </c>
      <c r="M58" s="18">
        <v>6.9967995999999999E-6</v>
      </c>
      <c r="N58" s="18">
        <v>8.6029787000000005E-8</v>
      </c>
      <c r="O58" s="18">
        <v>1.0992105E-5</v>
      </c>
      <c r="P58" s="18">
        <v>5.2344936999999998E-7</v>
      </c>
      <c r="Q58" s="3">
        <v>9.7955451000000006E-3</v>
      </c>
      <c r="R58" s="3">
        <v>1.4631366000000001E-4</v>
      </c>
      <c r="S58" s="3">
        <v>1.4233865999999999</v>
      </c>
      <c r="T58" s="3">
        <v>9.5532212999999994E-3</v>
      </c>
      <c r="U58" s="18">
        <v>2.7758522E-8</v>
      </c>
      <c r="V58" s="18">
        <v>4.9313352E-10</v>
      </c>
      <c r="W58" s="3">
        <v>5.6884917000000004E-4</v>
      </c>
      <c r="X58" s="3">
        <v>2.1180042999999999E-4</v>
      </c>
    </row>
    <row r="59" spans="1:24" x14ac:dyDescent="0.3">
      <c r="A59" s="17" t="s">
        <v>109</v>
      </c>
      <c r="C59" s="10">
        <v>8</v>
      </c>
      <c r="E59" s="21">
        <f t="shared" si="2"/>
        <v>4</v>
      </c>
      <c r="F59" s="3">
        <v>6.37493</v>
      </c>
      <c r="G59" s="16">
        <v>2961.21</v>
      </c>
      <c r="H59" s="13">
        <f t="shared" si="1"/>
        <v>0.82457166247587865</v>
      </c>
      <c r="I59" s="18">
        <v>464508000</v>
      </c>
      <c r="J59" s="18">
        <v>6810.12</v>
      </c>
      <c r="K59" s="3">
        <v>8.9508878E-2</v>
      </c>
      <c r="L59" s="3">
        <v>5.9958432999999999E-4</v>
      </c>
      <c r="M59" s="18">
        <v>6.5580410000000002E-6</v>
      </c>
      <c r="N59" s="18">
        <v>8.8424502999999996E-8</v>
      </c>
      <c r="O59" s="18">
        <v>5.3780612000000001E-6</v>
      </c>
      <c r="P59" s="18">
        <v>5.769877E-7</v>
      </c>
      <c r="Q59" s="3">
        <v>9.2353959999999999E-3</v>
      </c>
      <c r="R59" s="3">
        <v>1.2880071E-4</v>
      </c>
      <c r="S59" s="3">
        <v>1.636811</v>
      </c>
      <c r="T59" s="3">
        <v>8.9685812000000007E-3</v>
      </c>
      <c r="U59" s="18">
        <v>2.9495701999999999E-8</v>
      </c>
      <c r="V59" s="18">
        <v>4.9761003000000003E-10</v>
      </c>
      <c r="W59" s="3">
        <v>-3.8474397000000003E-4</v>
      </c>
      <c r="X59" s="3">
        <v>2.1975074999999999E-4</v>
      </c>
    </row>
    <row r="60" spans="1:24" x14ac:dyDescent="0.3">
      <c r="A60" s="17" t="s">
        <v>109</v>
      </c>
      <c r="C60" s="10">
        <v>12</v>
      </c>
      <c r="E60" s="21">
        <f t="shared" si="2"/>
        <v>8</v>
      </c>
      <c r="F60" s="3">
        <v>6.37493</v>
      </c>
      <c r="G60" s="16">
        <v>2933.97</v>
      </c>
      <c r="H60" s="13">
        <f t="shared" si="1"/>
        <v>0.81698647531054991</v>
      </c>
      <c r="I60" s="18">
        <v>460235000</v>
      </c>
      <c r="J60" s="18">
        <v>9630.7800000000007</v>
      </c>
      <c r="K60" s="3">
        <v>8.4979394E-2</v>
      </c>
      <c r="L60" s="3">
        <v>5.9665494999999995E-4</v>
      </c>
      <c r="M60" s="18">
        <v>6.6999478999999997E-6</v>
      </c>
      <c r="N60" s="18">
        <v>8.9172239000000006E-8</v>
      </c>
      <c r="O60" s="18">
        <v>5.8098442000000001E-6</v>
      </c>
      <c r="P60" s="18">
        <v>5.9406471000000005E-7</v>
      </c>
      <c r="Q60" s="3">
        <v>8.7949850999999996E-3</v>
      </c>
      <c r="R60" s="3">
        <v>1.3538895000000001E-4</v>
      </c>
      <c r="S60" s="3">
        <v>1.168647</v>
      </c>
      <c r="T60" s="3">
        <v>9.8378844E-3</v>
      </c>
      <c r="U60" s="18">
        <v>2.6210392E-8</v>
      </c>
      <c r="V60" s="18">
        <v>4.7368807000000003E-10</v>
      </c>
      <c r="W60" s="3">
        <v>1.902072E-4</v>
      </c>
      <c r="X60" s="3">
        <v>2.0082056999999999E-4</v>
      </c>
    </row>
    <row r="61" spans="1:24" x14ac:dyDescent="0.3">
      <c r="A61" s="17" t="s">
        <v>109</v>
      </c>
      <c r="C61" s="10">
        <v>16</v>
      </c>
      <c r="E61" s="21">
        <f t="shared" si="2"/>
        <v>12</v>
      </c>
      <c r="F61" s="3">
        <v>6.37493</v>
      </c>
      <c r="G61" s="16">
        <v>2908.49</v>
      </c>
      <c r="H61" s="13">
        <f t="shared" si="1"/>
        <v>0.80989137365957431</v>
      </c>
      <c r="I61" s="18">
        <v>456238000</v>
      </c>
      <c r="J61" s="18">
        <v>5039.99</v>
      </c>
      <c r="K61" s="3">
        <v>8.7778122E-2</v>
      </c>
      <c r="L61" s="3">
        <v>6.3033413E-4</v>
      </c>
      <c r="M61" s="18">
        <v>6.9721110999999997E-6</v>
      </c>
      <c r="N61" s="18">
        <v>9.1640938000000007E-8</v>
      </c>
      <c r="O61" s="18">
        <v>1.0981148E-5</v>
      </c>
      <c r="P61" s="18">
        <v>5.5290303000000001E-7</v>
      </c>
      <c r="Q61" s="3">
        <v>9.2991922000000005E-3</v>
      </c>
      <c r="R61" s="3">
        <v>1.2301519E-4</v>
      </c>
      <c r="S61" s="3">
        <v>1.792376</v>
      </c>
      <c r="T61" s="3">
        <v>8.5054271000000008E-3</v>
      </c>
      <c r="U61" s="18">
        <v>3.0569389000000002E-8</v>
      </c>
      <c r="V61" s="18">
        <v>4.9065851000000002E-10</v>
      </c>
      <c r="W61" s="3">
        <v>4.9010676999999999E-4</v>
      </c>
      <c r="X61" s="3">
        <v>1.9429102E-4</v>
      </c>
    </row>
    <row r="62" spans="1:24" x14ac:dyDescent="0.3">
      <c r="A62" s="17" t="s">
        <v>109</v>
      </c>
      <c r="C62" s="10">
        <v>20</v>
      </c>
      <c r="E62" s="21">
        <f t="shared" si="2"/>
        <v>16</v>
      </c>
      <c r="F62" s="3">
        <v>6.37493</v>
      </c>
      <c r="G62" s="16">
        <v>2857.82</v>
      </c>
      <c r="H62" s="13">
        <f t="shared" si="1"/>
        <v>0.79578192308442008</v>
      </c>
      <c r="I62" s="18">
        <v>448290000</v>
      </c>
      <c r="J62" s="18">
        <v>6803.18</v>
      </c>
      <c r="K62" s="3">
        <v>8.4898334000000006E-2</v>
      </c>
      <c r="L62" s="3">
        <v>6.1624095999999995E-4</v>
      </c>
      <c r="M62" s="18">
        <v>6.6596137999999998E-6</v>
      </c>
      <c r="N62" s="18">
        <v>9.3405556E-8</v>
      </c>
      <c r="O62" s="18">
        <v>5.6972913999999998E-6</v>
      </c>
      <c r="P62" s="18">
        <v>6.1720200999999998E-7</v>
      </c>
      <c r="Q62" s="3">
        <v>9.1694854999999995E-3</v>
      </c>
      <c r="R62" s="3">
        <v>1.2732891000000001E-4</v>
      </c>
      <c r="S62" s="3">
        <v>2.0045831000000001</v>
      </c>
      <c r="T62" s="3">
        <v>8.9193986999999992E-3</v>
      </c>
      <c r="U62" s="18">
        <v>2.9796895999999999E-8</v>
      </c>
      <c r="V62" s="18">
        <v>4.9863501999999999E-10</v>
      </c>
      <c r="W62" s="3">
        <v>-3.8958154999999998E-4</v>
      </c>
      <c r="X62" s="3">
        <v>2.1312351999999999E-4</v>
      </c>
    </row>
    <row r="63" spans="1:24" x14ac:dyDescent="0.3">
      <c r="A63" s="17" t="s">
        <v>109</v>
      </c>
      <c r="C63" s="10">
        <v>24</v>
      </c>
      <c r="E63" s="21">
        <f t="shared" si="2"/>
        <v>20</v>
      </c>
      <c r="F63" s="3">
        <v>6.37493</v>
      </c>
      <c r="G63" s="16">
        <v>2817.07</v>
      </c>
      <c r="H63" s="13">
        <f t="shared" si="1"/>
        <v>0.78443477268107409</v>
      </c>
      <c r="I63" s="18">
        <v>441898000</v>
      </c>
      <c r="J63" s="18">
        <v>6466.69</v>
      </c>
      <c r="K63" s="3">
        <v>8.7906155999999999E-2</v>
      </c>
      <c r="L63" s="3">
        <v>6.2929988999999996E-4</v>
      </c>
      <c r="M63" s="18">
        <v>7.1673147000000004E-6</v>
      </c>
      <c r="N63" s="18">
        <v>8.8389370999999994E-8</v>
      </c>
      <c r="O63" s="18">
        <v>1.0164040000000001E-5</v>
      </c>
      <c r="P63" s="18">
        <v>5.4705392999999998E-7</v>
      </c>
      <c r="Q63" s="3">
        <v>8.5003796999999996E-3</v>
      </c>
      <c r="R63" s="3">
        <v>1.2196308E-4</v>
      </c>
      <c r="S63" s="3">
        <v>2.2593787000000001</v>
      </c>
      <c r="T63" s="3">
        <v>9.1934754999999993E-3</v>
      </c>
      <c r="U63" s="18">
        <v>2.9609053000000001E-8</v>
      </c>
      <c r="V63" s="18">
        <v>5.1096549999999996E-10</v>
      </c>
      <c r="W63" s="3">
        <v>8.6344872999999996E-4</v>
      </c>
      <c r="X63" s="3">
        <v>1.7868872E-4</v>
      </c>
    </row>
    <row r="64" spans="1:24" x14ac:dyDescent="0.3">
      <c r="A64" s="17" t="s">
        <v>109</v>
      </c>
      <c r="C64" s="10">
        <v>28</v>
      </c>
      <c r="E64" s="21">
        <f t="shared" si="2"/>
        <v>24</v>
      </c>
      <c r="F64" s="3">
        <v>6.37493</v>
      </c>
      <c r="G64" s="16">
        <v>2768.75</v>
      </c>
      <c r="H64" s="13">
        <f t="shared" si="1"/>
        <v>0.77097969765065255</v>
      </c>
      <c r="I64" s="18">
        <v>434319000</v>
      </c>
      <c r="J64" s="18">
        <v>9123.6299999999992</v>
      </c>
      <c r="K64" s="3">
        <v>9.5866570999999998E-2</v>
      </c>
      <c r="L64" s="3">
        <v>6.5856769000000005E-4</v>
      </c>
      <c r="M64" s="18">
        <v>6.9089427000000003E-6</v>
      </c>
      <c r="N64" s="18">
        <v>8.5682568999999999E-8</v>
      </c>
      <c r="O64" s="18">
        <v>8.9284012E-6</v>
      </c>
      <c r="P64" s="18">
        <v>5.4831317999999996E-7</v>
      </c>
      <c r="Q64" s="3">
        <v>8.2536749000000006E-3</v>
      </c>
      <c r="R64" s="3">
        <v>1.3445562E-4</v>
      </c>
      <c r="S64" s="3">
        <v>2.1703223999999999</v>
      </c>
      <c r="T64" s="3">
        <v>1.0395704E-2</v>
      </c>
      <c r="U64" s="18">
        <v>2.852298E-8</v>
      </c>
      <c r="V64" s="18">
        <v>5.5182431999999997E-10</v>
      </c>
      <c r="W64" s="3">
        <v>3.2274867999999997E-4</v>
      </c>
      <c r="X64" s="3">
        <v>2.0248004999999999E-4</v>
      </c>
    </row>
    <row r="65" spans="1:24" x14ac:dyDescent="0.3">
      <c r="A65" s="17" t="s">
        <v>109</v>
      </c>
      <c r="C65" s="10">
        <v>32</v>
      </c>
      <c r="E65" s="21">
        <f t="shared" si="2"/>
        <v>28</v>
      </c>
      <c r="F65" s="3">
        <v>6.37493</v>
      </c>
      <c r="G65" s="16">
        <v>2747.92</v>
      </c>
      <c r="H65" s="13">
        <f t="shared" si="1"/>
        <v>0.76517942420521223</v>
      </c>
      <c r="I65" s="18">
        <v>431052000</v>
      </c>
      <c r="J65" s="18">
        <v>7965.07</v>
      </c>
      <c r="K65" s="3">
        <v>9.1304494E-2</v>
      </c>
      <c r="L65" s="3">
        <v>6.3152939999999995E-4</v>
      </c>
      <c r="M65" s="18">
        <v>6.892781E-6</v>
      </c>
      <c r="N65" s="18">
        <v>8.7086720999999998E-8</v>
      </c>
      <c r="O65" s="18">
        <v>9.0508718000000002E-6</v>
      </c>
      <c r="P65" s="18">
        <v>5.5155504E-7</v>
      </c>
      <c r="Q65" s="3">
        <v>8.1049794000000001E-3</v>
      </c>
      <c r="R65" s="3">
        <v>1.2854562E-4</v>
      </c>
      <c r="S65" s="3">
        <v>2.5708666</v>
      </c>
      <c r="T65" s="3">
        <v>1.0134857000000001E-2</v>
      </c>
      <c r="U65" s="18">
        <v>2.8944840000000001E-8</v>
      </c>
      <c r="V65" s="18">
        <v>5.4817990000000003E-10</v>
      </c>
      <c r="W65" s="18">
        <v>4.1742281999999999E-5</v>
      </c>
      <c r="X65" s="3">
        <v>1.9714615000000001E-4</v>
      </c>
    </row>
    <row r="66" spans="1:24" x14ac:dyDescent="0.3">
      <c r="A66" s="17" t="s">
        <v>109</v>
      </c>
      <c r="C66" s="10">
        <v>36</v>
      </c>
      <c r="E66" s="21">
        <f t="shared" si="2"/>
        <v>32</v>
      </c>
      <c r="F66" s="3">
        <v>6.37493</v>
      </c>
      <c r="G66" s="16">
        <v>2728.73</v>
      </c>
      <c r="H66" s="13">
        <f t="shared" si="1"/>
        <v>0.75983582135269168</v>
      </c>
      <c r="I66" s="18">
        <v>428040000</v>
      </c>
      <c r="J66" s="18">
        <v>7988.53</v>
      </c>
      <c r="K66" s="3">
        <v>9.4112797999999998E-2</v>
      </c>
      <c r="L66" s="3">
        <v>6.5288333000000003E-4</v>
      </c>
      <c r="M66" s="18">
        <v>6.9443876999999998E-6</v>
      </c>
      <c r="N66" s="18">
        <v>8.6854328999999994E-8</v>
      </c>
      <c r="O66" s="18">
        <v>1.0515884E-5</v>
      </c>
      <c r="P66" s="18">
        <v>5.4084459000000004E-7</v>
      </c>
      <c r="Q66" s="3">
        <v>8.2462453999999994E-3</v>
      </c>
      <c r="R66" s="3">
        <v>1.2871237E-4</v>
      </c>
      <c r="S66" s="3">
        <v>2.3863691</v>
      </c>
      <c r="T66" s="3">
        <v>9.9450184000000001E-3</v>
      </c>
      <c r="U66" s="18">
        <v>2.9647004999999999E-8</v>
      </c>
      <c r="V66" s="18">
        <v>5.5281368999999997E-10</v>
      </c>
      <c r="W66" s="3">
        <v>1.1472817E-3</v>
      </c>
      <c r="X66" s="3">
        <v>1.9812643000000001E-4</v>
      </c>
    </row>
    <row r="67" spans="1:24" x14ac:dyDescent="0.3">
      <c r="A67" s="17" t="s">
        <v>109</v>
      </c>
      <c r="C67" s="10">
        <v>40</v>
      </c>
      <c r="E67" s="21">
        <f t="shared" si="2"/>
        <v>36</v>
      </c>
      <c r="F67" s="3">
        <v>6.37493</v>
      </c>
      <c r="G67" s="16">
        <v>2707.55</v>
      </c>
      <c r="H67" s="13">
        <f t="shared" si="1"/>
        <v>0.75393808771973791</v>
      </c>
      <c r="I67" s="18">
        <v>424718000</v>
      </c>
      <c r="J67" s="18">
        <v>10366</v>
      </c>
      <c r="K67" s="3">
        <v>9.4127085999999999E-2</v>
      </c>
      <c r="L67" s="3">
        <v>6.7686389999999997E-4</v>
      </c>
      <c r="M67" s="18">
        <v>6.8895939000000004E-6</v>
      </c>
      <c r="N67" s="18">
        <v>8.8560916999999998E-8</v>
      </c>
      <c r="O67" s="18">
        <v>8.2633067000000003E-6</v>
      </c>
      <c r="P67" s="18">
        <v>5.8129561000000001E-7</v>
      </c>
      <c r="Q67" s="3">
        <v>9.1795789000000006E-3</v>
      </c>
      <c r="R67" s="3">
        <v>1.4094735E-4</v>
      </c>
      <c r="S67" s="3">
        <v>2.1582308000000001</v>
      </c>
      <c r="T67" s="3">
        <v>9.7434554999999996E-3</v>
      </c>
      <c r="U67" s="18">
        <v>2.7536345E-8</v>
      </c>
      <c r="V67" s="18">
        <v>4.9543021000000002E-10</v>
      </c>
      <c r="W67" s="3">
        <v>7.6734112999999997E-4</v>
      </c>
      <c r="X67" s="3">
        <v>2.0651482000000001E-4</v>
      </c>
    </row>
    <row r="68" spans="1:24" x14ac:dyDescent="0.3">
      <c r="A68" s="17" t="s">
        <v>109</v>
      </c>
      <c r="C68" s="10">
        <v>44</v>
      </c>
      <c r="E68" s="21">
        <f t="shared" si="2"/>
        <v>40</v>
      </c>
      <c r="F68" s="3">
        <v>6.37493</v>
      </c>
      <c r="G68" s="16">
        <v>2729.34</v>
      </c>
      <c r="H68" s="13">
        <f t="shared" si="1"/>
        <v>0.76000568053664364</v>
      </c>
      <c r="I68" s="18">
        <v>428137000</v>
      </c>
      <c r="J68" s="18">
        <v>8554.7099999999991</v>
      </c>
      <c r="K68" s="3">
        <v>8.8245197999999997E-2</v>
      </c>
      <c r="L68" s="3">
        <v>6.5661508000000005E-4</v>
      </c>
      <c r="M68" s="18">
        <v>7.0513402999999998E-6</v>
      </c>
      <c r="N68" s="18">
        <v>9.1282072999999997E-8</v>
      </c>
      <c r="O68" s="18">
        <v>8.9884927999999997E-6</v>
      </c>
      <c r="P68" s="18">
        <v>5.8510525E-7</v>
      </c>
      <c r="Q68" s="3">
        <v>7.6634197000000001E-3</v>
      </c>
      <c r="R68" s="3">
        <v>1.2983126999999999E-4</v>
      </c>
      <c r="S68" s="3">
        <v>2.464315</v>
      </c>
      <c r="T68" s="3">
        <v>1.0806988999999999E-2</v>
      </c>
      <c r="U68" s="18">
        <v>2.8983465000000002E-8</v>
      </c>
      <c r="V68" s="18">
        <v>5.8462187999999999E-10</v>
      </c>
      <c r="W68" s="3">
        <v>3.3069111999999999E-4</v>
      </c>
      <c r="X68" s="3">
        <v>1.9119047000000001E-4</v>
      </c>
    </row>
    <row r="69" spans="1:24" x14ac:dyDescent="0.3">
      <c r="A69" s="17" t="s">
        <v>109</v>
      </c>
      <c r="C69" s="10">
        <v>48</v>
      </c>
      <c r="E69" s="21">
        <f t="shared" si="2"/>
        <v>44</v>
      </c>
      <c r="F69" s="3">
        <v>6.37493</v>
      </c>
      <c r="G69" s="16">
        <v>2734.7</v>
      </c>
      <c r="H69" s="13">
        <f t="shared" si="1"/>
        <v>0.76149821369399162</v>
      </c>
      <c r="I69" s="18">
        <v>428977000</v>
      </c>
      <c r="J69" s="18">
        <v>11523.4</v>
      </c>
      <c r="K69" s="3">
        <v>8.3794520999999997E-2</v>
      </c>
      <c r="L69" s="3">
        <v>6.6519614000000004E-4</v>
      </c>
      <c r="M69" s="18">
        <v>7.0791209999999996E-6</v>
      </c>
      <c r="N69" s="18">
        <v>9.5284881000000001E-8</v>
      </c>
      <c r="O69" s="18">
        <v>7.7688450000000007E-6</v>
      </c>
      <c r="P69" s="18">
        <v>6.3379328000000005E-7</v>
      </c>
      <c r="Q69" s="3">
        <v>8.9746484000000001E-3</v>
      </c>
      <c r="R69" s="3">
        <v>1.5641932999999999E-4</v>
      </c>
      <c r="S69" s="3">
        <v>1.9751981999999999</v>
      </c>
      <c r="T69" s="3">
        <v>1.0992834999999999E-2</v>
      </c>
      <c r="U69" s="18">
        <v>2.3279880999999999E-8</v>
      </c>
      <c r="V69" s="18">
        <v>4.5896394000000001E-10</v>
      </c>
      <c r="W69" s="3">
        <v>1.7947429999999999E-4</v>
      </c>
      <c r="X69" s="3">
        <v>1.8852741000000001E-4</v>
      </c>
    </row>
    <row r="70" spans="1:24" x14ac:dyDescent="0.3">
      <c r="A70" s="17" t="s">
        <v>109</v>
      </c>
      <c r="C70" s="10">
        <v>52</v>
      </c>
      <c r="E70" s="21">
        <f t="shared" si="2"/>
        <v>48</v>
      </c>
      <c r="F70" s="3">
        <v>6.37493</v>
      </c>
      <c r="G70" s="16">
        <v>2778.85</v>
      </c>
      <c r="H70" s="13">
        <f t="shared" si="1"/>
        <v>0.77379212020461063</v>
      </c>
      <c r="I70" s="18">
        <v>435903000</v>
      </c>
      <c r="J70" s="18">
        <v>9432.9599999999991</v>
      </c>
      <c r="K70" s="3">
        <v>9.2553502999999995E-2</v>
      </c>
      <c r="L70" s="3">
        <v>6.5651355000000003E-4</v>
      </c>
      <c r="M70" s="18">
        <v>7.1526170999999997E-6</v>
      </c>
      <c r="N70" s="18">
        <v>8.7234699000000007E-8</v>
      </c>
      <c r="O70" s="18">
        <v>1.0461203000000001E-5</v>
      </c>
      <c r="P70" s="18">
        <v>5.4142972999999997E-7</v>
      </c>
      <c r="Q70" s="3">
        <v>8.9735518999999996E-3</v>
      </c>
      <c r="R70" s="3">
        <v>1.4155261999999999E-4</v>
      </c>
      <c r="S70" s="3">
        <v>2.2401515000000001</v>
      </c>
      <c r="T70" s="3">
        <v>1.0010096E-2</v>
      </c>
      <c r="U70" s="18">
        <v>2.5972822E-8</v>
      </c>
      <c r="V70" s="18">
        <v>4.7890618E-10</v>
      </c>
      <c r="W70" s="3">
        <v>7.8471151999999998E-4</v>
      </c>
      <c r="X70" s="3">
        <v>1.8569851999999999E-4</v>
      </c>
    </row>
    <row r="71" spans="1:24" x14ac:dyDescent="0.3">
      <c r="A71" s="17" t="s">
        <v>109</v>
      </c>
      <c r="C71" s="10">
        <v>56</v>
      </c>
      <c r="E71" s="21">
        <f t="shared" si="2"/>
        <v>52</v>
      </c>
      <c r="F71" s="3">
        <v>6.37493</v>
      </c>
      <c r="G71" s="16">
        <v>2825.01</v>
      </c>
      <c r="H71" s="13">
        <f t="shared" si="1"/>
        <v>0.78664572664923527</v>
      </c>
      <c r="I71" s="18">
        <v>443143000</v>
      </c>
      <c r="J71" s="18">
        <v>6379.08</v>
      </c>
      <c r="K71" s="3">
        <v>8.9677111000000004E-2</v>
      </c>
      <c r="L71" s="3">
        <v>6.6724685999999995E-4</v>
      </c>
      <c r="M71" s="18">
        <v>7.3292142999999998E-6</v>
      </c>
      <c r="N71" s="18">
        <v>9.1307181000000006E-8</v>
      </c>
      <c r="O71" s="18">
        <v>1.5107125E-5</v>
      </c>
      <c r="P71" s="18">
        <v>5.2521899000000003E-7</v>
      </c>
      <c r="Q71" s="3">
        <v>9.7018985000000002E-3</v>
      </c>
      <c r="R71" s="3">
        <v>1.3890868E-4</v>
      </c>
      <c r="S71" s="3">
        <v>1.677997</v>
      </c>
      <c r="T71" s="3">
        <v>9.0948240999999992E-3</v>
      </c>
      <c r="U71" s="18">
        <v>2.6129678E-8</v>
      </c>
      <c r="V71" s="18">
        <v>4.3674973E-10</v>
      </c>
      <c r="W71" s="3">
        <v>1.2542562000000001E-3</v>
      </c>
      <c r="X71" s="3">
        <v>1.7541316999999999E-4</v>
      </c>
    </row>
    <row r="72" spans="1:24" x14ac:dyDescent="0.3">
      <c r="A72" s="17" t="s">
        <v>109</v>
      </c>
      <c r="C72" s="10">
        <v>60</v>
      </c>
      <c r="E72" s="21">
        <f t="shared" si="2"/>
        <v>56</v>
      </c>
      <c r="F72" s="3">
        <v>6.37493</v>
      </c>
      <c r="G72" s="16">
        <v>2870.69</v>
      </c>
      <c r="H72" s="13">
        <f t="shared" si="1"/>
        <v>0.79936567340812703</v>
      </c>
      <c r="I72" s="18">
        <v>450308000</v>
      </c>
      <c r="J72" s="18">
        <v>6681.39</v>
      </c>
      <c r="K72" s="3">
        <v>0.10085381</v>
      </c>
      <c r="L72" s="3">
        <v>6.9600260000000002E-4</v>
      </c>
      <c r="M72" s="18">
        <v>6.9118524E-6</v>
      </c>
      <c r="N72" s="18">
        <v>8.7649926999999994E-8</v>
      </c>
      <c r="O72" s="18">
        <v>1.1326672E-5</v>
      </c>
      <c r="P72" s="18">
        <v>5.3366164000000005E-7</v>
      </c>
      <c r="Q72" s="3">
        <v>1.0956923E-2</v>
      </c>
      <c r="R72" s="3">
        <v>1.4834882E-4</v>
      </c>
      <c r="S72" s="3">
        <v>1.5310949</v>
      </c>
      <c r="T72" s="3">
        <v>8.6263924999999998E-3</v>
      </c>
      <c r="U72" s="18">
        <v>2.7315083E-8</v>
      </c>
      <c r="V72" s="18">
        <v>4.3686452E-10</v>
      </c>
      <c r="W72" s="3">
        <v>4.5067767E-4</v>
      </c>
      <c r="X72" s="3">
        <v>2.1569233E-4</v>
      </c>
    </row>
    <row r="73" spans="1:24" x14ac:dyDescent="0.3">
      <c r="A73" s="17" t="s">
        <v>109</v>
      </c>
      <c r="C73" s="10">
        <v>64</v>
      </c>
      <c r="E73" s="21">
        <f t="shared" si="2"/>
        <v>60</v>
      </c>
      <c r="F73" s="3">
        <v>6.37493</v>
      </c>
      <c r="G73" s="16">
        <v>2915.29</v>
      </c>
      <c r="H73" s="13">
        <f t="shared" si="1"/>
        <v>0.81178488587412045</v>
      </c>
      <c r="I73" s="18">
        <v>457306000</v>
      </c>
      <c r="J73" s="18">
        <v>7231.4</v>
      </c>
      <c r="K73" s="3">
        <v>9.4956376999999995E-2</v>
      </c>
      <c r="L73" s="3">
        <v>7.2060896000000004E-4</v>
      </c>
      <c r="M73" s="18">
        <v>7.2989543999999997E-6</v>
      </c>
      <c r="N73" s="18">
        <v>9.2965556000000004E-8</v>
      </c>
      <c r="O73" s="18">
        <v>1.1379177E-5</v>
      </c>
      <c r="P73" s="18">
        <v>5.6377701000000004E-7</v>
      </c>
      <c r="Q73" s="3">
        <v>1.1296318E-2</v>
      </c>
      <c r="R73" s="3">
        <v>1.5232780000000001E-4</v>
      </c>
      <c r="S73" s="3">
        <v>1.4699381</v>
      </c>
      <c r="T73" s="3">
        <v>8.5980215000000006E-3</v>
      </c>
      <c r="U73" s="18">
        <v>2.6132322999999999E-8</v>
      </c>
      <c r="V73" s="18">
        <v>4.1428249000000002E-10</v>
      </c>
      <c r="W73" s="3">
        <v>8.6597344999999996E-4</v>
      </c>
      <c r="X73" s="3">
        <v>1.9510436999999999E-4</v>
      </c>
    </row>
    <row r="74" spans="1:24" x14ac:dyDescent="0.3">
      <c r="A74" s="17" t="s">
        <v>109</v>
      </c>
      <c r="C74" s="10">
        <v>68</v>
      </c>
      <c r="E74" s="21">
        <f t="shared" si="2"/>
        <v>64</v>
      </c>
      <c r="F74" s="3">
        <v>6.37493</v>
      </c>
      <c r="G74" s="16">
        <v>2960.07</v>
      </c>
      <c r="H74" s="13">
        <f t="shared" si="1"/>
        <v>0.82425422072226351</v>
      </c>
      <c r="I74" s="18">
        <v>464330000</v>
      </c>
      <c r="J74" s="18">
        <v>4675.7</v>
      </c>
      <c r="K74" s="3">
        <v>9.1577972999999993E-2</v>
      </c>
      <c r="L74" s="3">
        <v>6.3534327000000002E-4</v>
      </c>
      <c r="M74" s="18">
        <v>7.4354129999999997E-6</v>
      </c>
      <c r="N74" s="18">
        <v>8.7072250999999998E-8</v>
      </c>
      <c r="O74" s="18">
        <v>1.4983811000000001E-5</v>
      </c>
      <c r="P74" s="18">
        <v>4.8208831999999999E-7</v>
      </c>
      <c r="Q74" s="3">
        <v>9.6604644000000007E-3</v>
      </c>
      <c r="R74" s="3">
        <v>1.2001360000000001E-4</v>
      </c>
      <c r="S74" s="3">
        <v>1.9950703999999999</v>
      </c>
      <c r="T74" s="3">
        <v>8.0213674999999995E-3</v>
      </c>
      <c r="U74" s="18">
        <v>3.0015925999999998E-8</v>
      </c>
      <c r="V74" s="18">
        <v>4.5404512000000002E-10</v>
      </c>
      <c r="W74" s="3">
        <v>8.4688359000000002E-4</v>
      </c>
      <c r="X74" s="3">
        <v>1.6818432000000001E-4</v>
      </c>
    </row>
    <row r="75" spans="1:24" x14ac:dyDescent="0.3">
      <c r="A75" s="17" t="s">
        <v>109</v>
      </c>
      <c r="C75" s="10">
        <v>72</v>
      </c>
      <c r="E75" s="21">
        <f t="shared" si="2"/>
        <v>68</v>
      </c>
      <c r="F75" s="3">
        <v>6.37493</v>
      </c>
      <c r="G75" s="16">
        <v>2976.03</v>
      </c>
      <c r="H75" s="13">
        <f t="shared" ref="H75:H138" si="3">G75/MAX($G$10:$G$285)</f>
        <v>0.82869840527287464</v>
      </c>
      <c r="I75" s="18">
        <v>466834000</v>
      </c>
      <c r="J75" s="18">
        <v>5925.17</v>
      </c>
      <c r="K75" s="3">
        <v>7.8947545999999993E-2</v>
      </c>
      <c r="L75" s="3">
        <v>6.4411774000000001E-4</v>
      </c>
      <c r="M75" s="18">
        <v>7.5782564000000002E-6</v>
      </c>
      <c r="N75" s="18">
        <v>9.7574103E-8</v>
      </c>
      <c r="O75" s="18">
        <v>8.1356281000000004E-6</v>
      </c>
      <c r="P75" s="18">
        <v>6.1495423999999996E-7</v>
      </c>
      <c r="Q75" s="3">
        <v>7.7111497999999999E-3</v>
      </c>
      <c r="R75" s="3">
        <v>1.1382076E-4</v>
      </c>
      <c r="S75" s="3">
        <v>1.8974746</v>
      </c>
      <c r="T75" s="3">
        <v>9.5591267999999997E-3</v>
      </c>
      <c r="U75" s="18">
        <v>3.1941971000000003E-8</v>
      </c>
      <c r="V75" s="18">
        <v>5.8004769999999997E-10</v>
      </c>
      <c r="W75" s="3">
        <v>4.5171334999999997E-4</v>
      </c>
      <c r="X75" s="3">
        <v>1.6233923000000001E-4</v>
      </c>
    </row>
    <row r="76" spans="1:24" x14ac:dyDescent="0.3">
      <c r="A76" s="17" t="s">
        <v>109</v>
      </c>
      <c r="C76" s="10">
        <v>76</v>
      </c>
      <c r="E76" s="21">
        <f t="shared" si="2"/>
        <v>72</v>
      </c>
      <c r="F76" s="3">
        <v>6.37493</v>
      </c>
      <c r="G76" s="16">
        <v>2959.78</v>
      </c>
      <c r="H76" s="13">
        <f t="shared" si="3"/>
        <v>0.82417346799546676</v>
      </c>
      <c r="I76" s="18">
        <v>464284000</v>
      </c>
      <c r="J76" s="18">
        <v>5789.98</v>
      </c>
      <c r="K76" s="3">
        <v>8.9934089999999994E-2</v>
      </c>
      <c r="L76" s="3">
        <v>6.6351333E-4</v>
      </c>
      <c r="M76" s="18">
        <v>7.3238515000000001E-6</v>
      </c>
      <c r="N76" s="18">
        <v>9.1056508999999998E-8</v>
      </c>
      <c r="O76" s="18">
        <v>1.3529873E-5</v>
      </c>
      <c r="P76" s="18">
        <v>5.3100810000000003E-7</v>
      </c>
      <c r="Q76" s="3">
        <v>7.9136898000000001E-3</v>
      </c>
      <c r="R76" s="3">
        <v>1.2272870999999999E-4</v>
      </c>
      <c r="S76" s="3">
        <v>1.1595909</v>
      </c>
      <c r="T76" s="3">
        <v>9.9694064000000002E-3</v>
      </c>
      <c r="U76" s="18">
        <v>3.0572817000000003E-8</v>
      </c>
      <c r="V76" s="18">
        <v>5.7391243000000001E-10</v>
      </c>
      <c r="W76" s="3">
        <v>6.2369553000000001E-4</v>
      </c>
      <c r="X76" s="3">
        <v>1.7782362000000001E-4</v>
      </c>
    </row>
    <row r="77" spans="1:24" x14ac:dyDescent="0.3">
      <c r="A77" s="17" t="s">
        <v>109</v>
      </c>
      <c r="C77" s="10">
        <v>80</v>
      </c>
      <c r="E77" s="21">
        <f t="shared" si="2"/>
        <v>76</v>
      </c>
      <c r="F77" s="3">
        <v>6.37493</v>
      </c>
      <c r="G77" s="16">
        <v>2914.14</v>
      </c>
      <c r="H77" s="13">
        <f t="shared" si="3"/>
        <v>0.81146465954371916</v>
      </c>
      <c r="I77" s="18">
        <v>457125000</v>
      </c>
      <c r="J77" s="18">
        <v>10480.200000000001</v>
      </c>
      <c r="K77" s="3">
        <v>9.3093679999999998E-2</v>
      </c>
      <c r="L77" s="3">
        <v>6.6114828000000004E-4</v>
      </c>
      <c r="M77" s="18">
        <v>6.9578905999999997E-6</v>
      </c>
      <c r="N77" s="18">
        <v>9.1543290999999998E-8</v>
      </c>
      <c r="O77" s="18">
        <v>8.6084030000000003E-6</v>
      </c>
      <c r="P77" s="18">
        <v>5.6217858000000001E-7</v>
      </c>
      <c r="Q77" s="3">
        <v>6.4721843999999999E-3</v>
      </c>
      <c r="R77" s="3">
        <v>1.3665842999999999E-4</v>
      </c>
      <c r="S77" s="3">
        <v>2.4308968000000002</v>
      </c>
      <c r="T77" s="3">
        <v>1.3587268E-2</v>
      </c>
      <c r="U77" s="18">
        <v>2.9343952999999999E-8</v>
      </c>
      <c r="V77" s="18">
        <v>7.5275386000000004E-10</v>
      </c>
      <c r="W77" s="3">
        <v>1.3418691999999999E-4</v>
      </c>
      <c r="X77" s="3">
        <v>2.1019745000000001E-4</v>
      </c>
    </row>
    <row r="78" spans="1:24" x14ac:dyDescent="0.3">
      <c r="A78" s="17" t="s">
        <v>109</v>
      </c>
      <c r="C78" s="10">
        <v>84</v>
      </c>
      <c r="E78" s="21">
        <f t="shared" si="2"/>
        <v>80</v>
      </c>
      <c r="F78" s="3">
        <v>6.37493</v>
      </c>
      <c r="G78" s="16">
        <v>2868.23</v>
      </c>
      <c r="H78" s="13">
        <f t="shared" si="3"/>
        <v>0.79868066751874711</v>
      </c>
      <c r="I78" s="18">
        <v>449924000</v>
      </c>
      <c r="J78" s="18">
        <v>15142.6</v>
      </c>
      <c r="K78" s="3">
        <v>8.9185229000000005E-2</v>
      </c>
      <c r="L78" s="3">
        <v>6.6776081999999997E-4</v>
      </c>
      <c r="M78" s="18">
        <v>7.1456960999999999E-6</v>
      </c>
      <c r="N78" s="18">
        <v>9.2739382999999994E-8</v>
      </c>
      <c r="O78" s="18">
        <v>7.7073071000000007E-6</v>
      </c>
      <c r="P78" s="18">
        <v>5.9000433E-7</v>
      </c>
      <c r="Q78" s="3">
        <v>5.7445934000000002E-3</v>
      </c>
      <c r="R78" s="3">
        <v>1.3576878000000001E-4</v>
      </c>
      <c r="S78" s="3">
        <v>2.4114469999999999</v>
      </c>
      <c r="T78" s="3">
        <v>1.5185534000000001E-2</v>
      </c>
      <c r="U78" s="18">
        <v>2.8464462000000001E-8</v>
      </c>
      <c r="V78" s="18">
        <v>8.0888486000000004E-10</v>
      </c>
      <c r="W78" s="3">
        <v>5.1991247000000005E-4</v>
      </c>
      <c r="X78" s="3">
        <v>1.9432506E-4</v>
      </c>
    </row>
    <row r="79" spans="1:24" x14ac:dyDescent="0.3">
      <c r="A79" s="17" t="s">
        <v>109</v>
      </c>
      <c r="C79" s="10">
        <v>88</v>
      </c>
      <c r="E79" s="21">
        <f t="shared" si="2"/>
        <v>84</v>
      </c>
      <c r="F79" s="3">
        <v>6.37493</v>
      </c>
      <c r="G79" s="16">
        <v>2802.99</v>
      </c>
      <c r="H79" s="13">
        <f t="shared" si="3"/>
        <v>0.78051408856624915</v>
      </c>
      <c r="I79" s="18">
        <v>439690000</v>
      </c>
      <c r="J79" s="18">
        <v>24444.5</v>
      </c>
      <c r="K79" s="3">
        <v>8.6639331E-2</v>
      </c>
      <c r="L79" s="3">
        <v>8.4561681999999997E-4</v>
      </c>
      <c r="M79" s="18">
        <v>6.6211055000000001E-6</v>
      </c>
      <c r="N79" s="18">
        <v>1.2809877E-7</v>
      </c>
      <c r="O79" s="18">
        <v>5.5816998000000004E-6</v>
      </c>
      <c r="P79" s="18">
        <v>8.3264453999999997E-7</v>
      </c>
      <c r="Q79" s="18">
        <v>9.6982637999999999E-7</v>
      </c>
      <c r="R79" s="3">
        <v>1.0539172E-3</v>
      </c>
      <c r="S79" s="3">
        <v>-4.1739790000000001</v>
      </c>
      <c r="T79" s="3">
        <v>1066.1479999999999</v>
      </c>
      <c r="U79" s="18">
        <v>5.0218748E-9</v>
      </c>
      <c r="V79" s="3" t="s">
        <v>31</v>
      </c>
      <c r="W79" s="3">
        <v>-6.9444964999999998E-4</v>
      </c>
      <c r="X79" s="3">
        <v>3.0283395999999998E-4</v>
      </c>
    </row>
    <row r="80" spans="1:24" x14ac:dyDescent="0.3">
      <c r="A80" s="17" t="s">
        <v>109</v>
      </c>
      <c r="C80" s="10">
        <v>92</v>
      </c>
      <c r="E80" s="21">
        <f t="shared" si="2"/>
        <v>88</v>
      </c>
      <c r="F80" s="3">
        <v>6.37493</v>
      </c>
      <c r="G80" s="16">
        <v>3474.31</v>
      </c>
      <c r="H80" s="13">
        <f t="shared" si="3"/>
        <v>0.96744829737052407</v>
      </c>
      <c r="I80" s="18">
        <v>544996000</v>
      </c>
      <c r="J80" s="18">
        <v>46461.7</v>
      </c>
      <c r="K80" s="3">
        <v>8.6585404000000005E-2</v>
      </c>
      <c r="L80" s="3">
        <v>7.5369184000000002E-4</v>
      </c>
      <c r="M80" s="18">
        <v>7.2236568E-6</v>
      </c>
      <c r="N80" s="18">
        <v>1.0689857E-7</v>
      </c>
      <c r="O80" s="18">
        <v>4.8079101999999999E-6</v>
      </c>
      <c r="P80" s="18">
        <v>7.0414718E-7</v>
      </c>
      <c r="Q80" s="3">
        <v>4.6752240000000004E-3</v>
      </c>
      <c r="R80" s="3">
        <v>1.8229594E-4</v>
      </c>
      <c r="S80" s="3">
        <v>-0.77169447999999996</v>
      </c>
      <c r="T80" s="3">
        <v>2.5618985E-2</v>
      </c>
      <c r="U80" s="18">
        <v>2.2801461000000002E-8</v>
      </c>
      <c r="V80" s="18">
        <v>1.0433912E-9</v>
      </c>
      <c r="W80" s="3">
        <v>1.3928996E-4</v>
      </c>
      <c r="X80" s="3">
        <v>2.1711262999999999E-4</v>
      </c>
    </row>
    <row r="81" spans="1:24" x14ac:dyDescent="0.3">
      <c r="A81" s="17" t="s">
        <v>109</v>
      </c>
      <c r="C81" s="10">
        <v>96</v>
      </c>
      <c r="E81" s="21">
        <f t="shared" si="2"/>
        <v>92</v>
      </c>
      <c r="F81" s="3">
        <v>6.37493</v>
      </c>
      <c r="G81" s="16">
        <v>3511.66</v>
      </c>
      <c r="H81" s="13">
        <f t="shared" si="3"/>
        <v>0.97784869166659705</v>
      </c>
      <c r="I81" s="18">
        <v>550855000</v>
      </c>
      <c r="J81" s="18">
        <v>49982.6</v>
      </c>
      <c r="K81" s="3">
        <v>7.9992381000000001E-2</v>
      </c>
      <c r="L81" s="3">
        <v>7.7392048999999998E-4</v>
      </c>
      <c r="M81" s="18">
        <v>7.2014765000000003E-6</v>
      </c>
      <c r="N81" s="18">
        <v>1.1697823E-7</v>
      </c>
      <c r="O81" s="18">
        <v>2.5327130000000001E-6</v>
      </c>
      <c r="P81" s="18">
        <v>8.0691535999999998E-7</v>
      </c>
      <c r="Q81" s="3">
        <v>3.5791512000000001E-3</v>
      </c>
      <c r="R81" s="3">
        <v>1.6648623000000001E-4</v>
      </c>
      <c r="S81" s="3">
        <v>-1.3433204999999999</v>
      </c>
      <c r="T81" s="3">
        <v>3.0584005000000001E-2</v>
      </c>
      <c r="U81" s="18">
        <v>2.6106637E-8</v>
      </c>
      <c r="V81" s="18">
        <v>1.4562016999999999E-9</v>
      </c>
      <c r="W81" s="3">
        <v>3.8274385999999998E-4</v>
      </c>
      <c r="X81" s="3">
        <v>2.2262604E-4</v>
      </c>
    </row>
    <row r="82" spans="1:24" x14ac:dyDescent="0.3">
      <c r="A82" s="17" t="s">
        <v>109</v>
      </c>
      <c r="C82" s="10">
        <v>100</v>
      </c>
      <c r="E82" s="21">
        <f t="shared" si="2"/>
        <v>96</v>
      </c>
      <c r="F82" s="3">
        <v>6.37493</v>
      </c>
      <c r="G82" s="16">
        <v>3554.07</v>
      </c>
      <c r="H82" s="13">
        <f t="shared" si="3"/>
        <v>0.98965808181643522</v>
      </c>
      <c r="I82" s="18">
        <v>557507000</v>
      </c>
      <c r="J82" s="18">
        <v>29665.5</v>
      </c>
      <c r="K82" s="3">
        <v>9.0677850000000004E-2</v>
      </c>
      <c r="L82" s="3">
        <v>8.8245282999999998E-4</v>
      </c>
      <c r="M82" s="18">
        <v>7.2178312000000003E-6</v>
      </c>
      <c r="N82" s="18">
        <v>1.2046146999999999E-7</v>
      </c>
      <c r="O82" s="18">
        <v>8.9869714999999992E-6</v>
      </c>
      <c r="P82" s="18">
        <v>7.4934870000000002E-7</v>
      </c>
      <c r="Q82" s="3">
        <v>4.8558993E-3</v>
      </c>
      <c r="R82" s="3">
        <v>1.8039715E-4</v>
      </c>
      <c r="S82" s="3">
        <v>-1.9842458999999999</v>
      </c>
      <c r="T82" s="3">
        <v>2.4401155000000001E-2</v>
      </c>
      <c r="U82" s="18">
        <v>2.7489702000000001E-8</v>
      </c>
      <c r="V82" s="18">
        <v>1.2313876999999999E-9</v>
      </c>
      <c r="W82" s="3">
        <v>5.3672992999999997E-4</v>
      </c>
      <c r="X82" s="3">
        <v>2.5045097000000002E-4</v>
      </c>
    </row>
    <row r="83" spans="1:24" x14ac:dyDescent="0.3">
      <c r="A83" s="17" t="s">
        <v>109</v>
      </c>
      <c r="C83" s="10">
        <v>104</v>
      </c>
      <c r="E83" s="21">
        <f t="shared" si="2"/>
        <v>100</v>
      </c>
      <c r="F83" s="3">
        <v>6.37493</v>
      </c>
      <c r="G83" s="16">
        <v>3591.21</v>
      </c>
      <c r="H83" s="13">
        <f t="shared" si="3"/>
        <v>1</v>
      </c>
      <c r="I83" s="18">
        <v>563334000</v>
      </c>
      <c r="J83" s="18">
        <v>63809.2</v>
      </c>
      <c r="K83" s="3">
        <v>7.9852393999999993E-2</v>
      </c>
      <c r="L83" s="3">
        <v>7.7034577000000004E-4</v>
      </c>
      <c r="M83" s="18">
        <v>7.2621835000000004E-6</v>
      </c>
      <c r="N83" s="18">
        <v>1.2024996E-7</v>
      </c>
      <c r="O83" s="18">
        <v>5.8800124999999996E-6</v>
      </c>
      <c r="P83" s="18">
        <v>7.6533374E-7</v>
      </c>
      <c r="Q83" s="3">
        <v>2.6664156999999999E-3</v>
      </c>
      <c r="R83" s="3">
        <v>1.5482606999999999E-4</v>
      </c>
      <c r="S83" s="3">
        <v>-0.80221176999999999</v>
      </c>
      <c r="T83" s="3">
        <v>3.8502224000000002E-2</v>
      </c>
      <c r="U83" s="18">
        <v>2.8809378999999998E-8</v>
      </c>
      <c r="V83" s="18">
        <v>2.0600637E-9</v>
      </c>
      <c r="W83" s="3">
        <v>3.6036826000000001E-4</v>
      </c>
      <c r="X83" s="3">
        <v>2.2283665E-4</v>
      </c>
    </row>
    <row r="84" spans="1:24" x14ac:dyDescent="0.3">
      <c r="A84" s="17" t="s">
        <v>109</v>
      </c>
      <c r="C84" s="10">
        <v>108</v>
      </c>
      <c r="E84" s="21">
        <f t="shared" si="2"/>
        <v>104</v>
      </c>
      <c r="F84" s="3">
        <v>6.37493</v>
      </c>
      <c r="G84" s="16">
        <v>3500.87</v>
      </c>
      <c r="H84" s="13">
        <f t="shared" si="3"/>
        <v>0.97484413331439812</v>
      </c>
      <c r="I84" s="18">
        <v>549163000</v>
      </c>
      <c r="J84" s="18">
        <v>460787</v>
      </c>
      <c r="K84" s="3">
        <v>6.8444908999999998E-2</v>
      </c>
      <c r="L84" s="18">
        <v>9.8945528999999996E-5</v>
      </c>
      <c r="M84" s="18">
        <v>7.3720887000000002E-6</v>
      </c>
      <c r="N84" s="18">
        <v>6.7402009999999994E-8</v>
      </c>
      <c r="O84" s="18">
        <v>1.0928645999999999E-8</v>
      </c>
      <c r="P84" s="3" t="s">
        <v>31</v>
      </c>
      <c r="Q84" s="3">
        <v>1.6686883999999999E-3</v>
      </c>
      <c r="R84" s="3">
        <v>2.0799971000000001E-4</v>
      </c>
      <c r="S84" s="3">
        <v>-0.45562163</v>
      </c>
      <c r="T84" s="3">
        <v>7.9395579999999993E-2</v>
      </c>
      <c r="U84" s="18">
        <v>2.1625230000000001E-8</v>
      </c>
      <c r="V84" s="18">
        <v>3.0763142000000002E-9</v>
      </c>
      <c r="W84" s="3">
        <v>7.5308047999999997E-4</v>
      </c>
      <c r="X84" s="3">
        <v>1.3866504999999999E-4</v>
      </c>
    </row>
    <row r="85" spans="1:24" x14ac:dyDescent="0.3">
      <c r="A85" s="17" t="s">
        <v>109</v>
      </c>
      <c r="C85" s="10">
        <v>112</v>
      </c>
      <c r="E85" s="21">
        <f t="shared" si="2"/>
        <v>108</v>
      </c>
      <c r="F85" s="3">
        <v>6.37493</v>
      </c>
      <c r="G85" s="16">
        <v>2883.2</v>
      </c>
      <c r="H85" s="13">
        <f t="shared" si="3"/>
        <v>0.8028491789675346</v>
      </c>
      <c r="I85" s="18">
        <v>452271000</v>
      </c>
      <c r="J85" s="18">
        <v>18095</v>
      </c>
      <c r="K85" s="3">
        <v>7.7002679000000004E-2</v>
      </c>
      <c r="L85" s="3">
        <v>7.0157711999999995E-4</v>
      </c>
      <c r="M85" s="18">
        <v>7.5900572000000001E-6</v>
      </c>
      <c r="N85" s="18">
        <v>1.0840457E-7</v>
      </c>
      <c r="O85" s="18">
        <v>7.7090110000000003E-6</v>
      </c>
      <c r="P85" s="18">
        <v>6.8980534999999997E-7</v>
      </c>
      <c r="Q85" s="3">
        <v>5.1349146999999998E-3</v>
      </c>
      <c r="R85" s="3">
        <v>1.4441167999999999E-4</v>
      </c>
      <c r="S85" s="3">
        <v>2.2979242000000002</v>
      </c>
      <c r="T85" s="3">
        <v>1.7952293000000001E-2</v>
      </c>
      <c r="U85" s="18">
        <v>2.6558316E-8</v>
      </c>
      <c r="V85" s="18">
        <v>8.8821537000000001E-10</v>
      </c>
      <c r="W85" s="3">
        <v>9.2964781000000004E-4</v>
      </c>
      <c r="X85" s="3">
        <v>1.7560146999999999E-4</v>
      </c>
    </row>
    <row r="86" spans="1:24" x14ac:dyDescent="0.3">
      <c r="A86" s="17" t="s">
        <v>109</v>
      </c>
      <c r="C86" s="10">
        <v>116</v>
      </c>
      <c r="E86" s="21">
        <f t="shared" si="2"/>
        <v>112</v>
      </c>
      <c r="F86" s="3">
        <v>6.37493</v>
      </c>
      <c r="G86" s="16">
        <v>2938.22</v>
      </c>
      <c r="H86" s="13">
        <f t="shared" si="3"/>
        <v>0.81816992044464121</v>
      </c>
      <c r="I86" s="18">
        <v>460902000</v>
      </c>
      <c r="J86" s="18">
        <v>11733.5</v>
      </c>
      <c r="K86" s="3">
        <v>7.5714042999999995E-2</v>
      </c>
      <c r="L86" s="3">
        <v>6.2952823000000002E-4</v>
      </c>
      <c r="M86" s="18">
        <v>7.4132407000000003E-6</v>
      </c>
      <c r="N86" s="18">
        <v>9.8692021999999995E-8</v>
      </c>
      <c r="O86" s="18">
        <v>7.7318317000000005E-6</v>
      </c>
      <c r="P86" s="18">
        <v>6.4125173000000003E-7</v>
      </c>
      <c r="Q86" s="3">
        <v>6.1699939999999998E-3</v>
      </c>
      <c r="R86" s="3">
        <v>1.3001521000000001E-4</v>
      </c>
      <c r="S86" s="3">
        <v>1.3000769999999999</v>
      </c>
      <c r="T86" s="3">
        <v>1.3449957E-2</v>
      </c>
      <c r="U86" s="18">
        <v>2.6425107000000001E-8</v>
      </c>
      <c r="V86" s="18">
        <v>6.5617980000000004E-10</v>
      </c>
      <c r="W86" s="3">
        <v>7.6243299999999997E-4</v>
      </c>
      <c r="X86" s="3">
        <v>1.6320802999999999E-4</v>
      </c>
    </row>
    <row r="87" spans="1:24" x14ac:dyDescent="0.3">
      <c r="A87" s="17" t="s">
        <v>109</v>
      </c>
      <c r="C87" s="10">
        <v>120</v>
      </c>
      <c r="E87" s="21">
        <f t="shared" si="2"/>
        <v>116</v>
      </c>
      <c r="F87" s="3">
        <v>6.37493</v>
      </c>
      <c r="G87" s="16">
        <v>2955.42</v>
      </c>
      <c r="H87" s="13">
        <f t="shared" si="3"/>
        <v>0.82295939251672834</v>
      </c>
      <c r="I87" s="18">
        <v>463600000</v>
      </c>
      <c r="J87" s="18">
        <v>10601.5</v>
      </c>
      <c r="K87" s="3">
        <v>8.3000578000000005E-2</v>
      </c>
      <c r="L87" s="3">
        <v>7.1696881999999999E-4</v>
      </c>
      <c r="M87" s="18">
        <v>7.7852394999999993E-6</v>
      </c>
      <c r="N87" s="18">
        <v>1.0085852E-7</v>
      </c>
      <c r="O87" s="18">
        <v>9.9138723999999999E-6</v>
      </c>
      <c r="P87" s="18">
        <v>6.2738097999999995E-7</v>
      </c>
      <c r="Q87" s="3">
        <v>7.9729093000000008E-3</v>
      </c>
      <c r="R87" s="3">
        <v>1.4525747E-4</v>
      </c>
      <c r="S87" s="3">
        <v>1.2299484999999999</v>
      </c>
      <c r="T87" s="3">
        <v>1.1584410999999999E-2</v>
      </c>
      <c r="U87" s="18">
        <v>2.5931496999999999E-8</v>
      </c>
      <c r="V87" s="18">
        <v>5.5567175000000005E-10</v>
      </c>
      <c r="W87" s="3">
        <v>7.804E-4</v>
      </c>
      <c r="X87" s="3">
        <v>1.6538455E-4</v>
      </c>
    </row>
    <row r="88" spans="1:24" x14ac:dyDescent="0.3">
      <c r="A88" s="17" t="s">
        <v>109</v>
      </c>
      <c r="C88" s="10">
        <v>124</v>
      </c>
      <c r="E88" s="21">
        <f t="shared" si="2"/>
        <v>120</v>
      </c>
      <c r="F88" s="3">
        <v>6.37493</v>
      </c>
      <c r="G88" s="16">
        <v>3060.88</v>
      </c>
      <c r="H88" s="13">
        <f t="shared" si="3"/>
        <v>0.85232553930290911</v>
      </c>
      <c r="I88" s="18">
        <v>480144000</v>
      </c>
      <c r="J88" s="18">
        <v>5860.56</v>
      </c>
      <c r="K88" s="3">
        <v>8.3053089999999996E-2</v>
      </c>
      <c r="L88" s="3">
        <v>6.3447367999999997E-4</v>
      </c>
      <c r="M88" s="18">
        <v>7.8982571999999992E-6</v>
      </c>
      <c r="N88" s="18">
        <v>9.1993436000000002E-8</v>
      </c>
      <c r="O88" s="18">
        <v>1.2687637E-5</v>
      </c>
      <c r="P88" s="18">
        <v>5.2550214999999995E-7</v>
      </c>
      <c r="Q88" s="3">
        <v>8.1036389999999993E-3</v>
      </c>
      <c r="R88" s="3">
        <v>1.1916688E-4</v>
      </c>
      <c r="S88" s="3">
        <v>1.7240244</v>
      </c>
      <c r="T88" s="3">
        <v>9.5030306999999998E-3</v>
      </c>
      <c r="U88" s="18">
        <v>2.8782797999999999E-8</v>
      </c>
      <c r="V88" s="18">
        <v>5.1483958000000004E-10</v>
      </c>
      <c r="W88" s="3">
        <v>1.4234844E-3</v>
      </c>
      <c r="X88" s="3">
        <v>1.4603565000000001E-4</v>
      </c>
    </row>
    <row r="89" spans="1:24" x14ac:dyDescent="0.3">
      <c r="A89" s="17" t="s">
        <v>109</v>
      </c>
      <c r="C89" s="10">
        <v>128</v>
      </c>
      <c r="E89" s="21">
        <f t="shared" si="2"/>
        <v>124</v>
      </c>
      <c r="F89" s="3">
        <v>6.37493</v>
      </c>
      <c r="G89" s="16">
        <v>3071.2</v>
      </c>
      <c r="H89" s="13">
        <f t="shared" si="3"/>
        <v>0.85519922254616121</v>
      </c>
      <c r="I89" s="18">
        <v>481762000</v>
      </c>
      <c r="J89" s="18">
        <v>4799.47</v>
      </c>
      <c r="K89" s="3">
        <v>9.1259836999999996E-2</v>
      </c>
      <c r="L89" s="3">
        <v>6.5462832E-4</v>
      </c>
      <c r="M89" s="18">
        <v>7.3815718999999999E-6</v>
      </c>
      <c r="N89" s="18">
        <v>8.6895863999999996E-8</v>
      </c>
      <c r="O89" s="18">
        <v>1.1113134999999999E-5</v>
      </c>
      <c r="P89" s="18">
        <v>5.3062741999999999E-7</v>
      </c>
      <c r="Q89" s="3">
        <v>9.5574309000000003E-3</v>
      </c>
      <c r="R89" s="3">
        <v>1.2206243E-4</v>
      </c>
      <c r="S89" s="3">
        <v>0.24605054000000001</v>
      </c>
      <c r="T89" s="3">
        <v>8.2044202999999993E-3</v>
      </c>
      <c r="U89" s="18">
        <v>3.0014690999999999E-8</v>
      </c>
      <c r="V89" s="18">
        <v>4.6257593999999998E-10</v>
      </c>
      <c r="W89" s="3">
        <v>4.1670675999999998E-4</v>
      </c>
      <c r="X89" s="3">
        <v>1.7170105000000001E-4</v>
      </c>
    </row>
    <row r="90" spans="1:24" x14ac:dyDescent="0.3">
      <c r="A90" s="17" t="s">
        <v>109</v>
      </c>
      <c r="C90" s="10">
        <v>132</v>
      </c>
      <c r="E90" s="21">
        <f t="shared" si="2"/>
        <v>128</v>
      </c>
      <c r="F90" s="3">
        <v>6.37493</v>
      </c>
      <c r="G90" s="16">
        <v>3060.57</v>
      </c>
      <c r="H90" s="13">
        <f t="shared" si="3"/>
        <v>0.85223921742254005</v>
      </c>
      <c r="I90" s="18">
        <v>480095000</v>
      </c>
      <c r="J90" s="18">
        <v>5825.04</v>
      </c>
      <c r="K90" s="3">
        <v>7.2459270000000006E-2</v>
      </c>
      <c r="L90" s="18">
        <v>6.9313524999999995E-5</v>
      </c>
      <c r="M90" s="18">
        <v>7.4653826000000001E-6</v>
      </c>
      <c r="N90" s="18">
        <v>4.4733230000000001E-8</v>
      </c>
      <c r="O90" s="18">
        <v>1.5971369E-12</v>
      </c>
      <c r="P90" s="3" t="s">
        <v>31</v>
      </c>
      <c r="Q90" s="3">
        <v>1.0089545E-2</v>
      </c>
      <c r="R90" s="3">
        <v>1.1425018E-4</v>
      </c>
      <c r="S90" s="3">
        <v>1.8074585999999999</v>
      </c>
      <c r="T90" s="3">
        <v>7.3492282000000003E-3</v>
      </c>
      <c r="U90" s="18">
        <v>2.8286372999999999E-8</v>
      </c>
      <c r="V90" s="18">
        <v>3.8949072000000002E-10</v>
      </c>
      <c r="W90" s="3">
        <v>1.1818815E-3</v>
      </c>
      <c r="X90" s="18">
        <v>9.5797713000000002E-5</v>
      </c>
    </row>
    <row r="91" spans="1:24" x14ac:dyDescent="0.3">
      <c r="A91" s="17" t="s">
        <v>109</v>
      </c>
      <c r="C91" s="10">
        <v>136</v>
      </c>
      <c r="E91" s="21">
        <f t="shared" si="2"/>
        <v>132</v>
      </c>
      <c r="F91" s="3">
        <v>6.37493</v>
      </c>
      <c r="G91" s="16">
        <v>3021.78</v>
      </c>
      <c r="H91" s="13">
        <f t="shared" si="3"/>
        <v>0.84143784406926914</v>
      </c>
      <c r="I91" s="18">
        <v>474010000</v>
      </c>
      <c r="J91" s="18">
        <v>6273.26</v>
      </c>
      <c r="K91" s="3">
        <v>8.5707665000000002E-2</v>
      </c>
      <c r="L91" s="3">
        <v>6.2033656999999998E-4</v>
      </c>
      <c r="M91" s="18">
        <v>7.1246404000000004E-6</v>
      </c>
      <c r="N91" s="18">
        <v>8.9429604999999997E-8</v>
      </c>
      <c r="O91" s="18">
        <v>3.7890822000000001E-6</v>
      </c>
      <c r="P91" s="18">
        <v>5.9808280000000001E-7</v>
      </c>
      <c r="Q91" s="3">
        <v>1.0176872999999999E-2</v>
      </c>
      <c r="R91" s="3">
        <v>1.2533714999999999E-4</v>
      </c>
      <c r="S91" s="3">
        <v>1.7226793</v>
      </c>
      <c r="T91" s="3">
        <v>7.9467400000000007E-3</v>
      </c>
      <c r="U91" s="18">
        <v>2.9284043E-8</v>
      </c>
      <c r="V91" s="18">
        <v>4.3849716999999999E-10</v>
      </c>
      <c r="W91" s="3">
        <v>7.5606934E-4</v>
      </c>
      <c r="X91" s="3">
        <v>1.8528998000000001E-4</v>
      </c>
    </row>
    <row r="92" spans="1:24" x14ac:dyDescent="0.3">
      <c r="A92" s="17" t="s">
        <v>109</v>
      </c>
      <c r="C92" s="10">
        <v>140</v>
      </c>
      <c r="E92" s="21">
        <f t="shared" si="2"/>
        <v>136</v>
      </c>
      <c r="F92" s="3">
        <v>6.37493</v>
      </c>
      <c r="G92" s="16">
        <v>2972.46</v>
      </c>
      <c r="H92" s="13">
        <f t="shared" si="3"/>
        <v>0.82770431136023792</v>
      </c>
      <c r="I92" s="18">
        <v>466273000</v>
      </c>
      <c r="J92" s="18">
        <v>7570.37</v>
      </c>
      <c r="K92" s="3">
        <v>9.2879981E-2</v>
      </c>
      <c r="L92" s="3">
        <v>6.5787541999999999E-4</v>
      </c>
      <c r="M92" s="18">
        <v>7.1568670999999997E-6</v>
      </c>
      <c r="N92" s="18">
        <v>8.7029609000000004E-8</v>
      </c>
      <c r="O92" s="18">
        <v>6.3459353000000002E-6</v>
      </c>
      <c r="P92" s="18">
        <v>5.6707070999999999E-7</v>
      </c>
      <c r="Q92" s="3">
        <v>9.9228648000000003E-3</v>
      </c>
      <c r="R92" s="3">
        <v>1.3807009999999999E-4</v>
      </c>
      <c r="S92" s="3">
        <v>1.4127907</v>
      </c>
      <c r="T92" s="3">
        <v>8.8952347000000008E-3</v>
      </c>
      <c r="U92" s="18">
        <v>2.7422093999999999E-8</v>
      </c>
      <c r="V92" s="18">
        <v>4.5521862000000001E-10</v>
      </c>
      <c r="W92" s="18">
        <v>2.3424296000000001E-5</v>
      </c>
      <c r="X92" s="3">
        <v>1.9059354000000001E-4</v>
      </c>
    </row>
    <row r="93" spans="1:24" x14ac:dyDescent="0.3">
      <c r="A93" s="17" t="s">
        <v>109</v>
      </c>
      <c r="C93" s="10">
        <v>144</v>
      </c>
      <c r="E93" s="21">
        <f t="shared" si="2"/>
        <v>140</v>
      </c>
      <c r="F93" s="3">
        <v>6.37493</v>
      </c>
      <c r="G93" s="16">
        <v>2920.27</v>
      </c>
      <c r="H93" s="13">
        <f t="shared" si="3"/>
        <v>0.81317160511359676</v>
      </c>
      <c r="I93" s="18">
        <v>458087000</v>
      </c>
      <c r="J93" s="18">
        <v>8935.4</v>
      </c>
      <c r="K93" s="3">
        <v>9.3234732000000001E-2</v>
      </c>
      <c r="L93" s="3">
        <v>7.0113404000000002E-4</v>
      </c>
      <c r="M93" s="18">
        <v>7.3766801000000003E-6</v>
      </c>
      <c r="N93" s="18">
        <v>9.0839833000000001E-8</v>
      </c>
      <c r="O93" s="18">
        <v>1.0449687E-5</v>
      </c>
      <c r="P93" s="18">
        <v>5.6155054E-7</v>
      </c>
      <c r="Q93" s="3">
        <v>9.2434705999999995E-3</v>
      </c>
      <c r="R93" s="3">
        <v>1.4937859000000001E-4</v>
      </c>
      <c r="S93" s="3">
        <v>1.3820170000000001</v>
      </c>
      <c r="T93" s="3">
        <v>1.0282055999999999E-2</v>
      </c>
      <c r="U93" s="18">
        <v>2.5643936000000001E-8</v>
      </c>
      <c r="V93" s="18">
        <v>4.8517296000000004E-10</v>
      </c>
      <c r="W93" s="3">
        <v>6.8388795999999995E-4</v>
      </c>
      <c r="X93" s="3">
        <v>1.8423161999999999E-4</v>
      </c>
    </row>
    <row r="94" spans="1:24" x14ac:dyDescent="0.3">
      <c r="A94" s="17" t="s">
        <v>109</v>
      </c>
      <c r="C94" s="10">
        <v>148</v>
      </c>
      <c r="E94" s="21">
        <f t="shared" si="2"/>
        <v>144</v>
      </c>
      <c r="F94" s="3">
        <v>6.37493</v>
      </c>
      <c r="G94" s="16">
        <v>2877.33</v>
      </c>
      <c r="H94" s="13">
        <f t="shared" si="3"/>
        <v>0.80121463239409552</v>
      </c>
      <c r="I94" s="18">
        <v>451351000</v>
      </c>
      <c r="J94" s="18">
        <v>10816</v>
      </c>
      <c r="K94" s="3">
        <v>8.206782E-2</v>
      </c>
      <c r="L94" s="3">
        <v>6.3843232E-4</v>
      </c>
      <c r="M94" s="18">
        <v>6.8401222E-6</v>
      </c>
      <c r="N94" s="18">
        <v>9.4258539999999996E-8</v>
      </c>
      <c r="O94" s="18">
        <v>1.0824178999999999E-6</v>
      </c>
      <c r="P94" s="18">
        <v>6.8577784999999997E-7</v>
      </c>
      <c r="Q94" s="3">
        <v>8.8687313999999996E-3</v>
      </c>
      <c r="R94" s="3">
        <v>1.4329149999999999E-4</v>
      </c>
      <c r="S94" s="3">
        <v>1.2549528999999999</v>
      </c>
      <c r="T94" s="3">
        <v>1.0263913E-2</v>
      </c>
      <c r="U94" s="18">
        <v>2.5817309000000001E-8</v>
      </c>
      <c r="V94" s="18">
        <v>4.8591548999999998E-10</v>
      </c>
      <c r="W94" s="18">
        <v>4.2841620000000001E-5</v>
      </c>
      <c r="X94" s="3">
        <v>2.0140395000000001E-4</v>
      </c>
    </row>
    <row r="95" spans="1:24" x14ac:dyDescent="0.3">
      <c r="A95" s="17" t="s">
        <v>109</v>
      </c>
      <c r="C95" s="10">
        <v>152</v>
      </c>
      <c r="E95" s="21">
        <f t="shared" si="2"/>
        <v>148</v>
      </c>
      <c r="F95" s="3">
        <v>6.37493</v>
      </c>
      <c r="G95" s="16">
        <v>2830.87</v>
      </c>
      <c r="H95" s="13">
        <f t="shared" si="3"/>
        <v>0.78827748864588809</v>
      </c>
      <c r="I95" s="18">
        <v>444063000</v>
      </c>
      <c r="J95" s="18">
        <v>9930.42</v>
      </c>
      <c r="K95" s="3">
        <v>8.5824383000000004E-2</v>
      </c>
      <c r="L95" s="3">
        <v>6.4614407000000002E-4</v>
      </c>
      <c r="M95" s="18">
        <v>7.1727137000000001E-6</v>
      </c>
      <c r="N95" s="18">
        <v>9.0802371999999994E-8</v>
      </c>
      <c r="O95" s="18">
        <v>5.6201445999999998E-6</v>
      </c>
      <c r="P95" s="18">
        <v>6.0886901999999996E-7</v>
      </c>
      <c r="Q95" s="3">
        <v>7.3849585000000002E-3</v>
      </c>
      <c r="R95" s="3">
        <v>1.3075245E-4</v>
      </c>
      <c r="S95" s="3">
        <v>2.1379264999999998</v>
      </c>
      <c r="T95" s="3">
        <v>1.1316822000000001E-2</v>
      </c>
      <c r="U95" s="18">
        <v>2.8084955999999999E-8</v>
      </c>
      <c r="V95" s="18">
        <v>5.9238732999999995E-10</v>
      </c>
      <c r="W95" s="3">
        <v>6.1218335999999995E-4</v>
      </c>
      <c r="X95" s="3">
        <v>1.8289686E-4</v>
      </c>
    </row>
    <row r="96" spans="1:24" x14ac:dyDescent="0.3">
      <c r="A96" s="17" t="s">
        <v>109</v>
      </c>
      <c r="C96" s="10">
        <v>156</v>
      </c>
      <c r="E96" s="21">
        <f t="shared" si="2"/>
        <v>152</v>
      </c>
      <c r="F96" s="3">
        <v>6.37493</v>
      </c>
      <c r="G96" s="16">
        <v>2798.05</v>
      </c>
      <c r="H96" s="13">
        <f t="shared" si="3"/>
        <v>0.77913850763391734</v>
      </c>
      <c r="I96" s="18">
        <v>438915000</v>
      </c>
      <c r="J96" s="18">
        <v>10555.9</v>
      </c>
      <c r="K96" s="3">
        <v>9.1569324999999993E-2</v>
      </c>
      <c r="L96" s="3">
        <v>6.1980597999999995E-4</v>
      </c>
      <c r="M96" s="18">
        <v>6.9521120000000002E-6</v>
      </c>
      <c r="N96" s="18">
        <v>8.6887913999999996E-8</v>
      </c>
      <c r="O96" s="18">
        <v>8.9693532000000005E-6</v>
      </c>
      <c r="P96" s="18">
        <v>5.3442437000000001E-7</v>
      </c>
      <c r="Q96" s="3">
        <v>6.9505900000000004E-3</v>
      </c>
      <c r="R96" s="3">
        <v>1.2957113000000001E-4</v>
      </c>
      <c r="S96" s="3">
        <v>3.0506674999999999</v>
      </c>
      <c r="T96" s="3">
        <v>1.1952951999999999E-2</v>
      </c>
      <c r="U96" s="18">
        <v>2.8728786E-8</v>
      </c>
      <c r="V96" s="18">
        <v>6.4600958999999996E-10</v>
      </c>
      <c r="W96" s="3">
        <v>1.2019302999999999E-4</v>
      </c>
      <c r="X96" s="3">
        <v>1.9583630999999999E-4</v>
      </c>
    </row>
    <row r="97" spans="1:24" x14ac:dyDescent="0.3">
      <c r="A97" s="17" t="s">
        <v>109</v>
      </c>
      <c r="C97" s="10">
        <v>160</v>
      </c>
      <c r="E97" s="21">
        <f t="shared" si="2"/>
        <v>156</v>
      </c>
      <c r="F97" s="3">
        <v>6.37493</v>
      </c>
      <c r="G97" s="16">
        <v>2783.84</v>
      </c>
      <c r="H97" s="13">
        <f t="shared" si="3"/>
        <v>0.77518162402087321</v>
      </c>
      <c r="I97" s="18">
        <v>436686000</v>
      </c>
      <c r="J97" s="18">
        <v>9544.02</v>
      </c>
      <c r="K97" s="3">
        <v>9.5685523999999994E-2</v>
      </c>
      <c r="L97" s="3">
        <v>7.0941560000000001E-4</v>
      </c>
      <c r="M97" s="18">
        <v>7.1128037000000002E-6</v>
      </c>
      <c r="N97" s="18">
        <v>9.1771553000000003E-8</v>
      </c>
      <c r="O97" s="18">
        <v>9.5087798999999998E-6</v>
      </c>
      <c r="P97" s="18">
        <v>5.7431433000000005E-7</v>
      </c>
      <c r="Q97" s="3">
        <v>7.4750017999999996E-3</v>
      </c>
      <c r="R97" s="3">
        <v>1.4010530000000001E-4</v>
      </c>
      <c r="S97" s="3">
        <v>2.4177138</v>
      </c>
      <c r="T97" s="3">
        <v>1.1970028000000001E-2</v>
      </c>
      <c r="U97" s="18">
        <v>2.9256044000000002E-8</v>
      </c>
      <c r="V97" s="18">
        <v>6.5745910000000005E-10</v>
      </c>
      <c r="W97" s="18">
        <v>-6.9215221000000005E-5</v>
      </c>
      <c r="X97" s="3">
        <v>2.0544051999999999E-4</v>
      </c>
    </row>
    <row r="98" spans="1:24" x14ac:dyDescent="0.3">
      <c r="A98" s="17" t="s">
        <v>109</v>
      </c>
      <c r="C98" s="10">
        <v>164</v>
      </c>
      <c r="E98" s="21">
        <f t="shared" si="2"/>
        <v>160</v>
      </c>
      <c r="F98" s="3">
        <v>6.37493</v>
      </c>
      <c r="G98" s="16">
        <v>2783.86</v>
      </c>
      <c r="H98" s="13">
        <f t="shared" si="3"/>
        <v>0.7751871931744454</v>
      </c>
      <c r="I98" s="18">
        <v>436689000</v>
      </c>
      <c r="J98" s="18">
        <v>10547.7</v>
      </c>
      <c r="K98" s="3">
        <v>0.10523159999999999</v>
      </c>
      <c r="L98" s="3">
        <v>7.1928157E-4</v>
      </c>
      <c r="M98" s="18">
        <v>7.3611466000000002E-6</v>
      </c>
      <c r="N98" s="18">
        <v>8.6899999E-8</v>
      </c>
      <c r="O98" s="18">
        <v>1.7418979E-5</v>
      </c>
      <c r="P98" s="18">
        <v>4.6257441999999999E-7</v>
      </c>
      <c r="Q98" s="3">
        <v>7.2248377000000003E-3</v>
      </c>
      <c r="R98" s="3">
        <v>1.4863461E-4</v>
      </c>
      <c r="S98" s="3">
        <v>2.6829947000000001</v>
      </c>
      <c r="T98" s="3">
        <v>1.3095658E-2</v>
      </c>
      <c r="U98" s="18">
        <v>2.7147446999999998E-8</v>
      </c>
      <c r="V98" s="18">
        <v>6.6406707000000004E-10</v>
      </c>
      <c r="W98" s="3">
        <v>6.1878781999999996E-4</v>
      </c>
      <c r="X98" s="3">
        <v>1.9366823999999999E-4</v>
      </c>
    </row>
    <row r="99" spans="1:24" x14ac:dyDescent="0.3">
      <c r="A99" s="17" t="s">
        <v>109</v>
      </c>
      <c r="C99" s="10">
        <v>168</v>
      </c>
      <c r="E99" s="21">
        <f t="shared" si="2"/>
        <v>164</v>
      </c>
      <c r="F99" s="3">
        <v>6.37493</v>
      </c>
      <c r="G99" s="16">
        <v>2785.65</v>
      </c>
      <c r="H99" s="13">
        <f t="shared" si="3"/>
        <v>0.77568563241915678</v>
      </c>
      <c r="I99" s="18">
        <v>436970000</v>
      </c>
      <c r="J99" s="18">
        <v>14283.8</v>
      </c>
      <c r="K99" s="3">
        <v>8.6612444999999996E-2</v>
      </c>
      <c r="L99" s="3">
        <v>6.8542861999999999E-4</v>
      </c>
      <c r="M99" s="18">
        <v>7.0282480000000004E-6</v>
      </c>
      <c r="N99" s="18">
        <v>9.6014376000000003E-8</v>
      </c>
      <c r="O99" s="18">
        <v>6.1537359000000003E-6</v>
      </c>
      <c r="P99" s="18">
        <v>6.4595849999999995E-7</v>
      </c>
      <c r="Q99" s="3">
        <v>7.4998299999999999E-3</v>
      </c>
      <c r="R99" s="3">
        <v>1.5347871000000001E-4</v>
      </c>
      <c r="S99" s="3">
        <v>1.9705929</v>
      </c>
      <c r="T99" s="3">
        <v>1.2960774E-2</v>
      </c>
      <c r="U99" s="18">
        <v>2.5149021999999999E-8</v>
      </c>
      <c r="V99" s="18">
        <v>5.9585190999999999E-10</v>
      </c>
      <c r="W99" s="3">
        <v>1.0219538E-3</v>
      </c>
      <c r="X99" s="3">
        <v>2.0129263999999999E-4</v>
      </c>
    </row>
    <row r="100" spans="1:24" x14ac:dyDescent="0.3">
      <c r="A100" s="17" t="s">
        <v>109</v>
      </c>
      <c r="C100" s="10">
        <v>172</v>
      </c>
      <c r="E100" s="21">
        <f t="shared" si="2"/>
        <v>168</v>
      </c>
      <c r="F100" s="3">
        <v>6.37493</v>
      </c>
      <c r="G100" s="16">
        <v>2817.8</v>
      </c>
      <c r="H100" s="13">
        <f t="shared" si="3"/>
        <v>0.78463804678645921</v>
      </c>
      <c r="I100" s="18">
        <v>442012000</v>
      </c>
      <c r="J100" s="18">
        <v>9134.9500000000007</v>
      </c>
      <c r="K100" s="3">
        <v>0.10253579</v>
      </c>
      <c r="L100" s="3">
        <v>7.2131924999999997E-4</v>
      </c>
      <c r="M100" s="18">
        <v>7.0689178000000004E-6</v>
      </c>
      <c r="N100" s="18">
        <v>9.0487648000000003E-8</v>
      </c>
      <c r="O100" s="18">
        <v>1.3476303999999999E-5</v>
      </c>
      <c r="P100" s="18">
        <v>5.1830322000000001E-7</v>
      </c>
      <c r="Q100" s="3">
        <v>7.3225724000000004E-3</v>
      </c>
      <c r="R100" s="3">
        <v>1.4278621E-4</v>
      </c>
      <c r="S100" s="3">
        <v>2.6687238999999998</v>
      </c>
      <c r="T100" s="3">
        <v>1.2510297E-2</v>
      </c>
      <c r="U100" s="18">
        <v>2.9861798999999998E-8</v>
      </c>
      <c r="V100" s="18">
        <v>7.0504474E-10</v>
      </c>
      <c r="W100" s="3">
        <v>5.7375825000000004E-4</v>
      </c>
      <c r="X100" s="3">
        <v>2.1626792999999999E-4</v>
      </c>
    </row>
    <row r="101" spans="1:24" x14ac:dyDescent="0.3">
      <c r="A101" s="17" t="s">
        <v>109</v>
      </c>
      <c r="C101" s="10">
        <v>176</v>
      </c>
      <c r="E101" s="21">
        <f t="shared" si="2"/>
        <v>172</v>
      </c>
      <c r="F101" s="3">
        <v>6.37493</v>
      </c>
      <c r="G101" s="16">
        <v>2858.45</v>
      </c>
      <c r="H101" s="13">
        <f t="shared" si="3"/>
        <v>0.79595735142194413</v>
      </c>
      <c r="I101" s="18">
        <v>448389000</v>
      </c>
      <c r="J101" s="18">
        <v>11068.7</v>
      </c>
      <c r="K101" s="3">
        <v>8.6892964000000003E-2</v>
      </c>
      <c r="L101" s="3">
        <v>6.4378253999999998E-4</v>
      </c>
      <c r="M101" s="18">
        <v>6.7711746999999998E-6</v>
      </c>
      <c r="N101" s="18">
        <v>9.5411066999999998E-8</v>
      </c>
      <c r="O101" s="18">
        <v>7.7937946999999996E-6</v>
      </c>
      <c r="P101" s="18">
        <v>6.0635348999999998E-7</v>
      </c>
      <c r="Q101" s="3">
        <v>7.0927287999999998E-3</v>
      </c>
      <c r="R101" s="3">
        <v>1.4365299999999999E-4</v>
      </c>
      <c r="S101" s="3">
        <v>2.2097337000000001</v>
      </c>
      <c r="T101" s="3">
        <v>1.2954063E-2</v>
      </c>
      <c r="U101" s="18">
        <v>2.6866914000000001E-8</v>
      </c>
      <c r="V101" s="18">
        <v>6.4530439999999999E-10</v>
      </c>
      <c r="W101" s="3">
        <v>-5.9181260000000003E-4</v>
      </c>
      <c r="X101" s="3">
        <v>2.1443303999999999E-4</v>
      </c>
    </row>
    <row r="102" spans="1:24" x14ac:dyDescent="0.3">
      <c r="A102" s="17" t="s">
        <v>109</v>
      </c>
      <c r="C102" s="10">
        <v>180</v>
      </c>
      <c r="E102" s="21">
        <f t="shared" si="2"/>
        <v>176</v>
      </c>
      <c r="F102" s="3">
        <v>6.37493</v>
      </c>
      <c r="G102" s="16">
        <v>2900.92</v>
      </c>
      <c r="H102" s="13">
        <f t="shared" si="3"/>
        <v>0.80778344903249877</v>
      </c>
      <c r="I102" s="18">
        <v>455051000</v>
      </c>
      <c r="J102" s="18">
        <v>14414</v>
      </c>
      <c r="K102" s="3">
        <v>6.6559383E-2</v>
      </c>
      <c r="L102" s="3">
        <v>5.6735056000000003E-4</v>
      </c>
      <c r="M102" s="18">
        <v>7.3183571999999998E-6</v>
      </c>
      <c r="N102" s="18">
        <v>1.0374993E-7</v>
      </c>
      <c r="O102" s="18">
        <v>5.2761597000000003E-6</v>
      </c>
      <c r="P102" s="18">
        <v>6.8006105000000001E-7</v>
      </c>
      <c r="Q102" s="3">
        <v>6.8447263000000003E-3</v>
      </c>
      <c r="R102" s="3">
        <v>1.4241595000000001E-4</v>
      </c>
      <c r="S102" s="3">
        <v>2.7509171000000001</v>
      </c>
      <c r="T102" s="3">
        <v>1.3296028999999999E-2</v>
      </c>
      <c r="U102" s="18">
        <v>2.1939962000000001E-8</v>
      </c>
      <c r="V102" s="18">
        <v>5.2603377000000004E-10</v>
      </c>
      <c r="W102" s="3">
        <v>1.0688104E-3</v>
      </c>
      <c r="X102" s="3">
        <v>1.5774148000000001E-4</v>
      </c>
    </row>
    <row r="103" spans="1:24" x14ac:dyDescent="0.3">
      <c r="A103" s="17" t="s">
        <v>109</v>
      </c>
      <c r="C103" s="10">
        <v>184</v>
      </c>
      <c r="E103" s="21">
        <f t="shared" si="2"/>
        <v>180</v>
      </c>
      <c r="F103" s="3">
        <v>6.37493</v>
      </c>
      <c r="G103" s="16">
        <v>2936.09</v>
      </c>
      <c r="H103" s="13">
        <f t="shared" si="3"/>
        <v>0.81757680558920254</v>
      </c>
      <c r="I103" s="18">
        <v>460568000</v>
      </c>
      <c r="J103" s="18">
        <v>7196.61</v>
      </c>
      <c r="K103" s="3">
        <v>7.8580359000000002E-2</v>
      </c>
      <c r="L103" s="3">
        <v>6.0359624999999995E-4</v>
      </c>
      <c r="M103" s="18">
        <v>7.5918156999999997E-6</v>
      </c>
      <c r="N103" s="18">
        <v>9.2764481999999998E-8</v>
      </c>
      <c r="O103" s="18">
        <v>1.1917629E-5</v>
      </c>
      <c r="P103" s="18">
        <v>5.5031366999999998E-7</v>
      </c>
      <c r="Q103" s="3">
        <v>7.3984452000000001E-3</v>
      </c>
      <c r="R103" s="3">
        <v>1.2101788E-4</v>
      </c>
      <c r="S103" s="3">
        <v>1.7388713</v>
      </c>
      <c r="T103" s="3">
        <v>1.0457446E-2</v>
      </c>
      <c r="U103" s="18">
        <v>2.7138655000000002E-8</v>
      </c>
      <c r="V103" s="18">
        <v>5.2868373999999999E-10</v>
      </c>
      <c r="W103" s="3">
        <v>9.2237804999999997E-4</v>
      </c>
      <c r="X103" s="3">
        <v>1.4976362000000001E-4</v>
      </c>
    </row>
    <row r="104" spans="1:24" x14ac:dyDescent="0.3">
      <c r="A104" s="17" t="s">
        <v>110</v>
      </c>
      <c r="C104" s="3">
        <v>0</v>
      </c>
      <c r="E104" s="21">
        <f>C104</f>
        <v>0</v>
      </c>
      <c r="F104" s="3">
        <v>6.3582700000000001</v>
      </c>
      <c r="G104" s="16">
        <v>2873.43</v>
      </c>
      <c r="H104" s="13">
        <f t="shared" si="3"/>
        <v>0.80012864744751766</v>
      </c>
      <c r="I104" s="18">
        <v>451919000</v>
      </c>
      <c r="J104" s="18">
        <v>17217.2</v>
      </c>
      <c r="K104" s="3">
        <v>5.7330362000000003E-2</v>
      </c>
      <c r="L104" s="3">
        <v>6.3530761000000005E-4</v>
      </c>
      <c r="M104" s="18">
        <v>7.7588056999999992E-6</v>
      </c>
      <c r="N104" s="18">
        <v>1.2493296000000001E-7</v>
      </c>
      <c r="O104" s="18">
        <v>2.8073367999999999E-6</v>
      </c>
      <c r="P104" s="18">
        <v>8.8108427000000003E-7</v>
      </c>
      <c r="Q104" s="3">
        <v>6.3221149999999997E-3</v>
      </c>
      <c r="R104" s="3">
        <v>1.4689312E-4</v>
      </c>
      <c r="S104" s="3">
        <v>2.4029126000000001</v>
      </c>
      <c r="T104" s="3">
        <v>1.4818082E-2</v>
      </c>
      <c r="U104" s="18">
        <v>2.2248663000000001E-8</v>
      </c>
      <c r="V104" s="18">
        <v>5.9296526999999999E-10</v>
      </c>
      <c r="W104" s="3">
        <v>1.2892596000000001E-3</v>
      </c>
      <c r="X104" s="3">
        <v>1.473217E-4</v>
      </c>
    </row>
    <row r="105" spans="1:24" x14ac:dyDescent="0.3">
      <c r="A105" s="17" t="s">
        <v>110</v>
      </c>
      <c r="C105" s="3">
        <v>4</v>
      </c>
      <c r="E105" s="21">
        <f t="shared" ref="E105:E137" si="4">C105</f>
        <v>4</v>
      </c>
      <c r="F105" s="3">
        <v>6.3582700000000001</v>
      </c>
      <c r="G105" s="16">
        <v>2946.6</v>
      </c>
      <c r="H105" s="13">
        <f t="shared" si="3"/>
        <v>0.82050339579139064</v>
      </c>
      <c r="I105" s="18">
        <v>463428000</v>
      </c>
      <c r="J105" s="18">
        <v>9897.15</v>
      </c>
      <c r="K105" s="3">
        <v>5.8263903999999998E-2</v>
      </c>
      <c r="L105" s="3">
        <v>6.7999626999999999E-4</v>
      </c>
      <c r="M105" s="18">
        <v>8.1291604000000004E-6</v>
      </c>
      <c r="N105" s="18">
        <v>1.2991359E-7</v>
      </c>
      <c r="O105" s="18">
        <v>9.2163999000000005E-6</v>
      </c>
      <c r="P105" s="18">
        <v>8.3387900000000003E-7</v>
      </c>
      <c r="Q105" s="3">
        <v>6.0573564E-3</v>
      </c>
      <c r="R105" s="3">
        <v>1.3231353E-4</v>
      </c>
      <c r="S105" s="3">
        <v>1.1290123999999999</v>
      </c>
      <c r="T105" s="3">
        <v>1.3907088999999999E-2</v>
      </c>
      <c r="U105" s="18">
        <v>2.5630083999999999E-8</v>
      </c>
      <c r="V105" s="18">
        <v>6.5553796E-10</v>
      </c>
      <c r="W105" s="3">
        <v>1.4207263999999999E-3</v>
      </c>
      <c r="X105" s="3">
        <v>1.3717016999999999E-4</v>
      </c>
    </row>
    <row r="106" spans="1:24" x14ac:dyDescent="0.3">
      <c r="A106" s="17" t="s">
        <v>110</v>
      </c>
      <c r="C106" s="3">
        <v>8</v>
      </c>
      <c r="E106" s="21">
        <f t="shared" si="4"/>
        <v>8</v>
      </c>
      <c r="F106" s="3">
        <v>6.3582700000000001</v>
      </c>
      <c r="G106" s="16">
        <v>2967.71</v>
      </c>
      <c r="H106" s="13">
        <f t="shared" si="3"/>
        <v>0.82638163738684178</v>
      </c>
      <c r="I106" s="18">
        <v>466749000</v>
      </c>
      <c r="J106" s="18">
        <v>6325.63</v>
      </c>
      <c r="K106" s="3">
        <v>5.1794694000000002E-2</v>
      </c>
      <c r="L106" s="3">
        <v>6.0997313999999996E-4</v>
      </c>
      <c r="M106" s="18">
        <v>8.2951857E-6</v>
      </c>
      <c r="N106" s="18">
        <v>1.3039155E-7</v>
      </c>
      <c r="O106" s="18">
        <v>9.3081927999999994E-6</v>
      </c>
      <c r="P106" s="18">
        <v>8.2981936000000001E-7</v>
      </c>
      <c r="Q106" s="3">
        <v>5.7306511999999999E-3</v>
      </c>
      <c r="R106" s="3">
        <v>1.0704903E-4</v>
      </c>
      <c r="S106" s="3">
        <v>1.1859439000000001</v>
      </c>
      <c r="T106" s="3">
        <v>1.1960177000000001E-2</v>
      </c>
      <c r="U106" s="18">
        <v>2.8621777000000002E-8</v>
      </c>
      <c r="V106" s="18">
        <v>6.4102945999999998E-10</v>
      </c>
      <c r="W106" s="3">
        <v>1.7204388E-3</v>
      </c>
      <c r="X106" s="3">
        <v>1.1793531E-4</v>
      </c>
    </row>
    <row r="107" spans="1:24" x14ac:dyDescent="0.3">
      <c r="A107" s="17" t="s">
        <v>110</v>
      </c>
      <c r="C107" s="3">
        <v>12</v>
      </c>
      <c r="E107" s="21">
        <f t="shared" si="4"/>
        <v>12</v>
      </c>
      <c r="F107" s="3">
        <v>6.3582700000000001</v>
      </c>
      <c r="G107" s="16">
        <v>2961.07</v>
      </c>
      <c r="H107" s="13">
        <f t="shared" si="3"/>
        <v>0.8245326784008733</v>
      </c>
      <c r="I107" s="18">
        <v>465704000</v>
      </c>
      <c r="J107" s="18">
        <v>6415.35</v>
      </c>
      <c r="K107" s="3">
        <v>6.1078960000000002E-2</v>
      </c>
      <c r="L107" s="3">
        <v>6.3705450000000002E-4</v>
      </c>
      <c r="M107" s="18">
        <v>7.7070617000000007E-6</v>
      </c>
      <c r="N107" s="18">
        <v>1.2006378999999999E-7</v>
      </c>
      <c r="O107" s="18">
        <v>5.9388694999999999E-6</v>
      </c>
      <c r="P107" s="18">
        <v>7.9980019E-7</v>
      </c>
      <c r="Q107" s="3">
        <v>8.0504774000000005E-3</v>
      </c>
      <c r="R107" s="3">
        <v>1.2388381E-4</v>
      </c>
      <c r="S107" s="3">
        <v>1.5910367000000001</v>
      </c>
      <c r="T107" s="3">
        <v>9.8690293000000002E-3</v>
      </c>
      <c r="U107" s="18">
        <v>2.7462701E-8</v>
      </c>
      <c r="V107" s="18">
        <v>5.0490119999999995E-10</v>
      </c>
      <c r="W107" s="3">
        <v>1.2363967999999999E-3</v>
      </c>
      <c r="X107" s="3">
        <v>1.5040974999999999E-4</v>
      </c>
    </row>
    <row r="108" spans="1:24" x14ac:dyDescent="0.3">
      <c r="A108" s="17" t="s">
        <v>110</v>
      </c>
      <c r="C108" s="3">
        <v>16</v>
      </c>
      <c r="E108" s="21">
        <f t="shared" si="4"/>
        <v>16</v>
      </c>
      <c r="F108" s="3">
        <v>6.3582700000000001</v>
      </c>
      <c r="G108" s="16">
        <v>2910.31</v>
      </c>
      <c r="H108" s="13">
        <f t="shared" si="3"/>
        <v>0.81039816663464403</v>
      </c>
      <c r="I108" s="18">
        <v>457720000</v>
      </c>
      <c r="J108" s="18">
        <v>10561.1</v>
      </c>
      <c r="K108" s="3">
        <v>6.0100303000000001E-2</v>
      </c>
      <c r="L108" s="3">
        <v>6.5417673000000003E-4</v>
      </c>
      <c r="M108" s="18">
        <v>8.1686199999999997E-6</v>
      </c>
      <c r="N108" s="18">
        <v>1.2191834999999999E-7</v>
      </c>
      <c r="O108" s="18">
        <v>7.0724712000000002E-6</v>
      </c>
      <c r="P108" s="18">
        <v>7.9502653E-7</v>
      </c>
      <c r="Q108" s="3">
        <v>7.1890226999999996E-3</v>
      </c>
      <c r="R108" s="3">
        <v>1.3712125000000001E-4</v>
      </c>
      <c r="S108" s="3">
        <v>2.4782149000000002</v>
      </c>
      <c r="T108" s="3">
        <v>1.2258781999999999E-2</v>
      </c>
      <c r="U108" s="18">
        <v>2.3736025E-8</v>
      </c>
      <c r="V108" s="18">
        <v>5.2911283000000004E-10</v>
      </c>
      <c r="W108" s="3">
        <v>1.8505652E-3</v>
      </c>
      <c r="X108" s="3">
        <v>1.3405101000000001E-4</v>
      </c>
    </row>
    <row r="109" spans="1:24" x14ac:dyDescent="0.3">
      <c r="A109" s="17" t="s">
        <v>110</v>
      </c>
      <c r="C109" s="3">
        <v>20</v>
      </c>
      <c r="E109" s="21">
        <f t="shared" si="4"/>
        <v>20</v>
      </c>
      <c r="F109" s="3">
        <v>6.3582700000000001</v>
      </c>
      <c r="G109" s="16">
        <v>2879.67</v>
      </c>
      <c r="H109" s="13">
        <f t="shared" si="3"/>
        <v>0.80186622336204239</v>
      </c>
      <c r="I109" s="18">
        <v>452902000</v>
      </c>
      <c r="J109" s="18">
        <v>8465.92</v>
      </c>
      <c r="K109" s="3">
        <v>6.0160709E-2</v>
      </c>
      <c r="L109" s="3">
        <v>6.0098276999999997E-4</v>
      </c>
      <c r="M109" s="18">
        <v>7.4144974999999997E-6</v>
      </c>
      <c r="N109" s="18">
        <v>1.1542043E-7</v>
      </c>
      <c r="O109" s="18">
        <v>3.8610556000000001E-6</v>
      </c>
      <c r="P109" s="18">
        <v>8.0639928999999999E-7</v>
      </c>
      <c r="Q109" s="3">
        <v>7.0208591000000004E-3</v>
      </c>
      <c r="R109" s="3">
        <v>1.2481956000000001E-4</v>
      </c>
      <c r="S109" s="3">
        <v>1.615964</v>
      </c>
      <c r="T109" s="3">
        <v>1.1309751999999999E-2</v>
      </c>
      <c r="U109" s="18">
        <v>2.6134979999999999E-8</v>
      </c>
      <c r="V109" s="18">
        <v>5.4578675999999997E-10</v>
      </c>
      <c r="W109" s="3">
        <v>8.7130504000000001E-4</v>
      </c>
      <c r="X109" s="3">
        <v>1.5393140999999999E-4</v>
      </c>
    </row>
    <row r="110" spans="1:24" x14ac:dyDescent="0.3">
      <c r="A110" s="17" t="s">
        <v>110</v>
      </c>
      <c r="C110" s="3">
        <v>24</v>
      </c>
      <c r="E110" s="21">
        <f t="shared" si="4"/>
        <v>24</v>
      </c>
      <c r="F110" s="3">
        <v>6.3582700000000001</v>
      </c>
      <c r="G110" s="16">
        <v>2837.42</v>
      </c>
      <c r="H110" s="13">
        <f t="shared" si="3"/>
        <v>0.79010138644078176</v>
      </c>
      <c r="I110" s="18">
        <v>446256000</v>
      </c>
      <c r="J110" s="18">
        <v>8891.09</v>
      </c>
      <c r="K110" s="3">
        <v>5.8698618000000001E-2</v>
      </c>
      <c r="L110" s="3">
        <v>6.3338692000000001E-4</v>
      </c>
      <c r="M110" s="18">
        <v>7.6257140999999996E-6</v>
      </c>
      <c r="N110" s="18">
        <v>1.2385312E-7</v>
      </c>
      <c r="O110" s="18">
        <v>5.2499830999999998E-6</v>
      </c>
      <c r="P110" s="18">
        <v>8.4113925999999999E-7</v>
      </c>
      <c r="Q110" s="3">
        <v>6.5628644E-3</v>
      </c>
      <c r="R110" s="3">
        <v>1.2880281999999999E-4</v>
      </c>
      <c r="S110" s="3">
        <v>2.3605944000000001</v>
      </c>
      <c r="T110" s="3">
        <v>1.2550898E-2</v>
      </c>
      <c r="U110" s="18">
        <v>2.6113064000000001E-8</v>
      </c>
      <c r="V110" s="18">
        <v>6.0471735000000004E-10</v>
      </c>
      <c r="W110" s="3">
        <v>9.1682017000000002E-4</v>
      </c>
      <c r="X110" s="3">
        <v>1.5227510000000001E-4</v>
      </c>
    </row>
    <row r="111" spans="1:24" x14ac:dyDescent="0.3">
      <c r="A111" s="17" t="s">
        <v>110</v>
      </c>
      <c r="C111" s="3">
        <v>28</v>
      </c>
      <c r="E111" s="21">
        <f t="shared" si="4"/>
        <v>28</v>
      </c>
      <c r="F111" s="3">
        <v>6.3582700000000001</v>
      </c>
      <c r="G111" s="16">
        <v>2781.1</v>
      </c>
      <c r="H111" s="13">
        <f t="shared" si="3"/>
        <v>0.77441864998148258</v>
      </c>
      <c r="I111" s="18">
        <v>437398000</v>
      </c>
      <c r="J111" s="18">
        <v>8066.9</v>
      </c>
      <c r="K111" s="3">
        <v>6.2416443000000002E-2</v>
      </c>
      <c r="L111" s="3">
        <v>6.9217943000000003E-4</v>
      </c>
      <c r="M111" s="18">
        <v>7.7835638999999994E-6</v>
      </c>
      <c r="N111" s="18">
        <v>1.2279198000000001E-7</v>
      </c>
      <c r="O111" s="18">
        <v>6.1930841000000004E-6</v>
      </c>
      <c r="P111" s="18">
        <v>8.4908309000000002E-7</v>
      </c>
      <c r="Q111" s="3">
        <v>6.6903589000000003E-3</v>
      </c>
      <c r="R111" s="3">
        <v>1.2765802999999999E-4</v>
      </c>
      <c r="S111" s="3">
        <v>1.7997132</v>
      </c>
      <c r="T111" s="3">
        <v>1.2162454E-2</v>
      </c>
      <c r="U111" s="18">
        <v>2.7863119000000001E-8</v>
      </c>
      <c r="V111" s="18">
        <v>6.2696876999999996E-10</v>
      </c>
      <c r="W111" s="3">
        <v>1.2663368999999999E-3</v>
      </c>
      <c r="X111" s="3">
        <v>1.5232999000000001E-4</v>
      </c>
    </row>
    <row r="112" spans="1:24" x14ac:dyDescent="0.3">
      <c r="A112" s="17" t="s">
        <v>110</v>
      </c>
      <c r="C112" s="3">
        <v>32</v>
      </c>
      <c r="E112" s="21">
        <f t="shared" si="4"/>
        <v>32</v>
      </c>
      <c r="F112" s="3">
        <v>6.3582700000000001</v>
      </c>
      <c r="G112" s="16">
        <v>2766.05</v>
      </c>
      <c r="H112" s="13">
        <f t="shared" si="3"/>
        <v>0.77022786191840642</v>
      </c>
      <c r="I112" s="18">
        <v>435032000</v>
      </c>
      <c r="J112" s="18">
        <v>8356.6</v>
      </c>
      <c r="K112" s="3">
        <v>6.3079930000000006E-2</v>
      </c>
      <c r="L112" s="3">
        <v>7.0854206000000002E-4</v>
      </c>
      <c r="M112" s="18">
        <v>8.1186333000000006E-6</v>
      </c>
      <c r="N112" s="18">
        <v>1.2053337999999999E-7</v>
      </c>
      <c r="O112" s="18">
        <v>8.1565134999999992E-6</v>
      </c>
      <c r="P112" s="18">
        <v>8.2145981E-7</v>
      </c>
      <c r="Q112" s="3">
        <v>6.450346E-3</v>
      </c>
      <c r="R112" s="3">
        <v>1.2822975999999999E-4</v>
      </c>
      <c r="S112" s="3">
        <v>1.2318308</v>
      </c>
      <c r="T112" s="3">
        <v>1.2544293E-2</v>
      </c>
      <c r="U112" s="18">
        <v>2.7041177000000001E-8</v>
      </c>
      <c r="V112" s="18">
        <v>6.2488840000000001E-10</v>
      </c>
      <c r="W112" s="3">
        <v>1.6127685000000001E-3</v>
      </c>
      <c r="X112" s="3">
        <v>1.3729802999999999E-4</v>
      </c>
    </row>
    <row r="113" spans="1:24" x14ac:dyDescent="0.3">
      <c r="A113" s="17" t="s">
        <v>110</v>
      </c>
      <c r="C113" s="3">
        <v>36</v>
      </c>
      <c r="E113" s="21">
        <f t="shared" si="4"/>
        <v>36</v>
      </c>
      <c r="F113" s="3">
        <v>6.3582700000000001</v>
      </c>
      <c r="G113" s="16">
        <v>2759.42</v>
      </c>
      <c r="H113" s="13">
        <f t="shared" si="3"/>
        <v>0.76838168750922398</v>
      </c>
      <c r="I113" s="18">
        <v>433990000</v>
      </c>
      <c r="J113" s="18">
        <v>9486.24</v>
      </c>
      <c r="K113" s="3">
        <v>6.1494144000000001E-2</v>
      </c>
      <c r="L113" s="3">
        <v>7.1457712000000005E-4</v>
      </c>
      <c r="M113" s="18">
        <v>8.0205332000000007E-6</v>
      </c>
      <c r="N113" s="18">
        <v>1.2454727999999999E-7</v>
      </c>
      <c r="O113" s="18">
        <v>6.360824E-6</v>
      </c>
      <c r="P113" s="18">
        <v>8.7608423999999997E-7</v>
      </c>
      <c r="Q113" s="3">
        <v>6.3534634999999999E-3</v>
      </c>
      <c r="R113" s="3">
        <v>1.3133299000000001E-4</v>
      </c>
      <c r="S113" s="3">
        <v>1.3612835000000001</v>
      </c>
      <c r="T113" s="3">
        <v>1.3066454E-2</v>
      </c>
      <c r="U113" s="18">
        <v>2.6839836999999998E-8</v>
      </c>
      <c r="V113" s="18">
        <v>6.4441587000000004E-10</v>
      </c>
      <c r="W113" s="3">
        <v>1.6403406999999999E-3</v>
      </c>
      <c r="X113" s="3">
        <v>1.4292830000000001E-4</v>
      </c>
    </row>
    <row r="114" spans="1:24" x14ac:dyDescent="0.3">
      <c r="A114" s="17" t="s">
        <v>110</v>
      </c>
      <c r="C114" s="3">
        <v>40</v>
      </c>
      <c r="E114" s="21">
        <f t="shared" si="4"/>
        <v>40</v>
      </c>
      <c r="F114" s="3">
        <v>6.3582700000000001</v>
      </c>
      <c r="G114" s="16">
        <v>2757.31</v>
      </c>
      <c r="H114" s="13">
        <f t="shared" si="3"/>
        <v>0.76779414180735739</v>
      </c>
      <c r="I114" s="18">
        <v>433658000</v>
      </c>
      <c r="J114" s="18">
        <v>11410.7</v>
      </c>
      <c r="K114" s="3">
        <v>6.2451841000000001E-2</v>
      </c>
      <c r="L114" s="3">
        <v>7.1629029999999995E-4</v>
      </c>
      <c r="M114" s="18">
        <v>8.1094814000000003E-6</v>
      </c>
      <c r="N114" s="18">
        <v>1.2257561000000001E-7</v>
      </c>
      <c r="O114" s="18">
        <v>4.3605651000000003E-6</v>
      </c>
      <c r="P114" s="18">
        <v>8.8018186000000001E-7</v>
      </c>
      <c r="Q114" s="3">
        <v>7.4989258999999999E-3</v>
      </c>
      <c r="R114" s="3">
        <v>1.4492087000000001E-4</v>
      </c>
      <c r="S114" s="3">
        <v>1.9021121999999999</v>
      </c>
      <c r="T114" s="3">
        <v>1.2195507E-2</v>
      </c>
      <c r="U114" s="18">
        <v>2.4075777999999999E-8</v>
      </c>
      <c r="V114" s="18">
        <v>5.3175979999999997E-10</v>
      </c>
      <c r="W114" s="3">
        <v>1.5090603000000001E-3</v>
      </c>
      <c r="X114" s="3">
        <v>1.4212689000000001E-4</v>
      </c>
    </row>
    <row r="115" spans="1:24" x14ac:dyDescent="0.3">
      <c r="A115" s="17" t="s">
        <v>110</v>
      </c>
      <c r="C115" s="3">
        <v>44</v>
      </c>
      <c r="E115" s="21">
        <f t="shared" si="4"/>
        <v>44</v>
      </c>
      <c r="F115" s="3">
        <v>6.3582700000000001</v>
      </c>
      <c r="G115" s="16">
        <v>2783.57</v>
      </c>
      <c r="H115" s="13">
        <f t="shared" si="3"/>
        <v>0.77510644044764865</v>
      </c>
      <c r="I115" s="18">
        <v>437787000</v>
      </c>
      <c r="J115" s="18">
        <v>12192</v>
      </c>
      <c r="K115" s="3">
        <v>6.2198716000000001E-2</v>
      </c>
      <c r="L115" s="3">
        <v>7.1206619999999998E-4</v>
      </c>
      <c r="M115" s="18">
        <v>8.2279766000000005E-6</v>
      </c>
      <c r="N115" s="18">
        <v>1.2082562E-7</v>
      </c>
      <c r="O115" s="18">
        <v>6.5655545999999999E-6</v>
      </c>
      <c r="P115" s="18">
        <v>8.4960488E-7</v>
      </c>
      <c r="Q115" s="3">
        <v>6.5844342999999998E-3</v>
      </c>
      <c r="R115" s="3">
        <v>1.3958332E-4</v>
      </c>
      <c r="S115" s="3">
        <v>1.3031010000000001</v>
      </c>
      <c r="T115" s="3">
        <v>1.3405360999999999E-2</v>
      </c>
      <c r="U115" s="18">
        <v>2.4252214E-8</v>
      </c>
      <c r="V115" s="18">
        <v>5.8538572999999999E-10</v>
      </c>
      <c r="W115" s="3">
        <v>1.3997771000000001E-3</v>
      </c>
      <c r="X115" s="3">
        <v>1.3335417E-4</v>
      </c>
    </row>
    <row r="116" spans="1:24" x14ac:dyDescent="0.3">
      <c r="A116" s="17" t="s">
        <v>110</v>
      </c>
      <c r="C116" s="3">
        <v>48</v>
      </c>
      <c r="E116" s="21">
        <f t="shared" si="4"/>
        <v>48</v>
      </c>
      <c r="F116" s="3">
        <v>6.3582700000000001</v>
      </c>
      <c r="G116" s="16">
        <v>2804.39</v>
      </c>
      <c r="H116" s="13">
        <f t="shared" si="3"/>
        <v>0.78090392931630281</v>
      </c>
      <c r="I116" s="18">
        <v>441061000</v>
      </c>
      <c r="J116" s="18">
        <v>10309.5</v>
      </c>
      <c r="K116" s="3">
        <v>6.2580505999999994E-2</v>
      </c>
      <c r="L116" s="3">
        <v>6.9305653E-4</v>
      </c>
      <c r="M116" s="18">
        <v>8.2985111000000003E-6</v>
      </c>
      <c r="N116" s="18">
        <v>1.1999011999999999E-7</v>
      </c>
      <c r="O116" s="18">
        <v>8.9046405000000002E-6</v>
      </c>
      <c r="P116" s="18">
        <v>7.8875816000000003E-7</v>
      </c>
      <c r="Q116" s="3">
        <v>6.7457321000000004E-3</v>
      </c>
      <c r="R116" s="3">
        <v>1.3519108000000001E-4</v>
      </c>
      <c r="S116" s="3">
        <v>1.930436</v>
      </c>
      <c r="T116" s="3">
        <v>1.2755127E-2</v>
      </c>
      <c r="U116" s="18">
        <v>2.4615920000000001E-8</v>
      </c>
      <c r="V116" s="18">
        <v>5.6979306999999998E-10</v>
      </c>
      <c r="W116" s="3">
        <v>1.5800806E-3</v>
      </c>
      <c r="X116" s="3">
        <v>1.3040020000000001E-4</v>
      </c>
    </row>
    <row r="117" spans="1:24" x14ac:dyDescent="0.3">
      <c r="A117" s="17" t="s">
        <v>110</v>
      </c>
      <c r="C117" s="3">
        <v>52</v>
      </c>
      <c r="E117" s="21">
        <f t="shared" si="4"/>
        <v>52</v>
      </c>
      <c r="F117" s="3">
        <v>6.3582700000000001</v>
      </c>
      <c r="G117" s="16">
        <v>2842.51</v>
      </c>
      <c r="H117" s="13">
        <f t="shared" si="3"/>
        <v>0.7915187360249053</v>
      </c>
      <c r="I117" s="18">
        <v>447057000</v>
      </c>
      <c r="J117" s="18">
        <v>13234.8</v>
      </c>
      <c r="K117" s="3">
        <v>6.3509712999999995E-2</v>
      </c>
      <c r="L117" s="3">
        <v>6.9743896000000005E-4</v>
      </c>
      <c r="M117" s="18">
        <v>8.2827982000000008E-6</v>
      </c>
      <c r="N117" s="18">
        <v>1.1460742E-7</v>
      </c>
      <c r="O117" s="18">
        <v>5.1854058000000002E-6</v>
      </c>
      <c r="P117" s="18">
        <v>8.2730503000000004E-7</v>
      </c>
      <c r="Q117" s="3">
        <v>6.4446740999999997E-3</v>
      </c>
      <c r="R117" s="3">
        <v>1.3551186E-4</v>
      </c>
      <c r="S117" s="3">
        <v>0.97652468999999997</v>
      </c>
      <c r="T117" s="3">
        <v>1.3387757E-2</v>
      </c>
      <c r="U117" s="18">
        <v>2.4227135999999999E-8</v>
      </c>
      <c r="V117" s="18">
        <v>5.8138156000000003E-10</v>
      </c>
      <c r="W117" s="3">
        <v>1.6683758E-3</v>
      </c>
      <c r="X117" s="3">
        <v>1.2842598999999999E-4</v>
      </c>
    </row>
    <row r="118" spans="1:24" x14ac:dyDescent="0.3">
      <c r="A118" s="17" t="s">
        <v>110</v>
      </c>
      <c r="C118" s="3">
        <v>56</v>
      </c>
      <c r="E118" s="21">
        <f t="shared" si="4"/>
        <v>56</v>
      </c>
      <c r="F118" s="3">
        <v>6.3582700000000001</v>
      </c>
      <c r="G118" s="16">
        <v>2844.33</v>
      </c>
      <c r="H118" s="13">
        <f t="shared" si="3"/>
        <v>0.79202552899997491</v>
      </c>
      <c r="I118" s="18">
        <v>447344000</v>
      </c>
      <c r="J118" s="18">
        <v>9859.26</v>
      </c>
      <c r="K118" s="3">
        <v>7.3433188999999996E-2</v>
      </c>
      <c r="L118" s="3">
        <v>7.8600944999999999E-4</v>
      </c>
      <c r="M118" s="18">
        <v>8.2669932999999996E-6</v>
      </c>
      <c r="N118" s="18">
        <v>1.1548214000000001E-7</v>
      </c>
      <c r="O118" s="18">
        <v>8.8946622000000007E-6</v>
      </c>
      <c r="P118" s="18">
        <v>7.6523139999999997E-7</v>
      </c>
      <c r="Q118" s="3">
        <v>8.4948284999999991E-3</v>
      </c>
      <c r="R118" s="3">
        <v>1.6445640999999999E-4</v>
      </c>
      <c r="S118" s="3">
        <v>1.2511152999999999</v>
      </c>
      <c r="T118" s="3">
        <v>1.2224352000000001E-2</v>
      </c>
      <c r="U118" s="18">
        <v>2.2755998999999998E-8</v>
      </c>
      <c r="V118" s="18">
        <v>4.9771736999999998E-10</v>
      </c>
      <c r="W118" s="3">
        <v>1.9561245999999998E-3</v>
      </c>
      <c r="X118" s="3">
        <v>1.4800397000000001E-4</v>
      </c>
    </row>
    <row r="119" spans="1:24" x14ac:dyDescent="0.3">
      <c r="A119" s="17" t="s">
        <v>110</v>
      </c>
      <c r="C119" s="3">
        <v>60</v>
      </c>
      <c r="E119" s="21">
        <f t="shared" si="4"/>
        <v>60</v>
      </c>
      <c r="F119" s="3">
        <v>6.3582700000000001</v>
      </c>
      <c r="G119" s="16">
        <v>2921.44</v>
      </c>
      <c r="H119" s="13">
        <f t="shared" si="3"/>
        <v>0.81349740059757014</v>
      </c>
      <c r="I119" s="18">
        <v>459470000</v>
      </c>
      <c r="J119" s="18">
        <v>8133.29</v>
      </c>
      <c r="K119" s="3">
        <v>7.041335E-2</v>
      </c>
      <c r="L119" s="3">
        <v>6.9669312000000003E-4</v>
      </c>
      <c r="M119" s="18">
        <v>7.9083005999999998E-6</v>
      </c>
      <c r="N119" s="18">
        <v>1.1235999E-7</v>
      </c>
      <c r="O119" s="18">
        <v>9.6786797999999998E-6</v>
      </c>
      <c r="P119" s="18">
        <v>7.1330114999999995E-7</v>
      </c>
      <c r="Q119" s="3">
        <v>7.6783347E-3</v>
      </c>
      <c r="R119" s="3">
        <v>1.4134213E-4</v>
      </c>
      <c r="S119" s="3">
        <v>1.2921863</v>
      </c>
      <c r="T119" s="3">
        <v>1.1695097E-2</v>
      </c>
      <c r="U119" s="18">
        <v>2.5129106E-8</v>
      </c>
      <c r="V119" s="18">
        <v>5.3925946999999997E-10</v>
      </c>
      <c r="W119" s="3">
        <v>1.6088774E-3</v>
      </c>
      <c r="X119" s="3">
        <v>1.5077018000000001E-4</v>
      </c>
    </row>
    <row r="120" spans="1:24" x14ac:dyDescent="0.3">
      <c r="A120" s="17" t="s">
        <v>110</v>
      </c>
      <c r="C120" s="3">
        <v>64</v>
      </c>
      <c r="E120" s="21">
        <f t="shared" si="4"/>
        <v>64</v>
      </c>
      <c r="F120" s="3">
        <v>6.3582700000000001</v>
      </c>
      <c r="G120" s="16">
        <v>2971.84</v>
      </c>
      <c r="H120" s="13">
        <f t="shared" si="3"/>
        <v>0.82753166759949992</v>
      </c>
      <c r="I120" s="18">
        <v>467398000</v>
      </c>
      <c r="J120" s="18">
        <v>9767.4</v>
      </c>
      <c r="K120" s="3">
        <v>6.7461530000000006E-2</v>
      </c>
      <c r="L120" s="3">
        <v>7.6547099999999999E-4</v>
      </c>
      <c r="M120" s="18">
        <v>8.1756889000000003E-6</v>
      </c>
      <c r="N120" s="18">
        <v>1.2058861000000001E-7</v>
      </c>
      <c r="O120" s="18">
        <v>4.6862856999999997E-6</v>
      </c>
      <c r="P120" s="18">
        <v>8.6323125000000002E-7</v>
      </c>
      <c r="Q120" s="3">
        <v>6.2478033999999998E-3</v>
      </c>
      <c r="R120" s="3">
        <v>1.3452612999999999E-4</v>
      </c>
      <c r="S120" s="3">
        <v>0.43675394000000001</v>
      </c>
      <c r="T120" s="3">
        <v>1.3837268999999999E-2</v>
      </c>
      <c r="U120" s="18">
        <v>2.7908261000000001E-8</v>
      </c>
      <c r="V120" s="18">
        <v>7.1103916000000004E-10</v>
      </c>
      <c r="W120" s="3">
        <v>1.2052954E-3</v>
      </c>
      <c r="X120" s="3">
        <v>1.4823810000000001E-4</v>
      </c>
    </row>
    <row r="121" spans="1:24" x14ac:dyDescent="0.3">
      <c r="A121" s="17" t="s">
        <v>110</v>
      </c>
      <c r="C121" s="3">
        <v>68</v>
      </c>
      <c r="E121" s="21">
        <f t="shared" si="4"/>
        <v>68</v>
      </c>
      <c r="F121" s="3">
        <v>6.3582700000000001</v>
      </c>
      <c r="G121" s="16">
        <v>2985.9</v>
      </c>
      <c r="H121" s="13">
        <f t="shared" si="3"/>
        <v>0.83144678256075255</v>
      </c>
      <c r="I121" s="18">
        <v>469608000</v>
      </c>
      <c r="J121" s="18">
        <v>8353.1299999999992</v>
      </c>
      <c r="K121" s="3">
        <v>6.7948587000000005E-2</v>
      </c>
      <c r="L121" s="3">
        <v>6.9116450000000003E-4</v>
      </c>
      <c r="M121" s="18">
        <v>8.2055619999999992E-6</v>
      </c>
      <c r="N121" s="18">
        <v>1.1422807E-7</v>
      </c>
      <c r="O121" s="18">
        <v>8.2231598000000002E-6</v>
      </c>
      <c r="P121" s="18">
        <v>7.2941494000000004E-7</v>
      </c>
      <c r="Q121" s="3">
        <v>5.8455594999999999E-3</v>
      </c>
      <c r="R121" s="3">
        <v>1.2301693000000001E-4</v>
      </c>
      <c r="S121" s="3">
        <v>1.8681578000000001</v>
      </c>
      <c r="T121" s="3">
        <v>1.3616801E-2</v>
      </c>
      <c r="U121" s="18">
        <v>2.8758599000000001E-8</v>
      </c>
      <c r="V121" s="18">
        <v>7.3264932000000002E-10</v>
      </c>
      <c r="W121" s="3">
        <v>1.3088920999999999E-3</v>
      </c>
      <c r="X121" s="3">
        <v>1.3986327E-4</v>
      </c>
    </row>
    <row r="122" spans="1:24" x14ac:dyDescent="0.3">
      <c r="A122" s="17" t="s">
        <v>110</v>
      </c>
      <c r="C122" s="3">
        <v>72</v>
      </c>
      <c r="E122" s="21">
        <f t="shared" si="4"/>
        <v>72</v>
      </c>
      <c r="F122" s="3">
        <v>6.3582700000000001</v>
      </c>
      <c r="G122" s="16">
        <v>2977.04</v>
      </c>
      <c r="H122" s="13">
        <f t="shared" si="3"/>
        <v>0.82897964752827036</v>
      </c>
      <c r="I122" s="18">
        <v>468216000</v>
      </c>
      <c r="J122" s="18">
        <v>9592.66</v>
      </c>
      <c r="K122" s="3">
        <v>6.3788401999999994E-2</v>
      </c>
      <c r="L122" s="3">
        <v>6.8756033000000002E-4</v>
      </c>
      <c r="M122" s="18">
        <v>8.3359411999999996E-6</v>
      </c>
      <c r="N122" s="18">
        <v>1.1722883E-7</v>
      </c>
      <c r="O122" s="18">
        <v>9.0538765000000006E-6</v>
      </c>
      <c r="P122" s="18">
        <v>7.6282688999999995E-7</v>
      </c>
      <c r="Q122" s="3">
        <v>5.0336473000000001E-3</v>
      </c>
      <c r="R122" s="3">
        <v>1.1684008000000001E-4</v>
      </c>
      <c r="S122" s="3">
        <v>0.70642163999999996</v>
      </c>
      <c r="T122" s="3">
        <v>1.4878588999999999E-2</v>
      </c>
      <c r="U122" s="18">
        <v>2.9082759999999999E-8</v>
      </c>
      <c r="V122" s="18">
        <v>8.0776926000000001E-10</v>
      </c>
      <c r="W122" s="3">
        <v>1.6002588999999999E-3</v>
      </c>
      <c r="X122" s="3">
        <v>1.2885811E-4</v>
      </c>
    </row>
    <row r="123" spans="1:24" x14ac:dyDescent="0.3">
      <c r="A123" s="17" t="s">
        <v>110</v>
      </c>
      <c r="C123" s="3">
        <v>76</v>
      </c>
      <c r="E123" s="21">
        <f t="shared" si="4"/>
        <v>76</v>
      </c>
      <c r="F123" s="3">
        <v>6.3582700000000001</v>
      </c>
      <c r="G123" s="16">
        <v>2934.94</v>
      </c>
      <c r="H123" s="13">
        <f t="shared" si="3"/>
        <v>0.81725657925880135</v>
      </c>
      <c r="I123" s="18">
        <v>461595000</v>
      </c>
      <c r="J123" s="18">
        <v>15020.2</v>
      </c>
      <c r="K123" s="3">
        <v>6.8667292000000005E-2</v>
      </c>
      <c r="L123" s="3">
        <v>7.4382571000000002E-4</v>
      </c>
      <c r="M123" s="18">
        <v>8.5758191000000004E-6</v>
      </c>
      <c r="N123" s="18">
        <v>1.2050179999999999E-7</v>
      </c>
      <c r="O123" s="18">
        <v>1.1480402E-5</v>
      </c>
      <c r="P123" s="18">
        <v>7.2415868000000002E-7</v>
      </c>
      <c r="Q123" s="3">
        <v>4.5178824000000001E-3</v>
      </c>
      <c r="R123" s="3">
        <v>1.3641523999999999E-4</v>
      </c>
      <c r="S123" s="3">
        <v>2.0454951000000001</v>
      </c>
      <c r="T123" s="3">
        <v>1.9357302999999999E-2</v>
      </c>
      <c r="U123" s="18">
        <v>2.6615398000000002E-8</v>
      </c>
      <c r="V123" s="18">
        <v>9.5752749000000009E-10</v>
      </c>
      <c r="W123" s="3">
        <v>1.4451411999999999E-3</v>
      </c>
      <c r="X123" s="3">
        <v>1.3448822999999999E-4</v>
      </c>
    </row>
    <row r="124" spans="1:24" x14ac:dyDescent="0.3">
      <c r="A124" s="17" t="s">
        <v>110</v>
      </c>
      <c r="C124" s="3">
        <v>80</v>
      </c>
      <c r="E124" s="21">
        <f t="shared" si="4"/>
        <v>80</v>
      </c>
      <c r="F124" s="3">
        <v>6.3582700000000001</v>
      </c>
      <c r="G124" s="16">
        <v>2882.74</v>
      </c>
      <c r="H124" s="13">
        <f t="shared" si="3"/>
        <v>0.80272108843537404</v>
      </c>
      <c r="I124" s="18">
        <v>453385000</v>
      </c>
      <c r="J124" s="18">
        <v>34799.1</v>
      </c>
      <c r="K124" s="3">
        <v>6.7330145999999994E-2</v>
      </c>
      <c r="L124" s="3">
        <v>7.5857343999999999E-4</v>
      </c>
      <c r="M124" s="18">
        <v>8.0034206999999996E-6</v>
      </c>
      <c r="N124" s="18">
        <v>1.2318072000000001E-7</v>
      </c>
      <c r="O124" s="18">
        <v>6.5889582999999999E-6</v>
      </c>
      <c r="P124" s="18">
        <v>8.4379423000000001E-7</v>
      </c>
      <c r="Q124" s="3">
        <v>3.3596692000000001E-3</v>
      </c>
      <c r="R124" s="3">
        <v>1.5157049000000001E-4</v>
      </c>
      <c r="S124" s="3">
        <v>0.91257938999999999</v>
      </c>
      <c r="T124" s="3">
        <v>2.8444401000000001E-2</v>
      </c>
      <c r="U124" s="18">
        <v>2.5030464999999999E-8</v>
      </c>
      <c r="V124" s="18">
        <v>1.3041896999999999E-9</v>
      </c>
      <c r="W124" s="3">
        <v>1.26077E-3</v>
      </c>
      <c r="X124" s="3">
        <v>1.5612212999999999E-4</v>
      </c>
    </row>
    <row r="125" spans="1:24" x14ac:dyDescent="0.3">
      <c r="A125" s="17" t="s">
        <v>110</v>
      </c>
      <c r="C125" s="3">
        <v>84</v>
      </c>
      <c r="E125" s="21">
        <f t="shared" si="4"/>
        <v>84</v>
      </c>
      <c r="F125" s="3">
        <v>6.3582700000000001</v>
      </c>
      <c r="G125" s="16">
        <v>3415.9</v>
      </c>
      <c r="H125" s="13">
        <f t="shared" si="3"/>
        <v>0.9511835843629306</v>
      </c>
      <c r="I125" s="18">
        <v>537237000</v>
      </c>
      <c r="J125" s="18">
        <v>44274.7</v>
      </c>
      <c r="K125" s="3">
        <v>6.8731955999999997E-2</v>
      </c>
      <c r="L125" s="3">
        <v>7.6422236000000003E-4</v>
      </c>
      <c r="M125" s="18">
        <v>8.0699565E-6</v>
      </c>
      <c r="N125" s="18">
        <v>1.3013244E-7</v>
      </c>
      <c r="O125" s="18">
        <v>1.0173332000000001E-5</v>
      </c>
      <c r="P125" s="18">
        <v>7.7888919000000003E-7</v>
      </c>
      <c r="Q125" s="3">
        <v>2.6431606000000001E-3</v>
      </c>
      <c r="R125" s="3">
        <v>1.3925459999999999E-4</v>
      </c>
      <c r="S125" s="3">
        <v>-9.8175731000000002E-2</v>
      </c>
      <c r="T125" s="3">
        <v>3.4686084999999998E-2</v>
      </c>
      <c r="U125" s="18">
        <v>2.8908945E-8</v>
      </c>
      <c r="V125" s="18">
        <v>1.8715209E-9</v>
      </c>
      <c r="W125" s="3">
        <v>1.6034784999999999E-3</v>
      </c>
      <c r="X125" s="3">
        <v>1.6590375E-4</v>
      </c>
    </row>
    <row r="126" spans="1:24" x14ac:dyDescent="0.3">
      <c r="A126" s="17" t="s">
        <v>110</v>
      </c>
      <c r="C126" s="3">
        <v>88</v>
      </c>
      <c r="E126" s="21">
        <f t="shared" si="4"/>
        <v>88</v>
      </c>
      <c r="F126" s="3">
        <v>6.3582700000000001</v>
      </c>
      <c r="G126" s="16">
        <v>3444.88</v>
      </c>
      <c r="H126" s="13">
        <f t="shared" si="3"/>
        <v>0.95925328788904018</v>
      </c>
      <c r="I126" s="18">
        <v>541796000</v>
      </c>
      <c r="J126" s="18">
        <v>24190.799999999999</v>
      </c>
      <c r="K126" s="3">
        <v>6.789125E-2</v>
      </c>
      <c r="L126" s="3">
        <v>7.5016294999999996E-4</v>
      </c>
      <c r="M126" s="18">
        <v>8.0111176999999997E-6</v>
      </c>
      <c r="N126" s="18">
        <v>1.3161197E-7</v>
      </c>
      <c r="O126" s="18">
        <v>1.1106996E-5</v>
      </c>
      <c r="P126" s="18">
        <v>7.6585349E-7</v>
      </c>
      <c r="Q126" s="3">
        <v>4.1707467999999998E-3</v>
      </c>
      <c r="R126" s="3">
        <v>1.5602992999999999E-4</v>
      </c>
      <c r="S126" s="3">
        <v>0.15859235999999999</v>
      </c>
      <c r="T126" s="3">
        <v>2.4679870999999999E-2</v>
      </c>
      <c r="U126" s="18">
        <v>2.4844044999999998E-8</v>
      </c>
      <c r="V126" s="18">
        <v>1.1194208999999999E-9</v>
      </c>
      <c r="W126" s="3">
        <v>1.7198769E-3</v>
      </c>
      <c r="X126" s="3">
        <v>1.6775859999999999E-4</v>
      </c>
    </row>
    <row r="127" spans="1:24" x14ac:dyDescent="0.3">
      <c r="A127" s="17" t="s">
        <v>110</v>
      </c>
      <c r="C127" s="3">
        <v>92</v>
      </c>
      <c r="E127" s="21">
        <f t="shared" si="4"/>
        <v>92</v>
      </c>
      <c r="F127" s="3">
        <v>6.3582700000000001</v>
      </c>
      <c r="G127" s="16">
        <v>3462.63</v>
      </c>
      <c r="H127" s="13">
        <f t="shared" si="3"/>
        <v>0.96419591168436269</v>
      </c>
      <c r="I127" s="18">
        <v>544587000</v>
      </c>
      <c r="J127" s="18">
        <v>27935.9</v>
      </c>
      <c r="K127" s="3">
        <v>6.8716525000000001E-2</v>
      </c>
      <c r="L127" s="3">
        <v>7.9267672999999998E-4</v>
      </c>
      <c r="M127" s="18">
        <v>8.4990354999999999E-6</v>
      </c>
      <c r="N127" s="18">
        <v>1.2856588E-7</v>
      </c>
      <c r="O127" s="18">
        <v>9.4584729000000005E-6</v>
      </c>
      <c r="P127" s="18">
        <v>7.9644408999999996E-7</v>
      </c>
      <c r="Q127" s="3">
        <v>4.1136562000000003E-3</v>
      </c>
      <c r="R127" s="3">
        <v>1.5361437000000001E-4</v>
      </c>
      <c r="S127" s="3">
        <v>-0.85096742000000003</v>
      </c>
      <c r="T127" s="3">
        <v>2.4539682E-2</v>
      </c>
      <c r="U127" s="18">
        <v>2.4872753000000001E-8</v>
      </c>
      <c r="V127" s="18">
        <v>1.1074786E-9</v>
      </c>
      <c r="W127" s="3">
        <v>1.6028974E-3</v>
      </c>
      <c r="X127" s="3">
        <v>1.4817475999999999E-4</v>
      </c>
    </row>
    <row r="128" spans="1:24" x14ac:dyDescent="0.3">
      <c r="A128" s="17" t="s">
        <v>110</v>
      </c>
      <c r="C128" s="3">
        <v>94</v>
      </c>
      <c r="E128" s="21">
        <f t="shared" si="4"/>
        <v>94</v>
      </c>
      <c r="F128" s="3">
        <v>6.3582700000000001</v>
      </c>
      <c r="G128" s="16">
        <v>3503.28</v>
      </c>
      <c r="H128" s="13">
        <f t="shared" si="3"/>
        <v>0.97551521631984772</v>
      </c>
      <c r="I128" s="18">
        <v>550980000</v>
      </c>
      <c r="J128" s="18">
        <v>31403.4</v>
      </c>
      <c r="K128" s="3">
        <v>5.5464041999999998E-2</v>
      </c>
      <c r="L128" s="3">
        <v>7.3381138999999997E-4</v>
      </c>
      <c r="M128" s="18">
        <v>7.7994736999999995E-6</v>
      </c>
      <c r="N128" s="18">
        <v>1.4975776000000001E-7</v>
      </c>
      <c r="O128" s="18">
        <v>1.6322721E-6</v>
      </c>
      <c r="P128" s="18">
        <v>1.0609005E-6</v>
      </c>
      <c r="Q128" s="3">
        <v>3.3820877E-3</v>
      </c>
      <c r="R128" s="3">
        <v>1.4358259000000001E-4</v>
      </c>
      <c r="S128" s="3">
        <v>-1.0324656999999999</v>
      </c>
      <c r="T128" s="3">
        <v>2.7984035000000001E-2</v>
      </c>
      <c r="U128" s="18">
        <v>2.6868811E-8</v>
      </c>
      <c r="V128" s="18">
        <v>1.3794261000000001E-9</v>
      </c>
      <c r="W128" s="3">
        <v>1.1191354E-3</v>
      </c>
      <c r="X128" s="3">
        <v>1.7089553000000001E-4</v>
      </c>
    </row>
    <row r="129" spans="1:24" x14ac:dyDescent="0.3">
      <c r="A129" s="17" t="s">
        <v>110</v>
      </c>
      <c r="C129" s="3">
        <v>98</v>
      </c>
      <c r="E129" s="21">
        <f t="shared" si="4"/>
        <v>98</v>
      </c>
      <c r="F129" s="3">
        <v>6.3582700000000001</v>
      </c>
      <c r="G129" s="16">
        <v>3503.22</v>
      </c>
      <c r="H129" s="13">
        <f t="shared" si="3"/>
        <v>0.97549850885913103</v>
      </c>
      <c r="I129" s="18">
        <v>550971000</v>
      </c>
      <c r="J129" s="18">
        <v>17828.3</v>
      </c>
      <c r="K129" s="3">
        <v>7.0074376999999993E-2</v>
      </c>
      <c r="L129" s="3">
        <v>9.6430406000000001E-4</v>
      </c>
      <c r="M129" s="18">
        <v>7.9695969999999992E-6</v>
      </c>
      <c r="N129" s="18">
        <v>1.4226057000000001E-7</v>
      </c>
      <c r="O129" s="18">
        <v>1.0546613000000001E-5</v>
      </c>
      <c r="P129" s="18">
        <v>9.9997661000000002E-7</v>
      </c>
      <c r="Q129" s="3">
        <v>4.9276668000000001E-3</v>
      </c>
      <c r="R129" s="3">
        <v>1.7437869E-4</v>
      </c>
      <c r="S129" s="3">
        <v>1.4384579</v>
      </c>
      <c r="T129" s="3">
        <v>2.2292889999999999E-2</v>
      </c>
      <c r="U129" s="18">
        <v>2.5455585E-8</v>
      </c>
      <c r="V129" s="18">
        <v>1.0031961E-9</v>
      </c>
      <c r="W129" s="3">
        <v>1.312777E-3</v>
      </c>
      <c r="X129" s="3">
        <v>1.8031813E-4</v>
      </c>
    </row>
    <row r="130" spans="1:24" x14ac:dyDescent="0.3">
      <c r="A130" s="17" t="s">
        <v>110</v>
      </c>
      <c r="C130" s="3">
        <v>102</v>
      </c>
      <c r="E130" s="21">
        <f t="shared" si="4"/>
        <v>102</v>
      </c>
      <c r="F130" s="3">
        <v>6.3582700000000001</v>
      </c>
      <c r="G130" s="16">
        <v>3525.03</v>
      </c>
      <c r="H130" s="13">
        <f t="shared" si="3"/>
        <v>0.98157167082960906</v>
      </c>
      <c r="I130" s="18">
        <v>554401000</v>
      </c>
      <c r="J130" s="18">
        <v>32642.2</v>
      </c>
      <c r="K130" s="3">
        <v>6.8491329000000004E-2</v>
      </c>
      <c r="L130" s="3">
        <v>8.8661242E-4</v>
      </c>
      <c r="M130" s="18">
        <v>7.8879037000000006E-6</v>
      </c>
      <c r="N130" s="18">
        <v>1.3557939999999999E-7</v>
      </c>
      <c r="O130" s="18">
        <v>8.5542059999999999E-6</v>
      </c>
      <c r="P130" s="18">
        <v>9.6746582999999998E-7</v>
      </c>
      <c r="Q130" s="3">
        <v>3.0127203000000001E-3</v>
      </c>
      <c r="R130" s="3">
        <v>1.4750605000000001E-4</v>
      </c>
      <c r="S130" s="3">
        <v>2.1613207000000001</v>
      </c>
      <c r="T130" s="3">
        <v>3.1141292000000001E-2</v>
      </c>
      <c r="U130" s="18">
        <v>2.8705319E-8</v>
      </c>
      <c r="V130" s="18">
        <v>1.624281E-9</v>
      </c>
      <c r="W130" s="3">
        <v>1.2621652000000001E-3</v>
      </c>
      <c r="X130" s="3">
        <v>1.7416441E-4</v>
      </c>
    </row>
    <row r="131" spans="1:24" x14ac:dyDescent="0.3">
      <c r="A131" s="17" t="s">
        <v>110</v>
      </c>
      <c r="C131" s="3">
        <v>106</v>
      </c>
      <c r="E131" s="21">
        <f t="shared" si="4"/>
        <v>106</v>
      </c>
      <c r="F131" s="3">
        <v>6.3582700000000001</v>
      </c>
      <c r="G131" s="16">
        <v>3566.99</v>
      </c>
      <c r="H131" s="13">
        <f t="shared" si="3"/>
        <v>0.9932557550240726</v>
      </c>
      <c r="I131" s="18">
        <v>561001000</v>
      </c>
      <c r="J131" s="18">
        <v>34740.5</v>
      </c>
      <c r="K131" s="3">
        <v>7.1624486000000001E-2</v>
      </c>
      <c r="L131" s="3">
        <v>9.2232516999999996E-4</v>
      </c>
      <c r="M131" s="18">
        <v>8.5502840999999996E-6</v>
      </c>
      <c r="N131" s="18">
        <v>1.4865881000000001E-7</v>
      </c>
      <c r="O131" s="18">
        <v>1.3845658E-5</v>
      </c>
      <c r="P131" s="18">
        <v>8.2701619999999998E-7</v>
      </c>
      <c r="Q131" s="3">
        <v>3.609733E-3</v>
      </c>
      <c r="R131" s="3">
        <v>1.6331648999999999E-4</v>
      </c>
      <c r="S131" s="3">
        <v>-0.91199414000000001</v>
      </c>
      <c r="T131" s="3">
        <v>2.9940159000000001E-2</v>
      </c>
      <c r="U131" s="18">
        <v>2.8009104E-8</v>
      </c>
      <c r="V131" s="18">
        <v>1.5528811000000001E-9</v>
      </c>
      <c r="W131" s="3">
        <v>1.5575222000000001E-3</v>
      </c>
      <c r="X131" s="3">
        <v>1.7333891000000001E-4</v>
      </c>
    </row>
    <row r="132" spans="1:24" x14ac:dyDescent="0.3">
      <c r="A132" s="17" t="s">
        <v>110</v>
      </c>
      <c r="C132" s="3">
        <v>110</v>
      </c>
      <c r="E132" s="21">
        <f t="shared" si="4"/>
        <v>110</v>
      </c>
      <c r="F132" s="3">
        <v>6.3582700000000001</v>
      </c>
      <c r="G132" s="16">
        <v>2910.02</v>
      </c>
      <c r="H132" s="13">
        <f t="shared" si="3"/>
        <v>0.81031741390784717</v>
      </c>
      <c r="I132" s="18">
        <v>457674000</v>
      </c>
      <c r="J132" s="18">
        <v>35976.800000000003</v>
      </c>
      <c r="K132" s="3">
        <v>6.9853375999999995E-2</v>
      </c>
      <c r="L132" s="3">
        <v>7.7080767000000001E-4</v>
      </c>
      <c r="M132" s="18">
        <v>7.8448021000000003E-6</v>
      </c>
      <c r="N132" s="18">
        <v>1.2733831000000001E-7</v>
      </c>
      <c r="O132" s="18">
        <v>6.4728824999999999E-6</v>
      </c>
      <c r="P132" s="18">
        <v>8.2936812999999996E-7</v>
      </c>
      <c r="Q132" s="3">
        <v>5.7172114E-3</v>
      </c>
      <c r="R132" s="3">
        <v>1.9656205E-4</v>
      </c>
      <c r="S132" s="3">
        <v>2.5297537000000001</v>
      </c>
      <c r="T132" s="3">
        <v>2.1827025E-2</v>
      </c>
      <c r="U132" s="18">
        <v>2.0049667000000001E-8</v>
      </c>
      <c r="V132" s="18">
        <v>7.7749234999999999E-10</v>
      </c>
      <c r="W132" s="3">
        <v>1.7907457999999999E-3</v>
      </c>
      <c r="X132" s="3">
        <v>1.7666196999999999E-4</v>
      </c>
    </row>
    <row r="133" spans="1:24" x14ac:dyDescent="0.3">
      <c r="A133" s="17" t="s">
        <v>110</v>
      </c>
      <c r="C133" s="3">
        <v>114</v>
      </c>
      <c r="E133" s="21">
        <f t="shared" si="4"/>
        <v>114</v>
      </c>
      <c r="F133" s="3">
        <v>6.3582700000000001</v>
      </c>
      <c r="G133" s="16">
        <v>2983.39</v>
      </c>
      <c r="H133" s="13">
        <f t="shared" si="3"/>
        <v>0.83074785378744209</v>
      </c>
      <c r="I133" s="18">
        <v>469214000</v>
      </c>
      <c r="J133" s="18">
        <v>21149.1</v>
      </c>
      <c r="K133" s="3">
        <v>7.2844832999999998E-2</v>
      </c>
      <c r="L133" s="3">
        <v>7.6229909999999995E-4</v>
      </c>
      <c r="M133" s="18">
        <v>8.1712408999999995E-6</v>
      </c>
      <c r="N133" s="18">
        <v>1.1917180000000001E-7</v>
      </c>
      <c r="O133" s="18">
        <v>1.0329544E-5</v>
      </c>
      <c r="P133" s="18">
        <v>7.3027479000000005E-7</v>
      </c>
      <c r="Q133" s="3">
        <v>4.0989169000000001E-3</v>
      </c>
      <c r="R133" s="3">
        <v>1.4396634999999999E-4</v>
      </c>
      <c r="S133" s="3">
        <v>1.7221222</v>
      </c>
      <c r="T133" s="3">
        <v>2.2565285000000001E-2</v>
      </c>
      <c r="U133" s="18">
        <v>2.6955491E-8</v>
      </c>
      <c r="V133" s="18">
        <v>1.131372E-9</v>
      </c>
      <c r="W133" s="3">
        <v>1.4727633000000001E-3</v>
      </c>
      <c r="X133" s="3">
        <v>1.5599082000000001E-4</v>
      </c>
    </row>
    <row r="134" spans="1:24" x14ac:dyDescent="0.3">
      <c r="A134" s="17" t="s">
        <v>110</v>
      </c>
      <c r="C134" s="3">
        <v>118</v>
      </c>
      <c r="E134" s="21">
        <f t="shared" si="4"/>
        <v>118</v>
      </c>
      <c r="F134" s="3">
        <v>6.3582700000000001</v>
      </c>
      <c r="G134" s="16">
        <v>2990.8</v>
      </c>
      <c r="H134" s="13">
        <f t="shared" si="3"/>
        <v>0.8328112251859402</v>
      </c>
      <c r="I134" s="18">
        <v>470379000</v>
      </c>
      <c r="J134" s="18">
        <v>12361</v>
      </c>
      <c r="K134" s="3">
        <v>5.8097399000000001E-2</v>
      </c>
      <c r="L134" s="3">
        <v>6.2426460999999997E-4</v>
      </c>
      <c r="M134" s="18">
        <v>7.5561336000000003E-6</v>
      </c>
      <c r="N134" s="18">
        <v>1.2209349000000001E-7</v>
      </c>
      <c r="O134" s="18">
        <v>5.4999754E-7</v>
      </c>
      <c r="P134" s="18">
        <v>8.9095079999999996E-7</v>
      </c>
      <c r="Q134" s="3">
        <v>6.9587542000000002E-3</v>
      </c>
      <c r="R134" s="3">
        <v>1.4010138000000001E-4</v>
      </c>
      <c r="S134" s="3">
        <v>1.4139155000000001</v>
      </c>
      <c r="T134" s="3">
        <v>1.285325E-2</v>
      </c>
      <c r="U134" s="18">
        <v>2.3668770000000001E-8</v>
      </c>
      <c r="V134" s="18">
        <v>5.5360728E-10</v>
      </c>
      <c r="W134" s="3">
        <v>1.0096257999999999E-3</v>
      </c>
      <c r="X134" s="3">
        <v>1.5496056999999999E-4</v>
      </c>
    </row>
    <row r="135" spans="1:24" x14ac:dyDescent="0.3">
      <c r="A135" s="17" t="s">
        <v>110</v>
      </c>
      <c r="C135" s="3">
        <v>122</v>
      </c>
      <c r="E135" s="21">
        <f t="shared" si="4"/>
        <v>122</v>
      </c>
      <c r="F135" s="3">
        <v>6.3582700000000001</v>
      </c>
      <c r="G135" s="16">
        <v>3051.54</v>
      </c>
      <c r="H135" s="13">
        <f t="shared" si="3"/>
        <v>0.84972474458469427</v>
      </c>
      <c r="I135" s="18">
        <v>479933000</v>
      </c>
      <c r="J135" s="18">
        <v>7984.17</v>
      </c>
      <c r="K135" s="3">
        <v>6.1375119999999998E-2</v>
      </c>
      <c r="L135" s="3">
        <v>6.9474876000000002E-4</v>
      </c>
      <c r="M135" s="18">
        <v>7.8364095999999993E-6</v>
      </c>
      <c r="N135" s="18">
        <v>1.2473515E-7</v>
      </c>
      <c r="O135" s="18">
        <v>2.4830650000000001E-6</v>
      </c>
      <c r="P135" s="18">
        <v>9.0119401999999996E-7</v>
      </c>
      <c r="Q135" s="3">
        <v>7.6078480000000004E-3</v>
      </c>
      <c r="R135" s="3">
        <v>1.3658480999999999E-4</v>
      </c>
      <c r="S135" s="3">
        <v>0.34612078000000002</v>
      </c>
      <c r="T135" s="3">
        <v>1.1469161E-2</v>
      </c>
      <c r="U135" s="18">
        <v>2.6244931999999999E-8</v>
      </c>
      <c r="V135" s="18">
        <v>5.5480049E-10</v>
      </c>
      <c r="W135" s="3">
        <v>7.5858477000000004E-4</v>
      </c>
      <c r="X135" s="3">
        <v>1.5396969000000001E-4</v>
      </c>
    </row>
    <row r="136" spans="1:24" x14ac:dyDescent="0.3">
      <c r="A136" s="17" t="s">
        <v>110</v>
      </c>
      <c r="C136" s="3">
        <v>126</v>
      </c>
      <c r="E136" s="21">
        <f t="shared" si="4"/>
        <v>126</v>
      </c>
      <c r="F136" s="3">
        <v>6.3582700000000001</v>
      </c>
      <c r="G136" s="16">
        <v>3072.55</v>
      </c>
      <c r="H136" s="13">
        <f t="shared" si="3"/>
        <v>0.85557514041228444</v>
      </c>
      <c r="I136" s="18">
        <v>483237000</v>
      </c>
      <c r="J136" s="18">
        <v>5391.25</v>
      </c>
      <c r="K136" s="3">
        <v>7.1776009000000002E-2</v>
      </c>
      <c r="L136" s="3">
        <v>6.7130947E-4</v>
      </c>
      <c r="M136" s="18">
        <v>8.1999184999999998E-6</v>
      </c>
      <c r="N136" s="18">
        <v>1.0828746E-7</v>
      </c>
      <c r="O136" s="18">
        <v>1.1382553999999999E-5</v>
      </c>
      <c r="P136" s="18">
        <v>6.3929216E-7</v>
      </c>
      <c r="Q136" s="3">
        <v>7.7442042000000003E-3</v>
      </c>
      <c r="R136" s="3">
        <v>1.2253146E-4</v>
      </c>
      <c r="S136" s="3">
        <v>1.8059786</v>
      </c>
      <c r="T136" s="3">
        <v>1.0280427999999999E-2</v>
      </c>
      <c r="U136" s="18">
        <v>2.8336541E-8</v>
      </c>
      <c r="V136" s="18">
        <v>5.4513635000000002E-10</v>
      </c>
      <c r="W136" s="3">
        <v>1.4577492E-3</v>
      </c>
      <c r="X136" s="3">
        <v>1.3858514E-4</v>
      </c>
    </row>
    <row r="137" spans="1:24" x14ac:dyDescent="0.3">
      <c r="A137" s="17" t="s">
        <v>110</v>
      </c>
      <c r="C137" s="3">
        <v>130</v>
      </c>
      <c r="E137" s="21">
        <f t="shared" si="4"/>
        <v>130</v>
      </c>
      <c r="F137" s="3">
        <v>6.3582700000000001</v>
      </c>
      <c r="G137" s="16">
        <v>3074.09</v>
      </c>
      <c r="H137" s="13">
        <f t="shared" si="3"/>
        <v>0.85600396523734346</v>
      </c>
      <c r="I137" s="18">
        <v>483478000</v>
      </c>
      <c r="J137" s="18">
        <v>4477.43</v>
      </c>
      <c r="K137" s="3">
        <v>7.1112897999999994E-2</v>
      </c>
      <c r="L137" s="3">
        <v>7.0766201999999999E-4</v>
      </c>
      <c r="M137" s="18">
        <v>7.8714251000000006E-6</v>
      </c>
      <c r="N137" s="18">
        <v>1.125353E-7</v>
      </c>
      <c r="O137" s="18">
        <v>8.2539034000000003E-6</v>
      </c>
      <c r="P137" s="18">
        <v>7.3329574000000004E-7</v>
      </c>
      <c r="Q137" s="3">
        <v>8.2248330000000008E-3</v>
      </c>
      <c r="R137" s="3">
        <v>1.2320066999999999E-4</v>
      </c>
      <c r="S137" s="3">
        <v>0.23610122</v>
      </c>
      <c r="T137" s="3">
        <v>9.6448825999999998E-3</v>
      </c>
      <c r="U137" s="18">
        <v>3.0210822000000001E-8</v>
      </c>
      <c r="V137" s="18">
        <v>5.4708257999999995E-10</v>
      </c>
      <c r="W137" s="3">
        <v>1.4505598E-3</v>
      </c>
      <c r="X137" s="3">
        <v>1.5499460999999999E-4</v>
      </c>
    </row>
    <row r="138" spans="1:24" x14ac:dyDescent="0.3">
      <c r="A138" s="17" t="s">
        <v>111</v>
      </c>
      <c r="C138" s="3">
        <v>-4</v>
      </c>
      <c r="D138" s="3">
        <v>332</v>
      </c>
      <c r="E138" s="21">
        <f>C138+4</f>
        <v>0</v>
      </c>
      <c r="F138" s="3">
        <v>6.3747100000000003</v>
      </c>
      <c r="G138" s="16">
        <v>2941.46</v>
      </c>
      <c r="H138" s="13">
        <f t="shared" si="3"/>
        <v>0.81907212332333668</v>
      </c>
      <c r="I138" s="18">
        <v>461427000</v>
      </c>
      <c r="J138" s="18">
        <v>31967.8</v>
      </c>
      <c r="K138" s="3">
        <v>7.1848105999999995E-2</v>
      </c>
      <c r="L138" s="3">
        <v>5.4276366999999996E-4</v>
      </c>
      <c r="M138" s="18">
        <v>5.5504163999999996E-6</v>
      </c>
      <c r="N138" s="18">
        <v>1.1208279E-7</v>
      </c>
      <c r="O138" s="18">
        <v>4.6461684000000001E-8</v>
      </c>
      <c r="P138" s="18">
        <v>7.9175051999999996E-7</v>
      </c>
      <c r="Q138" s="3">
        <v>2.5775702E-3</v>
      </c>
      <c r="R138" s="3">
        <v>1.3080753999999999E-4</v>
      </c>
      <c r="S138" s="3">
        <v>1.050805</v>
      </c>
      <c r="T138" s="3">
        <v>3.2811561000000003E-2</v>
      </c>
      <c r="U138" s="18">
        <v>3.0884854000000001E-8</v>
      </c>
      <c r="V138" s="18">
        <v>1.8951272999999998E-9</v>
      </c>
      <c r="W138" s="3">
        <v>-2.9856587999999998E-3</v>
      </c>
      <c r="X138" s="3" t="s">
        <v>51</v>
      </c>
    </row>
    <row r="139" spans="1:24" x14ac:dyDescent="0.3">
      <c r="A139" s="17" t="s">
        <v>111</v>
      </c>
      <c r="C139" s="10">
        <v>0</v>
      </c>
      <c r="D139" s="3">
        <v>336</v>
      </c>
      <c r="E139" s="21">
        <f t="shared" ref="E139:E186" si="5">C139+4</f>
        <v>4</v>
      </c>
      <c r="F139" s="3">
        <v>6.3747100000000003</v>
      </c>
      <c r="G139" s="16">
        <v>2989.97</v>
      </c>
      <c r="H139" s="13">
        <f t="shared" ref="H139:H202" si="6">G139/MAX($G$10:$G$285)</f>
        <v>0.832580105312694</v>
      </c>
      <c r="I139" s="18">
        <v>469036000</v>
      </c>
      <c r="J139" s="18">
        <v>22959</v>
      </c>
      <c r="K139" s="3">
        <v>6.5886803999999993E-2</v>
      </c>
      <c r="L139" s="18">
        <v>9.1151611000000007E-5</v>
      </c>
      <c r="M139" s="18">
        <v>5.9700567999999998E-6</v>
      </c>
      <c r="N139" s="18">
        <v>5.3325025000000001E-8</v>
      </c>
      <c r="O139" s="18">
        <v>1.4883622000000001E-9</v>
      </c>
      <c r="P139" s="3" t="s">
        <v>31</v>
      </c>
      <c r="Q139" s="3">
        <v>3.6093064000000002E-3</v>
      </c>
      <c r="R139" s="3">
        <v>1.3451792E-4</v>
      </c>
      <c r="S139" s="3">
        <v>9.1680620000000004E-2</v>
      </c>
      <c r="T139" s="3">
        <v>2.3994957000000001E-2</v>
      </c>
      <c r="U139" s="18">
        <v>2.7338228E-8</v>
      </c>
      <c r="V139" s="18">
        <v>1.1997349000000001E-9</v>
      </c>
      <c r="W139" s="3">
        <v>-1.5919864E-3</v>
      </c>
      <c r="X139" s="3" t="s">
        <v>52</v>
      </c>
    </row>
    <row r="140" spans="1:24" x14ac:dyDescent="0.3">
      <c r="A140" s="17" t="s">
        <v>111</v>
      </c>
      <c r="C140" s="10">
        <v>4</v>
      </c>
      <c r="D140" s="3">
        <v>340</v>
      </c>
      <c r="E140" s="21">
        <f t="shared" si="5"/>
        <v>8</v>
      </c>
      <c r="F140" s="3">
        <v>6.3747100000000003</v>
      </c>
      <c r="G140" s="16">
        <v>2982.85</v>
      </c>
      <c r="H140" s="13">
        <f t="shared" si="6"/>
        <v>0.83059748664099287</v>
      </c>
      <c r="I140" s="18">
        <v>467920000</v>
      </c>
      <c r="J140" s="18">
        <v>14809.9</v>
      </c>
      <c r="K140" s="3">
        <v>9.3542534999999996E-2</v>
      </c>
      <c r="L140" s="3">
        <v>1.9496554E-4</v>
      </c>
      <c r="M140" s="18">
        <v>8.2001465000000002E-6</v>
      </c>
      <c r="N140" s="18">
        <v>5.8144312999999998E-8</v>
      </c>
      <c r="O140" s="18">
        <v>2.9261970999999998E-11</v>
      </c>
      <c r="P140" s="3" t="s">
        <v>31</v>
      </c>
      <c r="Q140" s="3">
        <v>6.9170719999999998E-3</v>
      </c>
      <c r="R140" s="3">
        <v>3.3151665999999998E-4</v>
      </c>
      <c r="S140" s="3">
        <v>0.82643471000000002</v>
      </c>
      <c r="T140" s="3">
        <v>2.1943711000000001E-2</v>
      </c>
      <c r="U140" s="18">
        <v>3.2453754999999999E-8</v>
      </c>
      <c r="V140" s="18">
        <v>1.0912434000000001E-9</v>
      </c>
      <c r="W140" s="3">
        <v>1.5286471E-3</v>
      </c>
      <c r="X140" s="3" t="s">
        <v>53</v>
      </c>
    </row>
    <row r="141" spans="1:24" x14ac:dyDescent="0.3">
      <c r="A141" s="17" t="s">
        <v>111</v>
      </c>
      <c r="C141" s="10">
        <v>8</v>
      </c>
      <c r="D141" s="3">
        <v>344</v>
      </c>
      <c r="E141" s="21">
        <f t="shared" si="5"/>
        <v>12</v>
      </c>
      <c r="F141" s="3">
        <v>6.3747100000000003</v>
      </c>
      <c r="G141" s="16">
        <v>2956.57</v>
      </c>
      <c r="H141" s="13">
        <f t="shared" si="6"/>
        <v>0.82327961884712952</v>
      </c>
      <c r="I141" s="18">
        <v>463796000</v>
      </c>
      <c r="J141" s="18">
        <v>28868</v>
      </c>
      <c r="K141" s="3">
        <v>7.1368588999999996E-2</v>
      </c>
      <c r="L141" s="3">
        <v>5.3248612000000005E-4</v>
      </c>
      <c r="M141" s="18">
        <v>5.4307754000000003E-6</v>
      </c>
      <c r="N141" s="18">
        <v>1.0802754000000001E-7</v>
      </c>
      <c r="O141" s="18">
        <v>6.5043178999999996E-7</v>
      </c>
      <c r="P141" s="18">
        <v>7.9584992E-7</v>
      </c>
      <c r="Q141" s="3">
        <v>2.0721953999999999E-3</v>
      </c>
      <c r="R141" s="3">
        <v>1.0275564000000001E-4</v>
      </c>
      <c r="S141" s="3">
        <v>3.0916823999999998</v>
      </c>
      <c r="T141" s="3">
        <v>3.1860214999999997E-2</v>
      </c>
      <c r="U141" s="18">
        <v>3.9516241999999999E-8</v>
      </c>
      <c r="V141" s="18">
        <v>2.4205529E-9</v>
      </c>
      <c r="W141" s="3">
        <v>-2.6150101000000001E-3</v>
      </c>
      <c r="X141" s="3" t="s">
        <v>54</v>
      </c>
    </row>
    <row r="142" spans="1:24" x14ac:dyDescent="0.3">
      <c r="A142" s="17" t="s">
        <v>111</v>
      </c>
      <c r="C142" s="10">
        <v>12</v>
      </c>
      <c r="D142" s="3">
        <v>348</v>
      </c>
      <c r="E142" s="21">
        <f t="shared" si="5"/>
        <v>16</v>
      </c>
      <c r="F142" s="3">
        <v>6.3747100000000003</v>
      </c>
      <c r="G142" s="16">
        <v>2894.84</v>
      </c>
      <c r="H142" s="13">
        <f t="shared" si="6"/>
        <v>0.8060904263465517</v>
      </c>
      <c r="I142" s="18">
        <v>454113000</v>
      </c>
      <c r="J142" s="18">
        <v>35874.400000000001</v>
      </c>
      <c r="K142" s="3">
        <v>6.0033823E-2</v>
      </c>
      <c r="L142" s="18">
        <v>7.4762108000000002E-5</v>
      </c>
      <c r="M142" s="18">
        <v>6.5237443000000001E-6</v>
      </c>
      <c r="N142" s="18">
        <v>5.4057902000000002E-8</v>
      </c>
      <c r="O142" s="18">
        <v>2.9933333999999998E-14</v>
      </c>
      <c r="P142" s="3" t="s">
        <v>31</v>
      </c>
      <c r="Q142" s="3">
        <v>2.3591088999999998E-3</v>
      </c>
      <c r="R142" s="3">
        <v>1.0770361E-4</v>
      </c>
      <c r="S142" s="3">
        <v>7.7934244E-2</v>
      </c>
      <c r="T142" s="3">
        <v>2.9256305999999999E-2</v>
      </c>
      <c r="U142" s="18">
        <v>3.2808864000000002E-8</v>
      </c>
      <c r="V142" s="18">
        <v>1.8078019999999999E-9</v>
      </c>
      <c r="W142" s="3">
        <v>-6.8685888E-4</v>
      </c>
      <c r="X142" s="3" t="s">
        <v>55</v>
      </c>
    </row>
    <row r="143" spans="1:24" x14ac:dyDescent="0.3">
      <c r="A143" s="17" t="s">
        <v>111</v>
      </c>
      <c r="C143" s="10">
        <v>16</v>
      </c>
      <c r="D143" s="3">
        <v>352</v>
      </c>
      <c r="E143" s="21">
        <f t="shared" si="5"/>
        <v>20</v>
      </c>
      <c r="F143" s="3">
        <v>6.3747100000000003</v>
      </c>
      <c r="G143" s="16">
        <v>2757.5</v>
      </c>
      <c r="H143" s="13">
        <f t="shared" si="6"/>
        <v>0.76784704876629328</v>
      </c>
      <c r="I143" s="18">
        <v>432569000</v>
      </c>
      <c r="J143" s="18">
        <v>375132</v>
      </c>
      <c r="K143" s="3">
        <v>6.4337085000000002E-2</v>
      </c>
      <c r="L143" s="18">
        <v>8.7578961999999999E-5</v>
      </c>
      <c r="M143" s="18">
        <v>6.0160943E-6</v>
      </c>
      <c r="N143" s="18">
        <v>5.3667894999999998E-8</v>
      </c>
      <c r="O143" s="18">
        <v>5.3038971000000002E-9</v>
      </c>
      <c r="P143" s="3" t="s">
        <v>31</v>
      </c>
      <c r="Q143" s="3">
        <v>4.1559326000000004E-3</v>
      </c>
      <c r="R143" s="3">
        <v>2.7973422E-4</v>
      </c>
      <c r="S143" s="3">
        <v>1.6623697</v>
      </c>
      <c r="T143" s="3">
        <v>7.0051949000000002E-2</v>
      </c>
      <c r="U143" s="18">
        <v>9.1126873999999999E-9</v>
      </c>
      <c r="V143" s="3" t="s">
        <v>31</v>
      </c>
      <c r="W143" s="3">
        <v>-1.1164399E-3</v>
      </c>
      <c r="X143" s="3" t="s">
        <v>56</v>
      </c>
    </row>
    <row r="144" spans="1:24" x14ac:dyDescent="0.3">
      <c r="A144" s="17" t="s">
        <v>111</v>
      </c>
      <c r="C144" s="10">
        <v>20</v>
      </c>
      <c r="D144" s="3">
        <v>356</v>
      </c>
      <c r="E144" s="21">
        <f t="shared" si="5"/>
        <v>24</v>
      </c>
      <c r="F144" s="3">
        <v>6.3747100000000003</v>
      </c>
      <c r="G144" s="16">
        <v>2811.09</v>
      </c>
      <c r="H144" s="13">
        <f t="shared" si="6"/>
        <v>0.78276959576298799</v>
      </c>
      <c r="I144" s="18">
        <v>440976000</v>
      </c>
      <c r="J144" s="18">
        <v>10386.200000000001</v>
      </c>
      <c r="K144" s="3">
        <v>6.0041754000000003E-2</v>
      </c>
      <c r="L144" s="18">
        <v>9.7114453999999994E-5</v>
      </c>
      <c r="M144" s="18">
        <v>5.6746284000000004E-6</v>
      </c>
      <c r="N144" s="18">
        <v>5.6970692999999999E-8</v>
      </c>
      <c r="O144" s="18">
        <v>1.7746474999999999E-10</v>
      </c>
      <c r="P144" s="3" t="s">
        <v>31</v>
      </c>
      <c r="Q144" s="3">
        <v>5.5721358999999996E-3</v>
      </c>
      <c r="R144" s="3">
        <v>1.2264569000000001E-4</v>
      </c>
      <c r="S144" s="3">
        <v>1.4333393000000001</v>
      </c>
      <c r="T144" s="3">
        <v>1.4041352E-2</v>
      </c>
      <c r="U144" s="18">
        <v>2.9363568999999999E-8</v>
      </c>
      <c r="V144" s="18">
        <v>7.7001560000000004E-10</v>
      </c>
      <c r="W144" s="3">
        <v>-1.9592426000000001E-3</v>
      </c>
      <c r="X144" s="3" t="s">
        <v>57</v>
      </c>
    </row>
    <row r="145" spans="1:24" x14ac:dyDescent="0.3">
      <c r="A145" s="17" t="s">
        <v>111</v>
      </c>
      <c r="C145" s="10">
        <v>24</v>
      </c>
      <c r="D145" s="3">
        <v>0</v>
      </c>
      <c r="E145" s="21">
        <f t="shared" si="5"/>
        <v>28</v>
      </c>
      <c r="F145" s="3">
        <v>6.3747100000000003</v>
      </c>
      <c r="G145" s="16">
        <v>2792.37</v>
      </c>
      <c r="H145" s="13">
        <f t="shared" si="6"/>
        <v>0.77755686801941404</v>
      </c>
      <c r="I145" s="18">
        <v>438039000</v>
      </c>
      <c r="J145" s="18">
        <v>23794.799999999999</v>
      </c>
      <c r="K145" s="3">
        <v>5.2908748999999998E-2</v>
      </c>
      <c r="L145" s="18">
        <v>7.4965061999999994E-5</v>
      </c>
      <c r="M145" s="18">
        <v>6.2961376999999997E-6</v>
      </c>
      <c r="N145" s="18">
        <v>5.9501813999999999E-8</v>
      </c>
      <c r="O145" s="18">
        <v>1.2580960999999999E-8</v>
      </c>
      <c r="P145" s="3" t="s">
        <v>31</v>
      </c>
      <c r="Q145" s="3">
        <v>2.5319752000000002E-3</v>
      </c>
      <c r="R145" s="3">
        <v>1.0606392E-4</v>
      </c>
      <c r="S145" s="3">
        <v>0.22873265000000001</v>
      </c>
      <c r="T145" s="3">
        <v>2.6749216999999999E-2</v>
      </c>
      <c r="U145" s="18">
        <v>3.2582840000000003E-8</v>
      </c>
      <c r="V145" s="18">
        <v>1.6324520000000001E-9</v>
      </c>
      <c r="W145" s="3">
        <v>-4.5599863999999998E-4</v>
      </c>
      <c r="X145" s="3" t="s">
        <v>58</v>
      </c>
    </row>
    <row r="146" spans="1:24" x14ac:dyDescent="0.3">
      <c r="A146" s="17" t="s">
        <v>111</v>
      </c>
      <c r="C146" s="10">
        <v>28</v>
      </c>
      <c r="D146" s="3">
        <v>4</v>
      </c>
      <c r="E146" s="21">
        <f t="shared" si="5"/>
        <v>32</v>
      </c>
      <c r="F146" s="3">
        <v>6.3747100000000003</v>
      </c>
      <c r="G146" s="16">
        <v>2773.83</v>
      </c>
      <c r="H146" s="13">
        <f t="shared" si="6"/>
        <v>0.77239426265798994</v>
      </c>
      <c r="I146" s="18">
        <v>435130000</v>
      </c>
      <c r="J146" s="18">
        <v>15253.1</v>
      </c>
      <c r="K146" s="3">
        <v>4.9528084999999999E-2</v>
      </c>
      <c r="L146" s="3">
        <v>5.1202694999999995E-4</v>
      </c>
      <c r="M146" s="18">
        <v>6.2709114000000002E-6</v>
      </c>
      <c r="N146" s="18">
        <v>1.3147827999999999E-7</v>
      </c>
      <c r="O146" s="18">
        <v>3.4541051000000002E-7</v>
      </c>
      <c r="P146" s="18">
        <v>9.7668978999999992E-7</v>
      </c>
      <c r="Q146" s="3">
        <v>3.0873773999999998E-3</v>
      </c>
      <c r="R146" s="3">
        <v>1.0017586E-4</v>
      </c>
      <c r="S146" s="3">
        <v>1.5416430999999999</v>
      </c>
      <c r="T146" s="3">
        <v>2.0853015999999999E-2</v>
      </c>
      <c r="U146" s="18">
        <v>3.3009826E-8</v>
      </c>
      <c r="V146" s="18">
        <v>1.2971806E-9</v>
      </c>
      <c r="W146" s="3">
        <v>-5.5343104000000001E-4</v>
      </c>
      <c r="X146" s="3" t="s">
        <v>59</v>
      </c>
    </row>
    <row r="147" spans="1:24" x14ac:dyDescent="0.3">
      <c r="A147" s="17" t="s">
        <v>111</v>
      </c>
      <c r="C147" s="10">
        <v>32</v>
      </c>
      <c r="D147" s="3">
        <v>8</v>
      </c>
      <c r="E147" s="21">
        <f t="shared" si="5"/>
        <v>36</v>
      </c>
      <c r="F147" s="3">
        <v>6.3747100000000003</v>
      </c>
      <c r="G147" s="16">
        <v>2760.11</v>
      </c>
      <c r="H147" s="13">
        <f t="shared" si="6"/>
        <v>0.7685738233074646</v>
      </c>
      <c r="I147" s="18">
        <v>432978000</v>
      </c>
      <c r="J147" s="18">
        <v>22597.4</v>
      </c>
      <c r="K147" s="3">
        <v>6.4179860000000005E-2</v>
      </c>
      <c r="L147" s="3">
        <v>1.0662486999999999E-4</v>
      </c>
      <c r="M147" s="18">
        <v>7.5580044000000002E-6</v>
      </c>
      <c r="N147" s="18">
        <v>6.1529843999999999E-8</v>
      </c>
      <c r="O147" s="18">
        <v>1.8004305E-13</v>
      </c>
      <c r="P147" s="3" t="s">
        <v>31</v>
      </c>
      <c r="Q147" s="3">
        <v>4.9318013999999997E-3</v>
      </c>
      <c r="R147" s="3">
        <v>2.4302463999999999E-4</v>
      </c>
      <c r="S147" s="3">
        <v>2.3952631000000002</v>
      </c>
      <c r="T147" s="3">
        <v>2.4460631E-2</v>
      </c>
      <c r="U147" s="18">
        <v>2.7864543999999999E-8</v>
      </c>
      <c r="V147" s="18">
        <v>1.0622382999999999E-9</v>
      </c>
      <c r="W147" s="3">
        <v>8.2325634999999998E-4</v>
      </c>
      <c r="X147" s="3" t="s">
        <v>60</v>
      </c>
    </row>
    <row r="148" spans="1:24" x14ac:dyDescent="0.3">
      <c r="A148" s="17" t="s">
        <v>111</v>
      </c>
      <c r="C148" s="10">
        <v>36</v>
      </c>
      <c r="D148" s="3">
        <v>12</v>
      </c>
      <c r="E148" s="21">
        <f t="shared" si="5"/>
        <v>40</v>
      </c>
      <c r="F148" s="3">
        <v>6.3747100000000003</v>
      </c>
      <c r="G148" s="16">
        <v>2773.31</v>
      </c>
      <c r="H148" s="13">
        <f t="shared" si="6"/>
        <v>0.77224946466511279</v>
      </c>
      <c r="I148" s="18">
        <v>435048000</v>
      </c>
      <c r="J148" s="18">
        <v>6734.64</v>
      </c>
      <c r="K148" s="3">
        <v>5.6580892000000001E-2</v>
      </c>
      <c r="L148" s="3">
        <v>1.2954983000000001E-4</v>
      </c>
      <c r="M148" s="18">
        <v>6.0148456999999998E-6</v>
      </c>
      <c r="N148" s="18">
        <v>8.8054657999999994E-8</v>
      </c>
      <c r="O148" s="18">
        <v>2.5497647000000001E-12</v>
      </c>
      <c r="P148" s="3" t="s">
        <v>31</v>
      </c>
      <c r="Q148" s="18">
        <v>3.5195335999999998E-6</v>
      </c>
      <c r="R148" s="3">
        <v>1.0144953999999999E-3</v>
      </c>
      <c r="S148" s="3">
        <v>3.7986390000000001</v>
      </c>
      <c r="T148" s="3">
        <v>309.52555999999998</v>
      </c>
      <c r="U148" s="18">
        <v>5.0002345000000004E-9</v>
      </c>
      <c r="V148" s="3" t="s">
        <v>31</v>
      </c>
      <c r="W148" s="3">
        <v>-1.0130403000000001E-3</v>
      </c>
      <c r="X148" s="3" t="s">
        <v>61</v>
      </c>
    </row>
    <row r="149" spans="1:24" x14ac:dyDescent="0.3">
      <c r="A149" s="17" t="s">
        <v>111</v>
      </c>
      <c r="C149" s="10">
        <v>40</v>
      </c>
      <c r="D149" s="3">
        <v>16</v>
      </c>
      <c r="E149" s="21">
        <f t="shared" si="5"/>
        <v>44</v>
      </c>
      <c r="F149" s="3">
        <v>6.3747100000000003</v>
      </c>
      <c r="G149" s="16">
        <v>2791.4</v>
      </c>
      <c r="H149" s="13">
        <f t="shared" si="6"/>
        <v>0.77728676407116271</v>
      </c>
      <c r="I149" s="18">
        <v>437886000</v>
      </c>
      <c r="J149" s="18">
        <v>7585.82</v>
      </c>
      <c r="K149" s="3">
        <v>5.6478451999999998E-2</v>
      </c>
      <c r="L149" s="3">
        <v>4.8056808000000002E-4</v>
      </c>
      <c r="M149" s="18">
        <v>5.7759768999999999E-6</v>
      </c>
      <c r="N149" s="18">
        <v>1.1979608E-7</v>
      </c>
      <c r="O149" s="18">
        <v>3.5976310999999998E-6</v>
      </c>
      <c r="P149" s="18">
        <v>8.3156242999999999E-7</v>
      </c>
      <c r="Q149" s="3">
        <v>2.7838974000000002E-3</v>
      </c>
      <c r="R149" s="18">
        <v>8.3586036000000001E-5</v>
      </c>
      <c r="S149" s="3">
        <v>1.3135829999999999</v>
      </c>
      <c r="T149" s="3">
        <v>1.9383344E-2</v>
      </c>
      <c r="U149" s="18">
        <v>4.3563647999999999E-8</v>
      </c>
      <c r="V149" s="18">
        <v>1.6594848E-9</v>
      </c>
      <c r="W149" s="3">
        <v>-1.7233659E-3</v>
      </c>
      <c r="X149" s="3" t="s">
        <v>62</v>
      </c>
    </row>
    <row r="150" spans="1:24" x14ac:dyDescent="0.3">
      <c r="A150" s="17" t="s">
        <v>111</v>
      </c>
      <c r="C150" s="10">
        <v>44</v>
      </c>
      <c r="D150" s="3">
        <v>20</v>
      </c>
      <c r="E150" s="21">
        <f t="shared" si="5"/>
        <v>48</v>
      </c>
      <c r="F150" s="3">
        <v>6.3747100000000003</v>
      </c>
      <c r="G150" s="16">
        <v>2812.66</v>
      </c>
      <c r="H150" s="13">
        <f t="shared" si="6"/>
        <v>0.78320677431840513</v>
      </c>
      <c r="I150" s="18">
        <v>441221000</v>
      </c>
      <c r="J150" s="18">
        <v>10944.1</v>
      </c>
      <c r="K150" s="3">
        <v>5.8620493000000003E-2</v>
      </c>
      <c r="L150" s="3">
        <v>4.9064490000000002E-4</v>
      </c>
      <c r="M150" s="18">
        <v>5.9999988E-6</v>
      </c>
      <c r="N150" s="18">
        <v>1.1413283E-7</v>
      </c>
      <c r="O150" s="18">
        <v>4.4070027000000004E-6</v>
      </c>
      <c r="P150" s="18">
        <v>7.8414506000000002E-7</v>
      </c>
      <c r="Q150" s="3">
        <v>2.5977139000000001E-3</v>
      </c>
      <c r="R150" s="18">
        <v>9.0415846000000002E-5</v>
      </c>
      <c r="S150" s="3">
        <v>1.4106538</v>
      </c>
      <c r="T150" s="3">
        <v>2.2467567000000001E-2</v>
      </c>
      <c r="U150" s="18">
        <v>3.8331161000000003E-8</v>
      </c>
      <c r="V150" s="18">
        <v>1.6604572E-9</v>
      </c>
      <c r="W150" s="3">
        <v>-1.7136081E-3</v>
      </c>
      <c r="X150" s="3" t="s">
        <v>63</v>
      </c>
    </row>
    <row r="151" spans="1:24" x14ac:dyDescent="0.3">
      <c r="A151" s="17" t="s">
        <v>111</v>
      </c>
      <c r="C151" s="10">
        <v>48</v>
      </c>
      <c r="D151" s="3">
        <v>24</v>
      </c>
      <c r="E151" s="21">
        <f t="shared" si="5"/>
        <v>52</v>
      </c>
      <c r="F151" s="3">
        <v>6.3747100000000003</v>
      </c>
      <c r="G151" s="16">
        <v>2842.87</v>
      </c>
      <c r="H151" s="13">
        <f t="shared" si="6"/>
        <v>0.79161898078920467</v>
      </c>
      <c r="I151" s="18">
        <v>445960000</v>
      </c>
      <c r="J151" s="18">
        <v>36910.5</v>
      </c>
      <c r="K151" s="3">
        <v>5.0443970999999997E-2</v>
      </c>
      <c r="L151" s="18">
        <v>6.4073633E-5</v>
      </c>
      <c r="M151" s="18">
        <v>6.7476130000000001E-6</v>
      </c>
      <c r="N151" s="18">
        <v>5.6890662000000001E-8</v>
      </c>
      <c r="O151" s="18">
        <v>8.1478459000000001E-9</v>
      </c>
      <c r="P151" s="3" t="s">
        <v>31</v>
      </c>
      <c r="Q151" s="3">
        <v>2.5320784999999998E-3</v>
      </c>
      <c r="R151" s="3">
        <v>1.1137727000000001E-4</v>
      </c>
      <c r="S151" s="3">
        <v>0.48382979999999998</v>
      </c>
      <c r="T151" s="3">
        <v>2.8124177E-2</v>
      </c>
      <c r="U151" s="18">
        <v>2.7075942999999999E-8</v>
      </c>
      <c r="V151" s="18">
        <v>1.3851779999999999E-9</v>
      </c>
      <c r="W151" s="3">
        <v>-3.7140369999999999E-4</v>
      </c>
      <c r="X151" s="3" t="s">
        <v>64</v>
      </c>
    </row>
    <row r="152" spans="1:24" x14ac:dyDescent="0.3">
      <c r="A152" s="17" t="s">
        <v>111</v>
      </c>
      <c r="C152" s="10">
        <v>52</v>
      </c>
      <c r="D152" s="3">
        <v>28</v>
      </c>
      <c r="E152" s="21">
        <f t="shared" si="5"/>
        <v>56</v>
      </c>
      <c r="F152" s="3">
        <v>6.3747100000000003</v>
      </c>
      <c r="G152" s="16">
        <v>2966.14</v>
      </c>
      <c r="H152" s="13">
        <f t="shared" si="6"/>
        <v>0.82594445883142442</v>
      </c>
      <c r="I152" s="18">
        <v>465298000</v>
      </c>
      <c r="J152" s="18">
        <v>376714</v>
      </c>
      <c r="K152" s="3">
        <v>6.0991199000000003E-2</v>
      </c>
      <c r="L152" s="3">
        <v>5.2422212000000003E-4</v>
      </c>
      <c r="M152" s="18">
        <v>5.8861772999999999E-6</v>
      </c>
      <c r="N152" s="18">
        <v>1.0978462E-7</v>
      </c>
      <c r="O152" s="18">
        <v>2.4156082999999998E-6</v>
      </c>
      <c r="P152" s="18">
        <v>8.4102044E-7</v>
      </c>
      <c r="Q152" s="3">
        <v>1.5360886999999999E-3</v>
      </c>
      <c r="R152" s="3">
        <v>1.5254898999999999E-4</v>
      </c>
      <c r="S152" s="3">
        <v>0.37726073999999998</v>
      </c>
      <c r="T152" s="3">
        <v>0.10158728</v>
      </c>
      <c r="U152" s="18">
        <v>1.3526851E-8</v>
      </c>
      <c r="V152" s="3" t="s">
        <v>31</v>
      </c>
      <c r="W152" s="3">
        <v>-1.8578612E-3</v>
      </c>
      <c r="X152" s="3" t="s">
        <v>65</v>
      </c>
    </row>
    <row r="153" spans="1:24" x14ac:dyDescent="0.3">
      <c r="A153" s="17" t="s">
        <v>111</v>
      </c>
      <c r="C153" s="10">
        <v>56</v>
      </c>
      <c r="D153" s="3">
        <v>32</v>
      </c>
      <c r="E153" s="21">
        <f t="shared" si="5"/>
        <v>60</v>
      </c>
      <c r="F153" s="3">
        <v>6.3747100000000003</v>
      </c>
      <c r="G153" s="16">
        <v>2924.6</v>
      </c>
      <c r="H153" s="13">
        <f t="shared" si="6"/>
        <v>0.81437732686197684</v>
      </c>
      <c r="I153" s="18">
        <v>458781000</v>
      </c>
      <c r="J153" s="18">
        <v>13854.2</v>
      </c>
      <c r="K153" s="3">
        <v>5.6802422999999998E-2</v>
      </c>
      <c r="L153" s="18">
        <v>7.7197807000000001E-5</v>
      </c>
      <c r="M153" s="18">
        <v>6.2243720000000001E-6</v>
      </c>
      <c r="N153" s="18">
        <v>5.5474623999999998E-8</v>
      </c>
      <c r="O153" s="18">
        <v>4.5708546E-9</v>
      </c>
      <c r="P153" s="3" t="s">
        <v>31</v>
      </c>
      <c r="Q153" s="3">
        <v>2.1911767999999998E-3</v>
      </c>
      <c r="R153" s="18">
        <v>8.4927368000000002E-5</v>
      </c>
      <c r="S153" s="3">
        <v>1.0060673</v>
      </c>
      <c r="T153" s="3">
        <v>2.5304739E-2</v>
      </c>
      <c r="U153" s="18">
        <v>4.2672108999999998E-8</v>
      </c>
      <c r="V153" s="18">
        <v>2.1076653999999998E-9</v>
      </c>
      <c r="W153" s="3">
        <v>-9.0280351999999996E-4</v>
      </c>
      <c r="X153" s="3" t="s">
        <v>66</v>
      </c>
    </row>
    <row r="154" spans="1:24" x14ac:dyDescent="0.3">
      <c r="A154" s="17" t="s">
        <v>111</v>
      </c>
      <c r="C154" s="10">
        <v>60</v>
      </c>
      <c r="D154" s="3">
        <v>36</v>
      </c>
      <c r="E154" s="21">
        <f t="shared" si="5"/>
        <v>64</v>
      </c>
      <c r="F154" s="3">
        <v>6.3747100000000003</v>
      </c>
      <c r="G154" s="16">
        <v>2950.39</v>
      </c>
      <c r="H154" s="13">
        <f t="shared" si="6"/>
        <v>0.82155875039332138</v>
      </c>
      <c r="I154" s="18">
        <v>462827000</v>
      </c>
      <c r="J154" s="18">
        <v>19431.2</v>
      </c>
      <c r="K154" s="3">
        <v>5.6960426000000002E-2</v>
      </c>
      <c r="L154" s="3">
        <v>5.4831849E-4</v>
      </c>
      <c r="M154" s="18">
        <v>6.3114483999999996E-6</v>
      </c>
      <c r="N154" s="18">
        <v>1.2137785E-7</v>
      </c>
      <c r="O154" s="18">
        <v>9.8940542999999996E-8</v>
      </c>
      <c r="P154" s="18">
        <v>9.0725594999999996E-7</v>
      </c>
      <c r="Q154" s="3">
        <v>3.2817838000000002E-3</v>
      </c>
      <c r="R154" s="3">
        <v>1.2247258E-4</v>
      </c>
      <c r="S154" s="3">
        <v>0.18899717999999999</v>
      </c>
      <c r="T154" s="3">
        <v>2.3951935000000001E-2</v>
      </c>
      <c r="U154" s="18">
        <v>2.779129E-8</v>
      </c>
      <c r="V154" s="18">
        <v>1.2192915999999999E-9</v>
      </c>
      <c r="W154" s="3">
        <v>-8.2143294000000002E-4</v>
      </c>
      <c r="X154" s="3" t="s">
        <v>67</v>
      </c>
    </row>
    <row r="155" spans="1:24" x14ac:dyDescent="0.3">
      <c r="A155" s="17" t="s">
        <v>111</v>
      </c>
      <c r="C155" s="10">
        <v>64</v>
      </c>
      <c r="D155" s="3">
        <v>40</v>
      </c>
      <c r="E155" s="21">
        <f t="shared" si="5"/>
        <v>68</v>
      </c>
      <c r="F155" s="3">
        <v>6.3747100000000003</v>
      </c>
      <c r="G155" s="16">
        <v>2976.78</v>
      </c>
      <c r="H155" s="13">
        <f t="shared" si="6"/>
        <v>0.82890724853183195</v>
      </c>
      <c r="I155" s="18">
        <v>466968000</v>
      </c>
      <c r="J155" s="18">
        <v>8203.49</v>
      </c>
      <c r="K155" s="3">
        <v>4.6768532000000002E-2</v>
      </c>
      <c r="L155" s="3">
        <v>5.6801028000000005E-4</v>
      </c>
      <c r="M155" s="18">
        <v>6.0339458000000001E-6</v>
      </c>
      <c r="N155" s="18">
        <v>1.4635728E-7</v>
      </c>
      <c r="O155" s="18">
        <v>1.2267176E-7</v>
      </c>
      <c r="P155" s="18">
        <v>1.1955666E-6</v>
      </c>
      <c r="Q155" s="3">
        <v>4.3405995000000003E-3</v>
      </c>
      <c r="R155" s="3">
        <v>1.1423276E-4</v>
      </c>
      <c r="S155" s="3">
        <v>-1.4584788</v>
      </c>
      <c r="T155" s="3">
        <v>1.6364713999999999E-2</v>
      </c>
      <c r="U155" s="18">
        <v>3.0125201000000001E-8</v>
      </c>
      <c r="V155" s="18">
        <v>9.0201709999999996E-10</v>
      </c>
      <c r="W155" s="3">
        <v>-1.248601E-3</v>
      </c>
      <c r="X155" s="3" t="s">
        <v>68</v>
      </c>
    </row>
    <row r="156" spans="1:24" x14ac:dyDescent="0.3">
      <c r="A156" s="17" t="s">
        <v>111</v>
      </c>
      <c r="C156" s="10">
        <v>68</v>
      </c>
      <c r="D156" s="3">
        <v>44</v>
      </c>
      <c r="E156" s="21">
        <f t="shared" si="5"/>
        <v>72</v>
      </c>
      <c r="F156" s="3">
        <v>6.3716999999999997</v>
      </c>
      <c r="G156" s="16">
        <v>2997.11</v>
      </c>
      <c r="H156" s="13">
        <f t="shared" si="6"/>
        <v>0.83456829313796743</v>
      </c>
      <c r="I156" s="18">
        <v>470378000</v>
      </c>
      <c r="J156" s="18">
        <v>32618.400000000001</v>
      </c>
      <c r="K156" s="3">
        <v>5.6152408000000001E-2</v>
      </c>
      <c r="L156" s="3">
        <v>6.6278680999999997E-4</v>
      </c>
      <c r="M156" s="18">
        <v>6.3805535999999998E-6</v>
      </c>
      <c r="N156" s="18">
        <v>1.4963457E-7</v>
      </c>
      <c r="O156" s="18">
        <v>8.9996558000000004E-7</v>
      </c>
      <c r="P156" s="18">
        <v>1.0919834E-6</v>
      </c>
      <c r="Q156" s="3">
        <v>2.2173487999999999E-3</v>
      </c>
      <c r="R156" s="3">
        <v>1.3953935999999999E-4</v>
      </c>
      <c r="S156" s="3">
        <v>0.49439466999999998</v>
      </c>
      <c r="T156" s="3">
        <v>4.0790909E-2</v>
      </c>
      <c r="U156" s="18">
        <v>2.9751771E-8</v>
      </c>
      <c r="V156" s="18">
        <v>2.2467641999999999E-9</v>
      </c>
      <c r="W156" s="3">
        <v>-6.8048983999999995E-4</v>
      </c>
      <c r="X156" s="3" t="s">
        <v>69</v>
      </c>
    </row>
    <row r="157" spans="1:24" x14ac:dyDescent="0.3">
      <c r="A157" s="17" t="s">
        <v>111</v>
      </c>
      <c r="C157" s="10">
        <v>72</v>
      </c>
      <c r="D157" s="3">
        <v>48</v>
      </c>
      <c r="E157" s="21">
        <f t="shared" si="5"/>
        <v>76</v>
      </c>
      <c r="F157" s="3">
        <v>6.3716999999999997</v>
      </c>
      <c r="G157" s="16">
        <v>2989.88</v>
      </c>
      <c r="H157" s="13">
        <f t="shared" si="6"/>
        <v>0.83255504412161918</v>
      </c>
      <c r="I157" s="18">
        <v>469244000</v>
      </c>
      <c r="J157" s="18">
        <v>20596.099999999999</v>
      </c>
      <c r="K157" s="3">
        <v>6.9301162999999999E-2</v>
      </c>
      <c r="L157" s="3">
        <v>6.9737431000000002E-4</v>
      </c>
      <c r="M157" s="18">
        <v>7.8607561000000006E-6</v>
      </c>
      <c r="N157" s="18">
        <v>1.1195579000000001E-7</v>
      </c>
      <c r="O157" s="18">
        <v>1.0079768E-5</v>
      </c>
      <c r="P157" s="18">
        <v>7.2942472999999998E-7</v>
      </c>
      <c r="Q157" s="3">
        <v>2.2644008E-3</v>
      </c>
      <c r="R157" s="3">
        <v>1.0366676000000001E-4</v>
      </c>
      <c r="S157" s="3">
        <v>0.12163205000000001</v>
      </c>
      <c r="T157" s="3">
        <v>2.9671446000000001E-2</v>
      </c>
      <c r="U157" s="18">
        <v>3.5892027999999997E-8</v>
      </c>
      <c r="V157" s="18">
        <v>2.0272254E-9</v>
      </c>
      <c r="W157" s="3">
        <v>1.232405E-3</v>
      </c>
      <c r="X157" s="3" t="s">
        <v>70</v>
      </c>
    </row>
    <row r="158" spans="1:24" x14ac:dyDescent="0.3">
      <c r="A158" s="17" t="s">
        <v>111</v>
      </c>
      <c r="C158" s="10">
        <v>76</v>
      </c>
      <c r="D158" s="3">
        <v>52</v>
      </c>
      <c r="E158" s="21">
        <f t="shared" si="5"/>
        <v>80</v>
      </c>
      <c r="F158" s="3">
        <v>6.3716999999999997</v>
      </c>
      <c r="G158" s="16">
        <v>2823.99</v>
      </c>
      <c r="H158" s="13">
        <f t="shared" si="6"/>
        <v>0.78636169981705328</v>
      </c>
      <c r="I158" s="18">
        <v>443207000</v>
      </c>
      <c r="J158" s="18">
        <v>310188</v>
      </c>
      <c r="K158" s="3">
        <v>6.9571393999999995E-2</v>
      </c>
      <c r="L158" s="3">
        <v>7.9370459000000003E-4</v>
      </c>
      <c r="M158" s="18">
        <v>7.8402462000000006E-6</v>
      </c>
      <c r="N158" s="18">
        <v>1.1676464E-7</v>
      </c>
      <c r="O158" s="18">
        <v>6.1998093999999997E-6</v>
      </c>
      <c r="P158" s="18">
        <v>8.8580041999999999E-7</v>
      </c>
      <c r="Q158" s="3">
        <v>2.2860444999999998E-3</v>
      </c>
      <c r="R158" s="3">
        <v>1.5783588E-4</v>
      </c>
      <c r="S158" s="3">
        <v>0.91335317000000005</v>
      </c>
      <c r="T158" s="3">
        <v>6.7592228000000004E-2</v>
      </c>
      <c r="U158" s="18">
        <v>1.5109915E-8</v>
      </c>
      <c r="V158" s="3" t="s">
        <v>31</v>
      </c>
      <c r="W158" s="3">
        <v>9.0738508000000003E-4</v>
      </c>
      <c r="X158" s="3" t="s">
        <v>71</v>
      </c>
    </row>
    <row r="159" spans="1:24" x14ac:dyDescent="0.3">
      <c r="A159" s="17" t="s">
        <v>111</v>
      </c>
      <c r="C159" s="10">
        <v>80</v>
      </c>
      <c r="D159" s="3">
        <v>56</v>
      </c>
      <c r="E159" s="21">
        <f t="shared" si="5"/>
        <v>84</v>
      </c>
      <c r="F159" s="3">
        <v>6.3716999999999997</v>
      </c>
      <c r="G159" s="16">
        <v>3405.66</v>
      </c>
      <c r="H159" s="13">
        <f t="shared" si="6"/>
        <v>0.94833217773396705</v>
      </c>
      <c r="I159" s="18">
        <v>534498000</v>
      </c>
      <c r="J159" s="18">
        <v>151105</v>
      </c>
      <c r="K159" s="3">
        <v>7.4287663000000004E-2</v>
      </c>
      <c r="L159" s="3">
        <v>7.0634596999999996E-4</v>
      </c>
      <c r="M159" s="18">
        <v>7.6448477999999998E-6</v>
      </c>
      <c r="N159" s="18">
        <v>1.1068145E-7</v>
      </c>
      <c r="O159" s="18">
        <v>8.0774222999999999E-6</v>
      </c>
      <c r="P159" s="18">
        <v>7.1285865000000002E-7</v>
      </c>
      <c r="Q159" s="3">
        <v>1.3912950999999999E-3</v>
      </c>
      <c r="R159" s="3">
        <v>1.5036927E-4</v>
      </c>
      <c r="S159" s="3">
        <v>-1.4934174</v>
      </c>
      <c r="T159" s="3">
        <v>6.9903508000000003E-2</v>
      </c>
      <c r="U159" s="18">
        <v>2.4945040999999999E-8</v>
      </c>
      <c r="V159" s="18">
        <v>3.1786183999999998E-9</v>
      </c>
      <c r="W159" s="3">
        <v>5.4516411999999995E-4</v>
      </c>
      <c r="X159" s="3" t="s">
        <v>72</v>
      </c>
    </row>
    <row r="160" spans="1:24" x14ac:dyDescent="0.3">
      <c r="A160" s="17" t="s">
        <v>111</v>
      </c>
      <c r="C160" s="10">
        <v>84</v>
      </c>
      <c r="D160" s="3">
        <v>60</v>
      </c>
      <c r="E160" s="21">
        <f t="shared" si="5"/>
        <v>88</v>
      </c>
      <c r="F160" s="3">
        <v>6.3716999999999997</v>
      </c>
      <c r="G160" s="16">
        <v>3416.92</v>
      </c>
      <c r="H160" s="13">
        <f t="shared" si="6"/>
        <v>0.95146761119511247</v>
      </c>
      <c r="I160" s="18">
        <v>536265000</v>
      </c>
      <c r="J160" s="18">
        <v>155787</v>
      </c>
      <c r="K160" s="3">
        <v>6.5924800000000006E-2</v>
      </c>
      <c r="L160" s="3">
        <v>6.6649801999999999E-4</v>
      </c>
      <c r="M160" s="18">
        <v>7.4672309000000001E-6</v>
      </c>
      <c r="N160" s="18">
        <v>1.1275275E-7</v>
      </c>
      <c r="O160" s="18">
        <v>2.1723334999999999E-6</v>
      </c>
      <c r="P160" s="18">
        <v>8.3353236000000001E-7</v>
      </c>
      <c r="Q160" s="3">
        <v>1.0816495E-3</v>
      </c>
      <c r="R160" s="3">
        <v>1.1731258E-4</v>
      </c>
      <c r="S160" s="3">
        <v>-1.9897047999999999</v>
      </c>
      <c r="T160" s="3">
        <v>7.0285820999999998E-2</v>
      </c>
      <c r="U160" s="18">
        <v>3.0926627E-8</v>
      </c>
      <c r="V160" s="18">
        <v>4.0511190000000001E-9</v>
      </c>
      <c r="W160" s="3">
        <v>3.4498302999999998E-4</v>
      </c>
      <c r="X160" s="3" t="s">
        <v>73</v>
      </c>
    </row>
    <row r="161" spans="1:24" x14ac:dyDescent="0.3">
      <c r="A161" s="17" t="s">
        <v>111</v>
      </c>
      <c r="C161" s="10">
        <v>88</v>
      </c>
      <c r="D161" s="3">
        <v>64</v>
      </c>
      <c r="E161" s="21">
        <f t="shared" si="5"/>
        <v>92</v>
      </c>
      <c r="F161" s="3">
        <v>6.3716999999999997</v>
      </c>
      <c r="G161" s="16">
        <v>3446.72</v>
      </c>
      <c r="H161" s="13">
        <f t="shared" si="6"/>
        <v>0.95976565001768199</v>
      </c>
      <c r="I161" s="18">
        <v>540942000</v>
      </c>
      <c r="J161" s="18">
        <v>92267.3</v>
      </c>
      <c r="K161" s="3">
        <v>6.6552734000000002E-2</v>
      </c>
      <c r="L161" s="3">
        <v>8.1592499000000005E-4</v>
      </c>
      <c r="M161" s="18">
        <v>7.5638183000000002E-6</v>
      </c>
      <c r="N161" s="18">
        <v>1.2703535E-7</v>
      </c>
      <c r="O161" s="18">
        <v>4.7048890000000004E-6</v>
      </c>
      <c r="P161" s="18">
        <v>9.8948291000000006E-7</v>
      </c>
      <c r="Q161" s="3">
        <v>1.6851883999999999E-3</v>
      </c>
      <c r="R161" s="3">
        <v>1.5123683E-4</v>
      </c>
      <c r="S161" s="3">
        <v>2.0847695000000002</v>
      </c>
      <c r="T161" s="3">
        <v>5.6640523999999998E-2</v>
      </c>
      <c r="U161" s="18">
        <v>2.6303156000000001E-8</v>
      </c>
      <c r="V161" s="18">
        <v>2.6499549999999999E-9</v>
      </c>
      <c r="W161" s="3">
        <v>6.2171400999999995E-4</v>
      </c>
      <c r="X161" s="3" t="s">
        <v>74</v>
      </c>
    </row>
    <row r="162" spans="1:24" x14ac:dyDescent="0.3">
      <c r="A162" s="17" t="s">
        <v>111</v>
      </c>
      <c r="C162" s="10">
        <v>92</v>
      </c>
      <c r="D162" s="3">
        <v>68</v>
      </c>
      <c r="E162" s="21">
        <f t="shared" si="5"/>
        <v>96</v>
      </c>
      <c r="F162" s="3">
        <v>6.3716999999999997</v>
      </c>
      <c r="G162" s="16">
        <v>3479.07</v>
      </c>
      <c r="H162" s="13">
        <f t="shared" si="6"/>
        <v>0.96877375592070647</v>
      </c>
      <c r="I162" s="18">
        <v>546019000</v>
      </c>
      <c r="J162" s="18">
        <v>80578.100000000006</v>
      </c>
      <c r="K162" s="3">
        <v>7.2732767000000004E-2</v>
      </c>
      <c r="L162" s="3">
        <v>6.6556104999999997E-4</v>
      </c>
      <c r="M162" s="18">
        <v>7.9777337999999997E-6</v>
      </c>
      <c r="N162" s="18">
        <v>1.0714803E-7</v>
      </c>
      <c r="O162" s="18">
        <v>8.2316769E-6</v>
      </c>
      <c r="P162" s="18">
        <v>6.6246813999999995E-7</v>
      </c>
      <c r="Q162" s="3">
        <v>1.2504345999999999E-3</v>
      </c>
      <c r="R162" s="3">
        <v>1.1298531E-4</v>
      </c>
      <c r="S162" s="3">
        <v>-0.31199664999999999</v>
      </c>
      <c r="T162" s="3">
        <v>5.9591766999999997E-2</v>
      </c>
      <c r="U162" s="18">
        <v>3.2874708999999998E-8</v>
      </c>
      <c r="V162" s="18">
        <v>3.7268291000000002E-9</v>
      </c>
      <c r="W162" s="3">
        <v>1.1590843E-3</v>
      </c>
      <c r="X162" s="3" t="s">
        <v>75</v>
      </c>
    </row>
    <row r="163" spans="1:24" x14ac:dyDescent="0.3">
      <c r="A163" s="17" t="s">
        <v>111</v>
      </c>
      <c r="C163" s="10">
        <v>96</v>
      </c>
      <c r="D163" s="3">
        <v>72</v>
      </c>
      <c r="E163" s="21">
        <f t="shared" si="5"/>
        <v>100</v>
      </c>
      <c r="F163" s="3">
        <v>6.3716999999999997</v>
      </c>
      <c r="G163" s="16">
        <v>3517.28</v>
      </c>
      <c r="H163" s="13">
        <f t="shared" si="6"/>
        <v>0.97941362382038366</v>
      </c>
      <c r="I163" s="18">
        <v>552016000</v>
      </c>
      <c r="J163" s="18">
        <v>64663.199999999997</v>
      </c>
      <c r="K163" s="3">
        <v>6.8536334000000004E-2</v>
      </c>
      <c r="L163" s="3">
        <v>8.0008957000000003E-4</v>
      </c>
      <c r="M163" s="18">
        <v>7.3952685999999998E-6</v>
      </c>
      <c r="N163" s="18">
        <v>1.226484E-7</v>
      </c>
      <c r="O163" s="18">
        <v>4.3005834999999998E-6</v>
      </c>
      <c r="P163" s="18">
        <v>9.5850960999999993E-7</v>
      </c>
      <c r="Q163" s="3">
        <v>2.5642741000000001E-3</v>
      </c>
      <c r="R163" s="3">
        <v>1.7488175999999999E-4</v>
      </c>
      <c r="S163" s="3">
        <v>1.4715214999999999</v>
      </c>
      <c r="T163" s="3">
        <v>4.280573E-2</v>
      </c>
      <c r="U163" s="18">
        <v>2.2565335999999998E-8</v>
      </c>
      <c r="V163" s="18">
        <v>1.6617134999999999E-9</v>
      </c>
      <c r="W163" s="3">
        <v>6.9143272000000001E-4</v>
      </c>
      <c r="X163" s="3" t="s">
        <v>76</v>
      </c>
    </row>
    <row r="164" spans="1:24" x14ac:dyDescent="0.3">
      <c r="A164" s="17" t="s">
        <v>111</v>
      </c>
      <c r="C164" s="10">
        <v>100</v>
      </c>
      <c r="D164" s="3">
        <v>76</v>
      </c>
      <c r="E164" s="21">
        <f t="shared" si="5"/>
        <v>104</v>
      </c>
      <c r="F164" s="3">
        <v>6.3716999999999997</v>
      </c>
      <c r="G164" s="16">
        <v>3564.02</v>
      </c>
      <c r="H164" s="13">
        <f t="shared" si="6"/>
        <v>0.9924287357186018</v>
      </c>
      <c r="I164" s="18">
        <v>559351000</v>
      </c>
      <c r="J164" s="18">
        <v>52320.3</v>
      </c>
      <c r="K164" s="3">
        <v>7.5066301000000002E-2</v>
      </c>
      <c r="L164" s="3">
        <v>7.6803425999999995E-4</v>
      </c>
      <c r="M164" s="18">
        <v>7.7398833000000002E-6</v>
      </c>
      <c r="N164" s="18">
        <v>1.17837E-7</v>
      </c>
      <c r="O164" s="18">
        <v>9.9571506999999996E-6</v>
      </c>
      <c r="P164" s="18">
        <v>7.4476891999999996E-7</v>
      </c>
      <c r="Q164" s="3">
        <v>2.1551952E-3</v>
      </c>
      <c r="R164" s="3">
        <v>1.4404641000000001E-4</v>
      </c>
      <c r="S164" s="3">
        <v>-2.4830559000000001</v>
      </c>
      <c r="T164" s="3">
        <v>4.3686515000000002E-2</v>
      </c>
      <c r="U164" s="18">
        <v>2.8022177000000001E-8</v>
      </c>
      <c r="V164" s="18">
        <v>2.2494435999999999E-9</v>
      </c>
      <c r="W164" s="3">
        <v>1.0469437000000001E-3</v>
      </c>
      <c r="X164" s="3" t="s">
        <v>77</v>
      </c>
    </row>
    <row r="165" spans="1:24" x14ac:dyDescent="0.3">
      <c r="A165" s="17" t="s">
        <v>111</v>
      </c>
      <c r="C165" s="10">
        <v>104</v>
      </c>
      <c r="D165" s="3">
        <v>80</v>
      </c>
      <c r="E165" s="21">
        <f t="shared" si="5"/>
        <v>108</v>
      </c>
      <c r="F165" s="3">
        <v>6.3716999999999997</v>
      </c>
      <c r="G165" s="16">
        <v>3491.14</v>
      </c>
      <c r="H165" s="13">
        <f t="shared" si="6"/>
        <v>0.97213474010152567</v>
      </c>
      <c r="I165" s="18">
        <v>547914000</v>
      </c>
      <c r="J165" s="18">
        <v>535331</v>
      </c>
      <c r="K165" s="3">
        <v>6.5357758000000002E-2</v>
      </c>
      <c r="L165" s="3">
        <v>7.6769361000000001E-4</v>
      </c>
      <c r="M165" s="18">
        <v>7.3399726999999997E-6</v>
      </c>
      <c r="N165" s="18">
        <v>1.2777744E-7</v>
      </c>
      <c r="O165" s="18">
        <v>8.8176706000000002E-7</v>
      </c>
      <c r="P165" s="18">
        <v>9.9914051999999991E-7</v>
      </c>
      <c r="Q165" s="3">
        <v>1.7232365999999999E-3</v>
      </c>
      <c r="R165" s="3">
        <v>1.7628330999999999E-4</v>
      </c>
      <c r="S165" s="3">
        <v>-2.2209758000000002</v>
      </c>
      <c r="T165" s="3">
        <v>0.10345549</v>
      </c>
      <c r="U165" s="18">
        <v>1.4177706E-8</v>
      </c>
      <c r="V165" s="3" t="s">
        <v>31</v>
      </c>
      <c r="W165" s="3">
        <v>8.2012806000000002E-4</v>
      </c>
      <c r="X165" s="3" t="s">
        <v>78</v>
      </c>
    </row>
    <row r="166" spans="1:24" x14ac:dyDescent="0.3">
      <c r="A166" s="17" t="s">
        <v>111</v>
      </c>
      <c r="C166" s="10">
        <v>108</v>
      </c>
      <c r="D166" s="3">
        <v>84</v>
      </c>
      <c r="E166" s="21">
        <f t="shared" si="5"/>
        <v>112</v>
      </c>
      <c r="F166" s="3">
        <v>6.3716999999999997</v>
      </c>
      <c r="G166" s="16">
        <v>3515.03</v>
      </c>
      <c r="H166" s="13">
        <f t="shared" si="6"/>
        <v>0.97878709404351183</v>
      </c>
      <c r="I166" s="18">
        <v>551663000</v>
      </c>
      <c r="J166" s="18">
        <v>501650</v>
      </c>
      <c r="K166" s="3">
        <v>6.9346263000000005E-2</v>
      </c>
      <c r="L166" s="3">
        <v>7.6337935000000002E-4</v>
      </c>
      <c r="M166" s="18">
        <v>7.6853460999999999E-6</v>
      </c>
      <c r="N166" s="18">
        <v>1.2047417000000001E-7</v>
      </c>
      <c r="O166" s="18">
        <v>8.7613514999999995E-6</v>
      </c>
      <c r="P166" s="18">
        <v>8.2757622999999999E-7</v>
      </c>
      <c r="Q166" s="3">
        <v>1.8645106E-3</v>
      </c>
      <c r="R166" s="3">
        <v>1.8226266E-4</v>
      </c>
      <c r="S166" s="3">
        <v>-2.4340885999999999</v>
      </c>
      <c r="T166" s="3">
        <v>9.8923659999999997E-2</v>
      </c>
      <c r="U166" s="18">
        <v>1.3222565999999999E-8</v>
      </c>
      <c r="V166" s="3" t="s">
        <v>31</v>
      </c>
      <c r="W166" s="3">
        <v>8.5184519000000005E-4</v>
      </c>
      <c r="X166" s="3" t="s">
        <v>79</v>
      </c>
    </row>
    <row r="167" spans="1:24" x14ac:dyDescent="0.3">
      <c r="A167" s="17" t="s">
        <v>111</v>
      </c>
      <c r="C167" s="10">
        <v>112</v>
      </c>
      <c r="D167" s="3">
        <v>92</v>
      </c>
      <c r="E167" s="21">
        <f t="shared" si="5"/>
        <v>116</v>
      </c>
      <c r="F167" s="3">
        <v>6.3716999999999997</v>
      </c>
      <c r="G167" s="16">
        <v>2916.84</v>
      </c>
      <c r="H167" s="13">
        <f t="shared" si="6"/>
        <v>0.81221649527596551</v>
      </c>
      <c r="I167" s="18">
        <v>457780000</v>
      </c>
      <c r="J167" s="18">
        <v>23458.5</v>
      </c>
      <c r="K167" s="3">
        <v>6.7345779999999994E-2</v>
      </c>
      <c r="L167" s="3">
        <v>8.0217628E-4</v>
      </c>
      <c r="M167" s="18">
        <v>7.1819063000000002E-6</v>
      </c>
      <c r="N167" s="18">
        <v>1.2220821E-7</v>
      </c>
      <c r="O167" s="18">
        <v>2.9579020000000001E-6</v>
      </c>
      <c r="P167" s="18">
        <v>1.0178482E-6</v>
      </c>
      <c r="Q167" s="3">
        <v>3.3983871000000001E-3</v>
      </c>
      <c r="R167" s="3">
        <v>1.5454140000000001E-4</v>
      </c>
      <c r="S167" s="3">
        <v>-2.0787862000000001</v>
      </c>
      <c r="T167" s="3">
        <v>2.7570962000000001E-2</v>
      </c>
      <c r="U167" s="18">
        <v>2.6051224999999998E-8</v>
      </c>
      <c r="V167" s="18">
        <v>1.2827464E-9</v>
      </c>
      <c r="W167" s="3">
        <v>2.1148531000000001E-4</v>
      </c>
      <c r="X167" s="3" t="s">
        <v>80</v>
      </c>
    </row>
    <row r="168" spans="1:24" x14ac:dyDescent="0.3">
      <c r="A168" s="17" t="s">
        <v>111</v>
      </c>
      <c r="C168" s="10">
        <v>116</v>
      </c>
      <c r="D168" s="3">
        <v>96</v>
      </c>
      <c r="E168" s="21">
        <f t="shared" si="5"/>
        <v>120</v>
      </c>
      <c r="F168" s="3">
        <v>6.3716999999999997</v>
      </c>
      <c r="G168" s="16">
        <v>2960.38</v>
      </c>
      <c r="H168" s="13">
        <f t="shared" si="6"/>
        <v>0.82434054260263256</v>
      </c>
      <c r="I168" s="18">
        <v>464614000</v>
      </c>
      <c r="J168" s="18">
        <v>18328</v>
      </c>
      <c r="K168" s="3">
        <v>5.7490319999999998E-2</v>
      </c>
      <c r="L168" s="18">
        <v>6.3889814999999994E-5</v>
      </c>
      <c r="M168" s="18">
        <v>7.4895854999999997E-6</v>
      </c>
      <c r="N168" s="18">
        <v>5.1726718999999997E-8</v>
      </c>
      <c r="O168" s="18">
        <v>4.0874981999999996E-9</v>
      </c>
      <c r="P168" s="3" t="s">
        <v>31</v>
      </c>
      <c r="Q168" s="3">
        <v>3.0779152000000001E-3</v>
      </c>
      <c r="R168" s="3">
        <v>1.0075717E-4</v>
      </c>
      <c r="S168" s="3">
        <v>0.95143358</v>
      </c>
      <c r="T168" s="3">
        <v>2.1135346999999999E-2</v>
      </c>
      <c r="U168" s="18">
        <v>3.0851660000000001E-8</v>
      </c>
      <c r="V168" s="18">
        <v>1.2239883999999999E-9</v>
      </c>
      <c r="W168" s="3">
        <v>3.9068376000000001E-4</v>
      </c>
      <c r="X168" s="3" t="s">
        <v>81</v>
      </c>
    </row>
    <row r="169" spans="1:24" x14ac:dyDescent="0.3">
      <c r="A169" s="17" t="s">
        <v>111</v>
      </c>
      <c r="C169" s="10">
        <v>120</v>
      </c>
      <c r="D169" s="3">
        <v>100</v>
      </c>
      <c r="E169" s="21">
        <f t="shared" si="5"/>
        <v>124</v>
      </c>
      <c r="F169" s="3">
        <v>6.3716999999999997</v>
      </c>
      <c r="G169" s="16">
        <v>3018.95</v>
      </c>
      <c r="H169" s="13">
        <f t="shared" si="6"/>
        <v>0.84064980883880358</v>
      </c>
      <c r="I169" s="18">
        <v>473806000</v>
      </c>
      <c r="J169" s="18">
        <v>15390.5</v>
      </c>
      <c r="K169" s="3">
        <v>6.7889726999999997E-2</v>
      </c>
      <c r="L169" s="3">
        <v>7.7207176000000004E-4</v>
      </c>
      <c r="M169" s="18">
        <v>7.2228694999999998E-6</v>
      </c>
      <c r="N169" s="18">
        <v>1.1601216E-7</v>
      </c>
      <c r="O169" s="18">
        <v>1.4600530999999999E-6</v>
      </c>
      <c r="P169" s="18">
        <v>9.8473927000000001E-7</v>
      </c>
      <c r="Q169" s="3">
        <v>5.4044571000000001E-3</v>
      </c>
      <c r="R169" s="3">
        <v>1.6197358999999999E-4</v>
      </c>
      <c r="S169" s="3">
        <v>-2.7105735000000002</v>
      </c>
      <c r="T169" s="3">
        <v>1.8178798999999999E-2</v>
      </c>
      <c r="U169" s="18">
        <v>2.3788808E-8</v>
      </c>
      <c r="V169" s="18">
        <v>7.5659681999999995E-10</v>
      </c>
      <c r="W169" s="3">
        <v>3.2499835999999998E-4</v>
      </c>
      <c r="X169" s="3" t="s">
        <v>82</v>
      </c>
    </row>
    <row r="170" spans="1:24" x14ac:dyDescent="0.3">
      <c r="A170" s="17" t="s">
        <v>111</v>
      </c>
      <c r="C170" s="10">
        <v>124</v>
      </c>
      <c r="D170" s="3">
        <v>104</v>
      </c>
      <c r="E170" s="21">
        <f t="shared" si="5"/>
        <v>128</v>
      </c>
      <c r="F170" s="3">
        <v>6.3716999999999997</v>
      </c>
      <c r="G170" s="16">
        <v>3057.79</v>
      </c>
      <c r="H170" s="13">
        <f t="shared" si="6"/>
        <v>0.85146510507600504</v>
      </c>
      <c r="I170" s="18">
        <v>479902000</v>
      </c>
      <c r="J170" s="18">
        <v>13266.2</v>
      </c>
      <c r="K170" s="3">
        <v>6.5167875E-2</v>
      </c>
      <c r="L170" s="18">
        <v>7.9719420000000003E-5</v>
      </c>
      <c r="M170" s="18">
        <v>7.4875194999999999E-6</v>
      </c>
      <c r="N170" s="18">
        <v>5.6857720000000002E-8</v>
      </c>
      <c r="O170" s="18">
        <v>1.6053713000000001E-10</v>
      </c>
      <c r="P170" s="3" t="s">
        <v>31</v>
      </c>
      <c r="Q170" s="3">
        <v>4.8692477E-3</v>
      </c>
      <c r="R170" s="3">
        <v>1.5541188E-4</v>
      </c>
      <c r="S170" s="3">
        <v>2.5015470999999998</v>
      </c>
      <c r="T170" s="3">
        <v>1.9566186999999999E-2</v>
      </c>
      <c r="U170" s="18">
        <v>2.6420388999999999E-8</v>
      </c>
      <c r="V170" s="18">
        <v>9.1555775E-10</v>
      </c>
      <c r="W170" s="3">
        <v>8.7032608000000005E-4</v>
      </c>
      <c r="X170" s="3" t="s">
        <v>83</v>
      </c>
    </row>
    <row r="171" spans="1:24" x14ac:dyDescent="0.3">
      <c r="A171" s="17" t="s">
        <v>111</v>
      </c>
      <c r="C171" s="10">
        <v>128</v>
      </c>
      <c r="D171" s="3">
        <v>108</v>
      </c>
      <c r="E171" s="21">
        <f t="shared" si="5"/>
        <v>132</v>
      </c>
      <c r="F171" s="3">
        <v>6.3716999999999997</v>
      </c>
      <c r="G171" s="16">
        <v>3083.47</v>
      </c>
      <c r="H171" s="13">
        <f t="shared" si="6"/>
        <v>0.85861589826270246</v>
      </c>
      <c r="I171" s="18">
        <v>483931000</v>
      </c>
      <c r="J171" s="18">
        <v>4351.8</v>
      </c>
      <c r="K171" s="3">
        <v>7.4642969000000003E-2</v>
      </c>
      <c r="L171" s="3">
        <v>8.3223274999999995E-4</v>
      </c>
      <c r="M171" s="18">
        <v>7.6796423999999998E-6</v>
      </c>
      <c r="N171" s="18">
        <v>1.1455704E-7</v>
      </c>
      <c r="O171" s="18">
        <v>9.5624228999999998E-6</v>
      </c>
      <c r="P171" s="18">
        <v>8.4327280999999998E-7</v>
      </c>
      <c r="Q171" s="3">
        <v>6.4472649999999998E-3</v>
      </c>
      <c r="R171" s="3">
        <v>1.2541658999999999E-4</v>
      </c>
      <c r="S171" s="3">
        <v>-2.7876500000000002</v>
      </c>
      <c r="T171" s="3">
        <v>1.2065901E-2</v>
      </c>
      <c r="U171" s="18">
        <v>3.2363795999999999E-8</v>
      </c>
      <c r="V171" s="18">
        <v>7.2614097999999996E-10</v>
      </c>
      <c r="W171" s="3">
        <v>5.8030226999999999E-4</v>
      </c>
      <c r="X171" s="3" t="s">
        <v>84</v>
      </c>
    </row>
    <row r="172" spans="1:24" x14ac:dyDescent="0.3">
      <c r="A172" s="17" t="s">
        <v>111</v>
      </c>
      <c r="C172" s="10">
        <v>132</v>
      </c>
      <c r="D172" s="3">
        <v>112</v>
      </c>
      <c r="E172" s="21">
        <f t="shared" si="5"/>
        <v>136</v>
      </c>
      <c r="F172" s="3">
        <v>6.3716999999999997</v>
      </c>
      <c r="G172" s="16">
        <v>3066.68</v>
      </c>
      <c r="H172" s="13">
        <f t="shared" si="6"/>
        <v>0.85394059383884535</v>
      </c>
      <c r="I172" s="18">
        <v>481296000</v>
      </c>
      <c r="J172" s="18">
        <v>7867.52</v>
      </c>
      <c r="K172" s="3">
        <v>6.0561755000000002E-2</v>
      </c>
      <c r="L172" s="3">
        <v>7.6217430999999997E-4</v>
      </c>
      <c r="M172" s="18">
        <v>7.6908254000000008E-6</v>
      </c>
      <c r="N172" s="18">
        <v>1.2274762000000001E-7</v>
      </c>
      <c r="O172" s="18">
        <v>1.4867760000000001E-6</v>
      </c>
      <c r="P172" s="18">
        <v>1.0546735000000001E-6</v>
      </c>
      <c r="Q172" s="3">
        <v>4.8636269000000001E-3</v>
      </c>
      <c r="R172" s="3">
        <v>1.1727304E-4</v>
      </c>
      <c r="S172" s="3">
        <v>3.0720676</v>
      </c>
      <c r="T172" s="3">
        <v>1.487048E-2</v>
      </c>
      <c r="U172" s="18">
        <v>3.1178592E-8</v>
      </c>
      <c r="V172" s="18">
        <v>8.5498514999999997E-10</v>
      </c>
      <c r="W172" s="3">
        <v>1.0140771E-3</v>
      </c>
      <c r="X172" s="3" t="s">
        <v>85</v>
      </c>
    </row>
    <row r="173" spans="1:24" x14ac:dyDescent="0.3">
      <c r="A173" s="17" t="s">
        <v>111</v>
      </c>
      <c r="C173" s="10">
        <v>136</v>
      </c>
      <c r="D173" s="3">
        <v>116</v>
      </c>
      <c r="E173" s="21">
        <f t="shared" si="5"/>
        <v>140</v>
      </c>
      <c r="F173" s="3">
        <v>6.3716999999999997</v>
      </c>
      <c r="G173" s="16">
        <v>3037.54</v>
      </c>
      <c r="H173" s="13">
        <f t="shared" si="6"/>
        <v>0.84582633708415822</v>
      </c>
      <c r="I173" s="18">
        <v>476723000</v>
      </c>
      <c r="J173" s="18">
        <v>25586.799999999999</v>
      </c>
      <c r="K173" s="3">
        <v>5.2103465000000002E-2</v>
      </c>
      <c r="L173" s="3">
        <v>7.3338508999999999E-4</v>
      </c>
      <c r="M173" s="18">
        <v>7.9366199999999992E-6</v>
      </c>
      <c r="N173" s="18">
        <v>1.3482680999999999E-7</v>
      </c>
      <c r="O173" s="18">
        <v>5.3805049999999999E-6</v>
      </c>
      <c r="P173" s="18">
        <v>1.1134488E-6</v>
      </c>
      <c r="Q173" s="3">
        <v>3.0030696999999999E-3</v>
      </c>
      <c r="R173" s="3">
        <v>1.3735923000000001E-4</v>
      </c>
      <c r="S173" s="3">
        <v>1.8044751999999999</v>
      </c>
      <c r="T173" s="3">
        <v>2.7293995000000001E-2</v>
      </c>
      <c r="U173" s="18">
        <v>2.4210959000000001E-8</v>
      </c>
      <c r="V173" s="18">
        <v>1.1600722E-9</v>
      </c>
      <c r="W173" s="3">
        <v>1.1931311000000001E-3</v>
      </c>
      <c r="X173" s="3" t="s">
        <v>86</v>
      </c>
    </row>
    <row r="174" spans="1:24" x14ac:dyDescent="0.3">
      <c r="A174" s="17" t="s">
        <v>111</v>
      </c>
      <c r="C174" s="10">
        <v>140</v>
      </c>
      <c r="D174" s="3">
        <v>120</v>
      </c>
      <c r="E174" s="21">
        <f t="shared" si="5"/>
        <v>144</v>
      </c>
      <c r="F174" s="3">
        <v>6.3716999999999997</v>
      </c>
      <c r="G174" s="16">
        <v>3003.15</v>
      </c>
      <c r="H174" s="13">
        <f t="shared" si="6"/>
        <v>0.83625017751677011</v>
      </c>
      <c r="I174" s="18">
        <v>471326000</v>
      </c>
      <c r="J174" s="18">
        <v>11514.7</v>
      </c>
      <c r="K174" s="3">
        <v>5.2246998000000003E-2</v>
      </c>
      <c r="L174" s="3">
        <v>5.2197789999999995E-4</v>
      </c>
      <c r="M174" s="18">
        <v>8.2793608000000008E-6</v>
      </c>
      <c r="N174" s="18">
        <v>1.1699842E-7</v>
      </c>
      <c r="O174" s="18">
        <v>9.8102893999999996E-6</v>
      </c>
      <c r="P174" s="18">
        <v>6.9230984000000004E-7</v>
      </c>
      <c r="Q174" s="3">
        <v>2.4549451000000001E-3</v>
      </c>
      <c r="R174" s="18">
        <v>8.1171743999999994E-5</v>
      </c>
      <c r="S174" s="3">
        <v>2.6839721999999999</v>
      </c>
      <c r="T174" s="3">
        <v>2.1564733999999999E-2</v>
      </c>
      <c r="U174" s="18">
        <v>3.6088975000000002E-8</v>
      </c>
      <c r="V174" s="18">
        <v>1.5128144E-9</v>
      </c>
      <c r="W174" s="3">
        <v>1.1908856E-3</v>
      </c>
      <c r="X174" s="3" t="s">
        <v>87</v>
      </c>
    </row>
    <row r="175" spans="1:24" x14ac:dyDescent="0.3">
      <c r="A175" s="17" t="s">
        <v>111</v>
      </c>
      <c r="C175" s="10">
        <v>144</v>
      </c>
      <c r="D175" s="3">
        <v>124</v>
      </c>
      <c r="E175" s="21">
        <f t="shared" si="5"/>
        <v>148</v>
      </c>
      <c r="F175" s="3">
        <v>6.3716999999999997</v>
      </c>
      <c r="G175" s="16">
        <v>2777.5</v>
      </c>
      <c r="H175" s="13">
        <f t="shared" si="6"/>
        <v>0.77341620233848762</v>
      </c>
      <c r="I175" s="18">
        <v>435912000</v>
      </c>
      <c r="J175" s="18">
        <v>381893</v>
      </c>
      <c r="K175" s="3">
        <v>5.2808162999999998E-2</v>
      </c>
      <c r="L175" s="3">
        <v>6.7076815000000002E-4</v>
      </c>
      <c r="M175" s="18">
        <v>7.8740977999999994E-6</v>
      </c>
      <c r="N175" s="18">
        <v>1.2492172E-7</v>
      </c>
      <c r="O175" s="18">
        <v>2.1474356999999999E-6</v>
      </c>
      <c r="P175" s="18">
        <v>1.0396156E-6</v>
      </c>
      <c r="Q175" s="3">
        <v>4.1275508000000001E-3</v>
      </c>
      <c r="R175" s="3">
        <v>2.6197849E-4</v>
      </c>
      <c r="S175" s="3">
        <v>-1.5882407000000001</v>
      </c>
      <c r="T175" s="3">
        <v>6.5550760999999999E-2</v>
      </c>
      <c r="U175" s="18">
        <v>8.9386864000000008E-9</v>
      </c>
      <c r="V175" s="3" t="s">
        <v>31</v>
      </c>
      <c r="W175" s="3">
        <v>7.0415965E-4</v>
      </c>
      <c r="X175" s="3" t="s">
        <v>88</v>
      </c>
    </row>
    <row r="176" spans="1:24" x14ac:dyDescent="0.3">
      <c r="A176" s="17" t="s">
        <v>111</v>
      </c>
      <c r="C176" s="10">
        <v>148</v>
      </c>
      <c r="D176" s="3">
        <v>128</v>
      </c>
      <c r="E176" s="21">
        <f t="shared" si="5"/>
        <v>152</v>
      </c>
      <c r="F176" s="3">
        <v>6.3716999999999997</v>
      </c>
      <c r="G176" s="16">
        <v>2847.04</v>
      </c>
      <c r="H176" s="13">
        <f t="shared" si="6"/>
        <v>0.7927801493090072</v>
      </c>
      <c r="I176" s="18">
        <v>446826000</v>
      </c>
      <c r="J176" s="18">
        <v>21178.7</v>
      </c>
      <c r="K176" s="3">
        <v>5.5969152000000001E-2</v>
      </c>
      <c r="L176" s="3">
        <v>6.0243191E-4</v>
      </c>
      <c r="M176" s="18">
        <v>8.0125300000000003E-6</v>
      </c>
      <c r="N176" s="18">
        <v>1.1610675E-7</v>
      </c>
      <c r="O176" s="18">
        <v>5.4454120999999998E-6</v>
      </c>
      <c r="P176" s="18">
        <v>8.2204223000000001E-7</v>
      </c>
      <c r="Q176" s="3">
        <v>3.5823287999999999E-3</v>
      </c>
      <c r="R176" s="3">
        <v>1.2569419000000001E-4</v>
      </c>
      <c r="S176" s="3">
        <v>0.52522360999999995</v>
      </c>
      <c r="T176" s="3">
        <v>2.1900454999999999E-2</v>
      </c>
      <c r="U176" s="18">
        <v>2.3712171999999999E-8</v>
      </c>
      <c r="V176" s="18">
        <v>9.4134856000000006E-10</v>
      </c>
      <c r="W176" s="3">
        <v>1.039735E-3</v>
      </c>
      <c r="X176" s="3" t="s">
        <v>89</v>
      </c>
    </row>
    <row r="177" spans="1:24" x14ac:dyDescent="0.3">
      <c r="A177" s="17" t="s">
        <v>111</v>
      </c>
      <c r="C177" s="10">
        <v>152</v>
      </c>
      <c r="D177" s="3">
        <v>132</v>
      </c>
      <c r="E177" s="21">
        <f t="shared" si="5"/>
        <v>156</v>
      </c>
      <c r="F177" s="3">
        <v>6.3716999999999997</v>
      </c>
      <c r="G177" s="16">
        <v>2826.72</v>
      </c>
      <c r="H177" s="13">
        <f t="shared" si="6"/>
        <v>0.78712188927965776</v>
      </c>
      <c r="I177" s="18">
        <v>443636000</v>
      </c>
      <c r="J177" s="18">
        <v>8927.65</v>
      </c>
      <c r="K177" s="3">
        <v>5.7126691E-2</v>
      </c>
      <c r="L177" s="3">
        <v>6.0267651000000004E-4</v>
      </c>
      <c r="M177" s="18">
        <v>7.5110923000000004E-6</v>
      </c>
      <c r="N177" s="18">
        <v>1.2420032000000001E-7</v>
      </c>
      <c r="O177" s="18">
        <v>4.1130716E-6</v>
      </c>
      <c r="P177" s="18">
        <v>8.4107345999999995E-7</v>
      </c>
      <c r="Q177" s="3">
        <v>4.4423496000000002E-3</v>
      </c>
      <c r="R177" s="3">
        <v>1.0864217000000001E-4</v>
      </c>
      <c r="S177" s="3">
        <v>2.6771446000000001</v>
      </c>
      <c r="T177" s="3">
        <v>1.5719348000000001E-2</v>
      </c>
      <c r="U177" s="18">
        <v>3.1620011999999998E-8</v>
      </c>
      <c r="V177" s="18">
        <v>9.4731784999999993E-10</v>
      </c>
      <c r="W177" s="3">
        <v>-1.096873E-4</v>
      </c>
      <c r="X177" s="3" t="s">
        <v>90</v>
      </c>
    </row>
    <row r="178" spans="1:24" x14ac:dyDescent="0.3">
      <c r="A178" s="17" t="s">
        <v>111</v>
      </c>
      <c r="C178" s="10">
        <v>156</v>
      </c>
      <c r="D178" s="3">
        <v>136</v>
      </c>
      <c r="E178" s="21">
        <f t="shared" si="5"/>
        <v>160</v>
      </c>
      <c r="F178" s="3">
        <v>6.3716999999999997</v>
      </c>
      <c r="G178" s="16">
        <v>2809.13</v>
      </c>
      <c r="H178" s="13">
        <f t="shared" si="6"/>
        <v>0.78222381871291291</v>
      </c>
      <c r="I178" s="18">
        <v>440876000</v>
      </c>
      <c r="J178" s="18">
        <v>25240.5</v>
      </c>
      <c r="K178" s="3">
        <v>6.3261659999999997E-2</v>
      </c>
      <c r="L178" s="3">
        <v>5.8244584999999998E-4</v>
      </c>
      <c r="M178" s="18">
        <v>7.4679271999999997E-6</v>
      </c>
      <c r="N178" s="18">
        <v>1.0964264E-7</v>
      </c>
      <c r="O178" s="18">
        <v>5.9045739E-6</v>
      </c>
      <c r="P178" s="18">
        <v>7.2006111999999999E-7</v>
      </c>
      <c r="Q178" s="3">
        <v>2.9536553E-3</v>
      </c>
      <c r="R178" s="3">
        <v>1.1583194999999999E-4</v>
      </c>
      <c r="S178" s="3">
        <v>2.9558989000000002</v>
      </c>
      <c r="T178" s="3">
        <v>2.5123481E-2</v>
      </c>
      <c r="U178" s="18">
        <v>2.8129576000000002E-8</v>
      </c>
      <c r="V178" s="18">
        <v>1.3258186E-9</v>
      </c>
      <c r="W178" s="3">
        <v>1.025815E-3</v>
      </c>
      <c r="X178" s="3" t="s">
        <v>91</v>
      </c>
    </row>
    <row r="179" spans="1:24" x14ac:dyDescent="0.3">
      <c r="A179" s="17" t="s">
        <v>111</v>
      </c>
      <c r="C179" s="10">
        <v>160</v>
      </c>
      <c r="D179" s="3">
        <v>140</v>
      </c>
      <c r="E179" s="21">
        <f t="shared" si="5"/>
        <v>164</v>
      </c>
      <c r="F179" s="3">
        <v>6.3716999999999997</v>
      </c>
      <c r="G179" s="16">
        <v>2805.34</v>
      </c>
      <c r="H179" s="13">
        <f t="shared" si="6"/>
        <v>0.78116846411098217</v>
      </c>
      <c r="I179" s="18">
        <v>440281000</v>
      </c>
      <c r="J179" s="18">
        <v>17532.400000000001</v>
      </c>
      <c r="K179" s="3">
        <v>5.6855927000000001E-2</v>
      </c>
      <c r="L179" s="3">
        <v>7.3994906999999999E-4</v>
      </c>
      <c r="M179" s="18">
        <v>6.9217059E-6</v>
      </c>
      <c r="N179" s="18">
        <v>1.5985697E-7</v>
      </c>
      <c r="O179" s="18">
        <v>2.9724485E-7</v>
      </c>
      <c r="P179" s="18">
        <v>1.1427921E-6</v>
      </c>
      <c r="Q179" s="18">
        <v>1.2576663999999999E-5</v>
      </c>
      <c r="R179" s="3">
        <v>8.8538248000000002E-4</v>
      </c>
      <c r="S179" s="3">
        <v>3.4283432999999999</v>
      </c>
      <c r="T179" s="3">
        <v>69.514835000000005</v>
      </c>
      <c r="U179" s="18">
        <v>5.0053884999999997E-9</v>
      </c>
      <c r="V179" s="3" t="s">
        <v>31</v>
      </c>
      <c r="W179" s="3">
        <v>1.0904859E-4</v>
      </c>
      <c r="X179" s="3" t="s">
        <v>92</v>
      </c>
    </row>
    <row r="180" spans="1:24" x14ac:dyDescent="0.3">
      <c r="A180" s="17" t="s">
        <v>111</v>
      </c>
      <c r="C180" s="10">
        <v>164</v>
      </c>
      <c r="D180" s="3">
        <v>144</v>
      </c>
      <c r="E180" s="21">
        <f t="shared" si="5"/>
        <v>168</v>
      </c>
      <c r="F180" s="3">
        <v>6.3716999999999997</v>
      </c>
      <c r="G180" s="16">
        <v>2715.3</v>
      </c>
      <c r="H180" s="13">
        <f t="shared" si="6"/>
        <v>0.75609613472896331</v>
      </c>
      <c r="I180" s="18">
        <v>426149000</v>
      </c>
      <c r="J180" s="18">
        <v>242240</v>
      </c>
      <c r="K180" s="3">
        <v>5.4601675000000002E-2</v>
      </c>
      <c r="L180" s="3">
        <v>5.9778540999999997E-4</v>
      </c>
      <c r="M180" s="18">
        <v>7.5481991999999996E-6</v>
      </c>
      <c r="N180" s="18">
        <v>1.2852993000000001E-7</v>
      </c>
      <c r="O180" s="18">
        <v>3.3844979999999999E-6</v>
      </c>
      <c r="P180" s="18">
        <v>8.7708170999999997E-7</v>
      </c>
      <c r="Q180" s="3">
        <v>2.2960769000000001E-3</v>
      </c>
      <c r="R180" s="3">
        <v>1.5059713E-4</v>
      </c>
      <c r="S180" s="3">
        <v>-1.1893146999999999</v>
      </c>
      <c r="T180" s="3">
        <v>6.7365574999999997E-2</v>
      </c>
      <c r="U180" s="18">
        <v>1.3208015E-8</v>
      </c>
      <c r="V180" s="3" t="s">
        <v>31</v>
      </c>
      <c r="W180" s="3">
        <v>6.7493361000000001E-4</v>
      </c>
      <c r="X180" s="3" t="s">
        <v>93</v>
      </c>
    </row>
    <row r="181" spans="1:24" x14ac:dyDescent="0.3">
      <c r="A181" s="17" t="s">
        <v>111</v>
      </c>
      <c r="C181" s="10">
        <v>168</v>
      </c>
      <c r="D181" s="3">
        <v>148</v>
      </c>
      <c r="E181" s="21">
        <f t="shared" si="5"/>
        <v>172</v>
      </c>
      <c r="F181" s="3">
        <v>6.3716999999999997</v>
      </c>
      <c r="G181" s="16">
        <v>2855.48</v>
      </c>
      <c r="H181" s="13">
        <f t="shared" si="6"/>
        <v>0.79513033211647333</v>
      </c>
      <c r="I181" s="18">
        <v>448150000</v>
      </c>
      <c r="J181" s="18">
        <v>11943</v>
      </c>
      <c r="K181" s="3">
        <v>6.0610483E-2</v>
      </c>
      <c r="L181" s="3">
        <v>5.9486873999999999E-4</v>
      </c>
      <c r="M181" s="18">
        <v>7.3415339999999996E-6</v>
      </c>
      <c r="N181" s="18">
        <v>1.1443966E-7</v>
      </c>
      <c r="O181" s="18">
        <v>2.8051635999999999E-6</v>
      </c>
      <c r="P181" s="18">
        <v>8.0908033999999995E-7</v>
      </c>
      <c r="Q181" s="3">
        <v>4.3578089000000002E-3</v>
      </c>
      <c r="R181" s="3">
        <v>1.1014199E-4</v>
      </c>
      <c r="S181" s="3">
        <v>1.7923087</v>
      </c>
      <c r="T181" s="3">
        <v>1.6166964999999998E-2</v>
      </c>
      <c r="U181" s="18">
        <v>3.0539198000000003E-8</v>
      </c>
      <c r="V181" s="18">
        <v>9.3241632999999996E-10</v>
      </c>
      <c r="W181" s="3">
        <v>7.9134113000000001E-4</v>
      </c>
      <c r="X181" s="3" t="s">
        <v>94</v>
      </c>
    </row>
    <row r="182" spans="1:24" x14ac:dyDescent="0.3">
      <c r="A182" s="17" t="s">
        <v>111</v>
      </c>
      <c r="C182" s="10">
        <v>172</v>
      </c>
      <c r="D182" s="3">
        <v>152</v>
      </c>
      <c r="E182" s="21">
        <f t="shared" si="5"/>
        <v>176</v>
      </c>
      <c r="F182" s="3">
        <v>6.3716999999999997</v>
      </c>
      <c r="G182" s="16">
        <v>2883.37</v>
      </c>
      <c r="H182" s="13">
        <f t="shared" si="6"/>
        <v>0.80289651677289819</v>
      </c>
      <c r="I182" s="18">
        <v>452528000</v>
      </c>
      <c r="J182" s="18">
        <v>9731.24</v>
      </c>
      <c r="K182" s="3">
        <v>6.4477248000000001E-2</v>
      </c>
      <c r="L182" s="3">
        <v>6.7195399000000004E-4</v>
      </c>
      <c r="M182" s="18">
        <v>7.4422609999999999E-6</v>
      </c>
      <c r="N182" s="18">
        <v>1.2387950000000001E-7</v>
      </c>
      <c r="O182" s="18">
        <v>4.4358861000000001E-6</v>
      </c>
      <c r="P182" s="18">
        <v>8.3227535000000001E-7</v>
      </c>
      <c r="Q182" s="3">
        <v>5.7848094000000003E-3</v>
      </c>
      <c r="R182" s="3">
        <v>1.3126016E-4</v>
      </c>
      <c r="S182" s="3">
        <v>2.5517045999999999</v>
      </c>
      <c r="T182" s="3">
        <v>1.4610359E-2</v>
      </c>
      <c r="U182" s="18">
        <v>2.8730582E-8</v>
      </c>
      <c r="V182" s="18">
        <v>7.8763251999999995E-10</v>
      </c>
      <c r="W182" s="3">
        <v>1.0221010999999999E-3</v>
      </c>
      <c r="X182" s="3" t="s">
        <v>95</v>
      </c>
    </row>
    <row r="183" spans="1:24" x14ac:dyDescent="0.3">
      <c r="A183" s="17" t="s">
        <v>111</v>
      </c>
      <c r="C183" s="10">
        <v>176</v>
      </c>
      <c r="D183" s="3">
        <v>156</v>
      </c>
      <c r="E183" s="21">
        <f t="shared" si="5"/>
        <v>180</v>
      </c>
      <c r="F183" s="3">
        <v>6.3716999999999997</v>
      </c>
      <c r="G183" s="16">
        <v>2926.65</v>
      </c>
      <c r="H183" s="13">
        <f t="shared" si="6"/>
        <v>0.81494816510312684</v>
      </c>
      <c r="I183" s="18">
        <v>459320000</v>
      </c>
      <c r="J183" s="18">
        <v>7901.1</v>
      </c>
      <c r="K183" s="3">
        <v>6.9137667E-2</v>
      </c>
      <c r="L183" s="3">
        <v>6.9463605999999997E-4</v>
      </c>
      <c r="M183" s="18">
        <v>7.4384902E-6</v>
      </c>
      <c r="N183" s="18">
        <v>1.2013079999999999E-7</v>
      </c>
      <c r="O183" s="18">
        <v>8.3882108000000006E-6</v>
      </c>
      <c r="P183" s="18">
        <v>7.6529528000000003E-7</v>
      </c>
      <c r="Q183" s="3">
        <v>6.5233612000000002E-3</v>
      </c>
      <c r="R183" s="3">
        <v>1.3007631999999999E-4</v>
      </c>
      <c r="S183" s="3">
        <v>1.5587838999999999</v>
      </c>
      <c r="T183" s="3">
        <v>1.2786122E-2</v>
      </c>
      <c r="U183" s="18">
        <v>2.985926E-8</v>
      </c>
      <c r="V183" s="18">
        <v>7.1908835000000004E-10</v>
      </c>
      <c r="W183" s="3">
        <v>9.8789492000000002E-4</v>
      </c>
      <c r="X183" s="3" t="s">
        <v>96</v>
      </c>
    </row>
    <row r="184" spans="1:24" x14ac:dyDescent="0.3">
      <c r="A184" s="17" t="s">
        <v>111</v>
      </c>
      <c r="C184" s="10">
        <v>180</v>
      </c>
      <c r="D184" s="3">
        <v>160</v>
      </c>
      <c r="E184" s="21">
        <f t="shared" si="5"/>
        <v>184</v>
      </c>
      <c r="F184" s="3">
        <v>6.3716999999999997</v>
      </c>
      <c r="G184" s="16">
        <v>2953.42</v>
      </c>
      <c r="H184" s="13">
        <f t="shared" si="6"/>
        <v>0.82240247715950887</v>
      </c>
      <c r="I184" s="18">
        <v>463522000</v>
      </c>
      <c r="J184" s="18">
        <v>8028.48</v>
      </c>
      <c r="K184" s="3">
        <v>6.9839799999999994E-2</v>
      </c>
      <c r="L184" s="3">
        <v>6.5960604999999999E-4</v>
      </c>
      <c r="M184" s="18">
        <v>7.7588338000000008E-6</v>
      </c>
      <c r="N184" s="18">
        <v>1.0964362E-7</v>
      </c>
      <c r="O184" s="18">
        <v>1.0029816000000001E-5</v>
      </c>
      <c r="P184" s="18">
        <v>6.8684414999999999E-7</v>
      </c>
      <c r="Q184" s="3">
        <v>5.9425996999999996E-3</v>
      </c>
      <c r="R184" s="3">
        <v>1.1942348E-4</v>
      </c>
      <c r="S184" s="3">
        <v>1.1551309999999999</v>
      </c>
      <c r="T184" s="3">
        <v>1.2883906000000001E-2</v>
      </c>
      <c r="U184" s="18">
        <v>2.9436811E-8</v>
      </c>
      <c r="V184" s="18">
        <v>7.1105000999999998E-10</v>
      </c>
      <c r="W184" s="3">
        <v>1.2452702E-3</v>
      </c>
      <c r="X184" s="3" t="s">
        <v>97</v>
      </c>
    </row>
    <row r="185" spans="1:24" x14ac:dyDescent="0.3">
      <c r="A185" s="17" t="s">
        <v>111</v>
      </c>
      <c r="C185" s="10">
        <v>184</v>
      </c>
      <c r="D185" s="3">
        <v>164</v>
      </c>
      <c r="E185" s="21">
        <f t="shared" si="5"/>
        <v>188</v>
      </c>
      <c r="F185" s="3">
        <v>6.3716999999999997</v>
      </c>
      <c r="G185" s="16">
        <v>2952.27</v>
      </c>
      <c r="H185" s="13">
        <f t="shared" si="6"/>
        <v>0.82208225082910769</v>
      </c>
      <c r="I185" s="18">
        <v>463342000</v>
      </c>
      <c r="J185" s="18">
        <v>6683.34</v>
      </c>
      <c r="K185" s="3">
        <v>7.2833778000000002E-2</v>
      </c>
      <c r="L185" s="3">
        <v>6.3056527000000004E-4</v>
      </c>
      <c r="M185" s="18">
        <v>7.5560588E-6</v>
      </c>
      <c r="N185" s="18">
        <v>1.0709947E-7</v>
      </c>
      <c r="O185" s="18">
        <v>1.3507484E-5</v>
      </c>
      <c r="P185" s="18">
        <v>6.0625052E-7</v>
      </c>
      <c r="Q185" s="3">
        <v>6.1173814999999996E-3</v>
      </c>
      <c r="R185" s="3">
        <v>1.2118415999999999E-4</v>
      </c>
      <c r="S185" s="3">
        <v>2.2466170999999999</v>
      </c>
      <c r="T185" s="3">
        <v>1.2774848E-2</v>
      </c>
      <c r="U185" s="18">
        <v>2.9102913000000001E-8</v>
      </c>
      <c r="V185" s="18">
        <v>7.0010087000000004E-10</v>
      </c>
      <c r="W185" s="3">
        <v>9.4652386000000004E-4</v>
      </c>
      <c r="X185" s="3" t="s">
        <v>98</v>
      </c>
    </row>
    <row r="186" spans="1:24" x14ac:dyDescent="0.3">
      <c r="A186" s="17" t="s">
        <v>111</v>
      </c>
      <c r="C186" s="10">
        <v>188</v>
      </c>
      <c r="D186" s="3">
        <v>168</v>
      </c>
      <c r="E186" s="21">
        <f t="shared" si="5"/>
        <v>192</v>
      </c>
      <c r="F186" s="3">
        <v>6.3716999999999997</v>
      </c>
      <c r="G186" s="16">
        <v>2971.34</v>
      </c>
      <c r="H186" s="13">
        <f t="shared" si="6"/>
        <v>0.82739243876019508</v>
      </c>
      <c r="I186" s="18">
        <v>466334000</v>
      </c>
      <c r="J186" s="18">
        <v>5191.13</v>
      </c>
      <c r="K186" s="3">
        <v>6.8150561999999998E-2</v>
      </c>
      <c r="L186" s="3">
        <v>6.6673457999999995E-4</v>
      </c>
      <c r="M186" s="18">
        <v>7.7495030000000008E-6</v>
      </c>
      <c r="N186" s="18">
        <v>1.1509603E-7</v>
      </c>
      <c r="O186" s="18">
        <v>1.2256505000000001E-5</v>
      </c>
      <c r="P186" s="18">
        <v>6.9046635000000001E-7</v>
      </c>
      <c r="Q186" s="3">
        <v>7.7838550999999997E-3</v>
      </c>
      <c r="R186" s="3">
        <v>1.1889308999999999E-4</v>
      </c>
      <c r="S186" s="3">
        <v>1.0529010999999999</v>
      </c>
      <c r="T186" s="3">
        <v>9.8113043000000004E-3</v>
      </c>
      <c r="U186" s="18">
        <v>2.9988671000000002E-8</v>
      </c>
      <c r="V186" s="18">
        <v>5.5261205000000005E-10</v>
      </c>
      <c r="W186" s="3">
        <v>1.4910187E-3</v>
      </c>
      <c r="X186" s="3" t="s">
        <v>99</v>
      </c>
    </row>
    <row r="187" spans="1:24" x14ac:dyDescent="0.3">
      <c r="A187" s="17" t="s">
        <v>112</v>
      </c>
      <c r="C187" s="3">
        <v>-4</v>
      </c>
      <c r="E187">
        <f>C187+8</f>
        <v>4</v>
      </c>
      <c r="F187" s="3">
        <v>6.3916300000000001</v>
      </c>
      <c r="G187" s="16">
        <v>2912.63</v>
      </c>
      <c r="H187" s="13">
        <f t="shared" si="6"/>
        <v>0.8110441884490186</v>
      </c>
      <c r="I187" s="18">
        <v>455695000</v>
      </c>
      <c r="J187" s="18">
        <v>15171.9</v>
      </c>
      <c r="K187" s="3">
        <v>6.4395870999999993E-2</v>
      </c>
      <c r="L187" s="18">
        <v>9.3543416999999996E-5</v>
      </c>
      <c r="M187" s="18">
        <v>6.3280061999999999E-6</v>
      </c>
      <c r="N187" s="18">
        <v>6.0310939999999997E-8</v>
      </c>
      <c r="O187" s="18">
        <v>1.3516509E-8</v>
      </c>
      <c r="P187" s="3" t="s">
        <v>31</v>
      </c>
      <c r="Q187" s="3">
        <v>4.8798438999999999E-3</v>
      </c>
      <c r="R187" s="3">
        <v>1.3757352999999999E-4</v>
      </c>
      <c r="S187" s="3">
        <v>1.2715394</v>
      </c>
      <c r="T187" s="3">
        <v>1.8206057000000001E-2</v>
      </c>
      <c r="U187" s="18">
        <v>2.9182776999999999E-8</v>
      </c>
      <c r="V187" s="18">
        <v>9.8596256E-10</v>
      </c>
      <c r="W187" s="3">
        <v>-5.7152240000000001E-4</v>
      </c>
      <c r="X187" s="3">
        <v>1.4957830999999999E-4</v>
      </c>
    </row>
    <row r="188" spans="1:24" x14ac:dyDescent="0.3">
      <c r="A188" s="17" t="s">
        <v>112</v>
      </c>
      <c r="C188" s="3">
        <v>0</v>
      </c>
      <c r="E188">
        <f t="shared" ref="E188:E235" si="7">C188+8</f>
        <v>8</v>
      </c>
      <c r="F188" s="3">
        <v>6.3916300000000001</v>
      </c>
      <c r="G188" s="16">
        <v>2918.54</v>
      </c>
      <c r="H188" s="13">
        <f t="shared" si="6"/>
        <v>0.81268987332960196</v>
      </c>
      <c r="I188" s="18">
        <v>456619000</v>
      </c>
      <c r="J188" s="18">
        <v>8013.65</v>
      </c>
      <c r="K188" s="3">
        <v>6.7707664000000001E-2</v>
      </c>
      <c r="L188" s="3">
        <v>1.0572402999999999E-4</v>
      </c>
      <c r="M188" s="18">
        <v>5.9761465999999999E-6</v>
      </c>
      <c r="N188" s="18">
        <v>5.9617039000000006E-8</v>
      </c>
      <c r="O188" s="18">
        <v>6.0372689000000002E-9</v>
      </c>
      <c r="P188" s="3" t="s">
        <v>31</v>
      </c>
      <c r="Q188" s="3">
        <v>7.0321326000000002E-3</v>
      </c>
      <c r="R188" s="3">
        <v>1.4070156000000001E-4</v>
      </c>
      <c r="S188" s="3">
        <v>1.1328841999999999</v>
      </c>
      <c r="T188" s="3">
        <v>1.2895047E-2</v>
      </c>
      <c r="U188" s="18">
        <v>2.9826280000000002E-8</v>
      </c>
      <c r="V188" s="18">
        <v>7.1726159999999995E-10</v>
      </c>
      <c r="W188" s="3">
        <v>-1.4169399E-3</v>
      </c>
      <c r="X188" s="3">
        <v>1.7029953E-4</v>
      </c>
    </row>
    <row r="189" spans="1:24" x14ac:dyDescent="0.3">
      <c r="A189" s="17" t="s">
        <v>112</v>
      </c>
      <c r="C189" s="3">
        <v>4</v>
      </c>
      <c r="E189">
        <f t="shared" si="7"/>
        <v>12</v>
      </c>
      <c r="F189" s="3">
        <v>6.3916300000000001</v>
      </c>
      <c r="G189" s="16">
        <v>2883.85</v>
      </c>
      <c r="H189" s="13">
        <f t="shared" si="6"/>
        <v>0.80303017645863095</v>
      </c>
      <c r="I189" s="18">
        <v>451191000</v>
      </c>
      <c r="J189" s="18">
        <v>7186.27</v>
      </c>
      <c r="K189" s="3">
        <v>6.4948354E-2</v>
      </c>
      <c r="L189" s="3">
        <v>7.3105559000000001E-4</v>
      </c>
      <c r="M189" s="18">
        <v>6.4707756000000004E-6</v>
      </c>
      <c r="N189" s="18">
        <v>1.4228754999999999E-7</v>
      </c>
      <c r="O189" s="18">
        <v>3.1649782999999998E-6</v>
      </c>
      <c r="P189" s="18">
        <v>1.0145233E-6</v>
      </c>
      <c r="Q189" s="3">
        <v>5.2691144000000002E-3</v>
      </c>
      <c r="R189" s="3">
        <v>1.4172197000000001E-4</v>
      </c>
      <c r="S189" s="3">
        <v>1.1232368E-2</v>
      </c>
      <c r="T189" s="3">
        <v>1.7071003000000001E-2</v>
      </c>
      <c r="U189" s="18">
        <v>3.2176259000000003E-8</v>
      </c>
      <c r="V189" s="18">
        <v>1.0370190999999999E-9</v>
      </c>
      <c r="W189" s="3">
        <v>-6.2690192000000003E-4</v>
      </c>
      <c r="X189" s="3">
        <v>2.6229600000000002E-4</v>
      </c>
    </row>
    <row r="190" spans="1:24" x14ac:dyDescent="0.3">
      <c r="A190" s="17" t="s">
        <v>112</v>
      </c>
      <c r="C190" s="3">
        <v>8</v>
      </c>
      <c r="E190">
        <f t="shared" si="7"/>
        <v>16</v>
      </c>
      <c r="F190" s="3">
        <v>6.3916300000000001</v>
      </c>
      <c r="G190" s="16">
        <v>2833.31</v>
      </c>
      <c r="H190" s="13">
        <f t="shared" si="6"/>
        <v>0.78895692538169582</v>
      </c>
      <c r="I190" s="18">
        <v>443284000</v>
      </c>
      <c r="J190" s="18">
        <v>9187.4500000000007</v>
      </c>
      <c r="K190" s="3">
        <v>6.5893090000000001E-2</v>
      </c>
      <c r="L190" s="3">
        <v>6.2212181999999998E-4</v>
      </c>
      <c r="M190" s="18">
        <v>6.1667863999999998E-6</v>
      </c>
      <c r="N190" s="18">
        <v>1.2857138E-7</v>
      </c>
      <c r="O190" s="18">
        <v>8.5867548999999996E-7</v>
      </c>
      <c r="P190" s="18">
        <v>9.0218028999999999E-7</v>
      </c>
      <c r="Q190" s="3">
        <v>5.6574751E-3</v>
      </c>
      <c r="R190" s="3">
        <v>1.3176927000000001E-4</v>
      </c>
      <c r="S190" s="3">
        <v>1.9014173000000001</v>
      </c>
      <c r="T190" s="3">
        <v>1.4938473000000001E-2</v>
      </c>
      <c r="U190" s="18">
        <v>3.1911219999999998E-8</v>
      </c>
      <c r="V190" s="18">
        <v>9.0286648999999998E-10</v>
      </c>
      <c r="W190" s="3">
        <v>-1.0009127999999999E-3</v>
      </c>
      <c r="X190" s="3">
        <v>2.6729082999999999E-4</v>
      </c>
    </row>
    <row r="191" spans="1:24" x14ac:dyDescent="0.3">
      <c r="A191" s="17" t="s">
        <v>112</v>
      </c>
      <c r="C191" s="3">
        <v>12</v>
      </c>
      <c r="E191">
        <f t="shared" si="7"/>
        <v>20</v>
      </c>
      <c r="F191" s="3">
        <v>6.3916300000000001</v>
      </c>
      <c r="G191" s="16">
        <v>2782.36</v>
      </c>
      <c r="H191" s="13">
        <f t="shared" si="6"/>
        <v>0.77476950665653088</v>
      </c>
      <c r="I191" s="18">
        <v>435314000</v>
      </c>
      <c r="J191" s="18">
        <v>23182.9</v>
      </c>
      <c r="K191" s="3">
        <v>5.4504240000000002E-2</v>
      </c>
      <c r="L191" s="18">
        <v>8.1848411000000004E-5</v>
      </c>
      <c r="M191" s="18">
        <v>6.4668063000000001E-6</v>
      </c>
      <c r="N191" s="18">
        <v>6.4335008000000003E-8</v>
      </c>
      <c r="O191" s="18">
        <v>1.0192354E-10</v>
      </c>
      <c r="P191" s="3" t="s">
        <v>31</v>
      </c>
      <c r="Q191" s="3">
        <v>3.3843727999999999E-3</v>
      </c>
      <c r="R191" s="3">
        <v>1.2723043999999999E-4</v>
      </c>
      <c r="S191" s="3">
        <v>1.5835092</v>
      </c>
      <c r="T191" s="3">
        <v>2.3994345E-2</v>
      </c>
      <c r="U191" s="18">
        <v>2.8718101999999999E-8</v>
      </c>
      <c r="V191" s="18">
        <v>1.2783710999999999E-9</v>
      </c>
      <c r="W191" s="3">
        <v>-3.6266769000000001E-4</v>
      </c>
      <c r="X191" s="3">
        <v>1.3017749999999999E-4</v>
      </c>
    </row>
    <row r="192" spans="1:24" x14ac:dyDescent="0.3">
      <c r="A192" s="17" t="s">
        <v>112</v>
      </c>
      <c r="C192" s="3">
        <v>16</v>
      </c>
      <c r="E192">
        <f t="shared" si="7"/>
        <v>24</v>
      </c>
      <c r="F192" s="3">
        <v>6.3916300000000001</v>
      </c>
      <c r="G192" s="16">
        <v>2739.77</v>
      </c>
      <c r="H192" s="13">
        <f t="shared" si="6"/>
        <v>0.76290999412454297</v>
      </c>
      <c r="I192" s="18">
        <v>428650000</v>
      </c>
      <c r="J192" s="18">
        <v>11277.2</v>
      </c>
      <c r="K192" s="3">
        <v>7.1325009999999994E-2</v>
      </c>
      <c r="L192" s="3">
        <v>6.7032210000000003E-4</v>
      </c>
      <c r="M192" s="18">
        <v>6.2637844000000002E-6</v>
      </c>
      <c r="N192" s="18">
        <v>1.2055345E-7</v>
      </c>
      <c r="O192" s="18">
        <v>1.6865526000000001E-6</v>
      </c>
      <c r="P192" s="18">
        <v>8.8375140000000001E-7</v>
      </c>
      <c r="Q192" s="3">
        <v>6.8745307999999996E-3</v>
      </c>
      <c r="R192" s="3">
        <v>1.4557711999999999E-4</v>
      </c>
      <c r="S192" s="3">
        <v>0.99071580999999997</v>
      </c>
      <c r="T192" s="3">
        <v>1.3406568000000001E-2</v>
      </c>
      <c r="U192" s="18">
        <v>2.8619592E-8</v>
      </c>
      <c r="V192" s="18">
        <v>7.0731381000000003E-10</v>
      </c>
      <c r="W192" s="3">
        <v>-1.2496877E-3</v>
      </c>
      <c r="X192" s="3">
        <v>2.5965480000000001E-4</v>
      </c>
    </row>
    <row r="193" spans="1:24" x14ac:dyDescent="0.3">
      <c r="A193" s="17" t="s">
        <v>112</v>
      </c>
      <c r="C193" s="3">
        <v>20</v>
      </c>
      <c r="E193">
        <f t="shared" si="7"/>
        <v>28</v>
      </c>
      <c r="F193" s="3">
        <v>6.3916300000000001</v>
      </c>
      <c r="G193" s="16">
        <v>2705.83</v>
      </c>
      <c r="H193" s="13">
        <f t="shared" si="6"/>
        <v>0.75345914051252916</v>
      </c>
      <c r="I193" s="18">
        <v>423339000</v>
      </c>
      <c r="J193" s="18">
        <v>8269.7900000000009</v>
      </c>
      <c r="K193" s="3">
        <v>6.4533511000000002E-2</v>
      </c>
      <c r="L193" s="3">
        <v>5.9580023000000001E-4</v>
      </c>
      <c r="M193" s="18">
        <v>6.170006E-6</v>
      </c>
      <c r="N193" s="18">
        <v>1.2416131000000001E-7</v>
      </c>
      <c r="O193" s="18">
        <v>8.7515743999999999E-7</v>
      </c>
      <c r="P193" s="18">
        <v>8.8328504000000002E-7</v>
      </c>
      <c r="Q193" s="3">
        <v>6.3723080999999997E-3</v>
      </c>
      <c r="R193" s="3">
        <v>1.2354725000000001E-4</v>
      </c>
      <c r="S193" s="3">
        <v>2.5927335999999999</v>
      </c>
      <c r="T193" s="3">
        <v>1.2445081E-2</v>
      </c>
      <c r="U193" s="18">
        <v>3.2049514000000003E-8</v>
      </c>
      <c r="V193" s="18">
        <v>7.5206337000000001E-10</v>
      </c>
      <c r="W193" s="3">
        <v>-1.1920297000000001E-3</v>
      </c>
      <c r="X193" s="3">
        <v>2.5182113999999998E-4</v>
      </c>
    </row>
    <row r="194" spans="1:24" x14ac:dyDescent="0.3">
      <c r="A194" s="17" t="s">
        <v>112</v>
      </c>
      <c r="C194" s="3">
        <v>24</v>
      </c>
      <c r="E194">
        <f t="shared" si="7"/>
        <v>32</v>
      </c>
      <c r="F194" s="3">
        <v>6.3916300000000001</v>
      </c>
      <c r="G194" s="16">
        <v>2674.53</v>
      </c>
      <c r="H194" s="13">
        <f t="shared" si="6"/>
        <v>0.74474341517204512</v>
      </c>
      <c r="I194" s="18">
        <v>418443000</v>
      </c>
      <c r="J194" s="18">
        <v>12149.5</v>
      </c>
      <c r="K194" s="3">
        <v>6.3344041000000004E-2</v>
      </c>
      <c r="L194" s="18">
        <v>9.2169402999999994E-5</v>
      </c>
      <c r="M194" s="18">
        <v>6.5068912999999997E-6</v>
      </c>
      <c r="N194" s="18">
        <v>6.4144235000000001E-8</v>
      </c>
      <c r="O194" s="18">
        <v>8.2857113999999997E-10</v>
      </c>
      <c r="P194" s="3" t="s">
        <v>31</v>
      </c>
      <c r="Q194" s="3">
        <v>4.8261331000000003E-3</v>
      </c>
      <c r="R194" s="3">
        <v>1.4455062999999999E-4</v>
      </c>
      <c r="S194" s="3">
        <v>-0.50168482000000003</v>
      </c>
      <c r="T194" s="3">
        <v>1.8694992000000001E-2</v>
      </c>
      <c r="U194" s="18">
        <v>3.0812369E-8</v>
      </c>
      <c r="V194" s="18">
        <v>1.0692901E-9</v>
      </c>
      <c r="W194" s="3">
        <v>-4.6794308000000002E-4</v>
      </c>
      <c r="X194" s="3">
        <v>1.4773402999999999E-4</v>
      </c>
    </row>
    <row r="195" spans="1:24" x14ac:dyDescent="0.3">
      <c r="A195" s="17" t="s">
        <v>112</v>
      </c>
      <c r="C195" s="3">
        <v>28</v>
      </c>
      <c r="E195">
        <f t="shared" si="7"/>
        <v>36</v>
      </c>
      <c r="F195" s="3">
        <v>6.3916300000000001</v>
      </c>
      <c r="G195" s="16">
        <v>2649.28</v>
      </c>
      <c r="H195" s="13">
        <f t="shared" si="6"/>
        <v>0.7377123587871498</v>
      </c>
      <c r="I195" s="18">
        <v>414492000</v>
      </c>
      <c r="J195" s="18">
        <v>12192.7</v>
      </c>
      <c r="K195" s="3">
        <v>6.3312155999999994E-2</v>
      </c>
      <c r="L195" s="18">
        <v>9.1057839999999997E-5</v>
      </c>
      <c r="M195" s="18">
        <v>6.6340655000000004E-6</v>
      </c>
      <c r="N195" s="18">
        <v>6.3348503999999994E-8</v>
      </c>
      <c r="O195" s="18">
        <v>6.0482569999999998E-9</v>
      </c>
      <c r="P195" s="3" t="s">
        <v>31</v>
      </c>
      <c r="Q195" s="3">
        <v>5.7108927000000002E-3</v>
      </c>
      <c r="R195" s="3">
        <v>1.3657592000000001E-4</v>
      </c>
      <c r="S195" s="3">
        <v>2.8704402999999998</v>
      </c>
      <c r="T195" s="3">
        <v>1.5382951000000001E-2</v>
      </c>
      <c r="U195" s="18">
        <v>3.0660101E-8</v>
      </c>
      <c r="V195" s="18">
        <v>8.8037833999999996E-10</v>
      </c>
      <c r="W195" s="3">
        <v>-6.0530401000000005E-4</v>
      </c>
      <c r="X195" s="3">
        <v>1.4309663999999999E-4</v>
      </c>
    </row>
    <row r="196" spans="1:24" x14ac:dyDescent="0.3">
      <c r="A196" s="17" t="s">
        <v>112</v>
      </c>
      <c r="C196" s="3">
        <v>32</v>
      </c>
      <c r="E196">
        <f t="shared" si="7"/>
        <v>40</v>
      </c>
      <c r="F196" s="3">
        <v>6.3916300000000001</v>
      </c>
      <c r="G196" s="16">
        <v>2668.04</v>
      </c>
      <c r="H196" s="13">
        <f t="shared" si="6"/>
        <v>0.74293622483786803</v>
      </c>
      <c r="I196" s="18">
        <v>417427000</v>
      </c>
      <c r="J196" s="18">
        <v>11740.9</v>
      </c>
      <c r="K196" s="3">
        <v>6.8402544999999995E-2</v>
      </c>
      <c r="L196" s="3">
        <v>6.3575809000000001E-4</v>
      </c>
      <c r="M196" s="18">
        <v>5.9360050999999999E-6</v>
      </c>
      <c r="N196" s="18">
        <v>1.2791374E-7</v>
      </c>
      <c r="O196" s="18">
        <v>2.7549965E-7</v>
      </c>
      <c r="P196" s="18">
        <v>9.2395886999999995E-7</v>
      </c>
      <c r="Q196" s="3">
        <v>4.8399795999999997E-3</v>
      </c>
      <c r="R196" s="3">
        <v>1.3663725999999999E-4</v>
      </c>
      <c r="S196" s="3">
        <v>2.5355875000000001</v>
      </c>
      <c r="T196" s="3">
        <v>1.8127066000000001E-2</v>
      </c>
      <c r="U196" s="18">
        <v>3.1691003999999997E-8</v>
      </c>
      <c r="V196" s="18">
        <v>1.0760398999999999E-9</v>
      </c>
      <c r="W196" s="3">
        <v>-1.8922793000000001E-3</v>
      </c>
      <c r="X196" s="3">
        <v>2.9362078E-4</v>
      </c>
    </row>
    <row r="197" spans="1:24" x14ac:dyDescent="0.3">
      <c r="A197" s="17" t="s">
        <v>112</v>
      </c>
      <c r="C197" s="3">
        <v>36</v>
      </c>
      <c r="E197">
        <f t="shared" si="7"/>
        <v>44</v>
      </c>
      <c r="F197" s="3">
        <v>6.3916300000000001</v>
      </c>
      <c r="G197" s="16">
        <v>2673.74</v>
      </c>
      <c r="H197" s="13">
        <f t="shared" si="6"/>
        <v>0.74452343360594331</v>
      </c>
      <c r="I197" s="18">
        <v>418319000</v>
      </c>
      <c r="J197" s="18">
        <v>9579.4599999999991</v>
      </c>
      <c r="K197" s="3">
        <v>7.4247806E-2</v>
      </c>
      <c r="L197" s="3">
        <v>1.1488445E-4</v>
      </c>
      <c r="M197" s="18">
        <v>6.2028703999999997E-6</v>
      </c>
      <c r="N197" s="18">
        <v>6.2971249000000005E-8</v>
      </c>
      <c r="O197" s="18">
        <v>6.3770014E-14</v>
      </c>
      <c r="P197" s="3" t="s">
        <v>31</v>
      </c>
      <c r="Q197" s="3">
        <v>7.8557469999999997E-3</v>
      </c>
      <c r="R197" s="3">
        <v>1.7192118E-4</v>
      </c>
      <c r="S197" s="3">
        <v>2.5520991999999998</v>
      </c>
      <c r="T197" s="3">
        <v>1.4073453E-2</v>
      </c>
      <c r="U197" s="18">
        <v>2.8067640000000001E-8</v>
      </c>
      <c r="V197" s="18">
        <v>7.2452892000000003E-10</v>
      </c>
      <c r="W197" s="3">
        <v>-1.654134E-3</v>
      </c>
      <c r="X197" s="3">
        <v>1.8564572000000001E-4</v>
      </c>
    </row>
    <row r="198" spans="1:24" x14ac:dyDescent="0.3">
      <c r="A198" s="17" t="s">
        <v>112</v>
      </c>
      <c r="C198" s="3">
        <v>40</v>
      </c>
      <c r="E198">
        <f t="shared" si="7"/>
        <v>48</v>
      </c>
      <c r="F198" s="3">
        <v>6.3916300000000001</v>
      </c>
      <c r="G198" s="16">
        <v>2703.25</v>
      </c>
      <c r="H198" s="13">
        <f t="shared" si="6"/>
        <v>0.75274071970171608</v>
      </c>
      <c r="I198" s="18">
        <v>422936000</v>
      </c>
      <c r="J198" s="18">
        <v>8933.26</v>
      </c>
      <c r="K198" s="3">
        <v>6.8395593000000005E-2</v>
      </c>
      <c r="L198" s="3">
        <v>7.3865841999999995E-4</v>
      </c>
      <c r="M198" s="18">
        <v>6.4919812000000003E-6</v>
      </c>
      <c r="N198" s="18">
        <v>1.3486646000000001E-7</v>
      </c>
      <c r="O198" s="18">
        <v>2.0168610000000002E-8</v>
      </c>
      <c r="P198" s="18">
        <v>1.0058484999999999E-6</v>
      </c>
      <c r="Q198" s="3">
        <v>6.9458104999999999E-3</v>
      </c>
      <c r="R198" s="3">
        <v>1.5080869E-4</v>
      </c>
      <c r="S198" s="3">
        <v>2.2390838</v>
      </c>
      <c r="T198" s="3">
        <v>1.3994177999999999E-2</v>
      </c>
      <c r="U198" s="18">
        <v>2.9596272E-8</v>
      </c>
      <c r="V198" s="18">
        <v>7.6317491000000002E-10</v>
      </c>
      <c r="W198" s="3">
        <v>-9.5435769000000003E-4</v>
      </c>
      <c r="X198" s="3">
        <v>2.6457733999999999E-4</v>
      </c>
    </row>
    <row r="199" spans="1:24" x14ac:dyDescent="0.3">
      <c r="A199" s="17" t="s">
        <v>112</v>
      </c>
      <c r="C199" s="3">
        <v>44</v>
      </c>
      <c r="E199">
        <f t="shared" si="7"/>
        <v>52</v>
      </c>
      <c r="F199" s="3">
        <v>6.3916300000000001</v>
      </c>
      <c r="G199" s="16">
        <v>2738.57</v>
      </c>
      <c r="H199" s="13">
        <f t="shared" si="6"/>
        <v>0.76257584491021135</v>
      </c>
      <c r="I199" s="18">
        <v>428463000</v>
      </c>
      <c r="J199" s="18">
        <v>13907.1</v>
      </c>
      <c r="K199" s="3">
        <v>7.2592988999999997E-2</v>
      </c>
      <c r="L199" s="3">
        <v>7.1184481999999997E-4</v>
      </c>
      <c r="M199" s="18">
        <v>6.3735894999999999E-6</v>
      </c>
      <c r="N199" s="18">
        <v>1.3033270999999999E-7</v>
      </c>
      <c r="O199" s="18">
        <v>1.600372E-6</v>
      </c>
      <c r="P199" s="18">
        <v>9.0530892E-7</v>
      </c>
      <c r="Q199" s="3">
        <v>5.7978166999999997E-3</v>
      </c>
      <c r="R199" s="3">
        <v>1.6390862000000001E-4</v>
      </c>
      <c r="S199" s="3">
        <v>2.7963355999999999</v>
      </c>
      <c r="T199" s="3">
        <v>1.7993968999999999E-2</v>
      </c>
      <c r="U199" s="18">
        <v>2.7899366999999998E-8</v>
      </c>
      <c r="V199" s="18">
        <v>9.3711142E-10</v>
      </c>
      <c r="W199" s="3">
        <v>-1.1684229E-3</v>
      </c>
      <c r="X199" s="3">
        <v>2.8120339000000001E-4</v>
      </c>
    </row>
    <row r="200" spans="1:24" x14ac:dyDescent="0.3">
      <c r="A200" s="17" t="s">
        <v>112</v>
      </c>
      <c r="C200" s="3">
        <v>48</v>
      </c>
      <c r="E200">
        <f t="shared" si="7"/>
        <v>56</v>
      </c>
      <c r="F200" s="3">
        <v>6.3916300000000001</v>
      </c>
      <c r="G200" s="16">
        <v>2714.81</v>
      </c>
      <c r="H200" s="13">
        <f t="shared" si="6"/>
        <v>0.7559596904664444</v>
      </c>
      <c r="I200" s="18">
        <v>424744000</v>
      </c>
      <c r="J200" s="18">
        <v>15732.8</v>
      </c>
      <c r="K200" s="3">
        <v>7.4251498999999999E-2</v>
      </c>
      <c r="L200" s="3">
        <v>7.2132993999999998E-4</v>
      </c>
      <c r="M200" s="18">
        <v>6.2706348999999997E-6</v>
      </c>
      <c r="N200" s="18">
        <v>1.2711519000000001E-7</v>
      </c>
      <c r="O200" s="18">
        <v>2.3897032999999999E-6</v>
      </c>
      <c r="P200" s="18">
        <v>9.0379518999999995E-7</v>
      </c>
      <c r="Q200" s="3">
        <v>5.4596072999999997E-3</v>
      </c>
      <c r="R200" s="3">
        <v>1.7624559999999999E-4</v>
      </c>
      <c r="S200" s="3">
        <v>1.9940503999999999</v>
      </c>
      <c r="T200" s="3">
        <v>2.0442090999999999E-2</v>
      </c>
      <c r="U200" s="18">
        <v>2.5482665E-8</v>
      </c>
      <c r="V200" s="18">
        <v>9.4655196000000005E-10</v>
      </c>
      <c r="W200" s="3">
        <v>-1.3717859E-3</v>
      </c>
      <c r="X200" s="3">
        <v>2.8490717999999997E-4</v>
      </c>
    </row>
    <row r="201" spans="1:24" x14ac:dyDescent="0.3">
      <c r="A201" s="17" t="s">
        <v>112</v>
      </c>
      <c r="C201" s="3">
        <v>52</v>
      </c>
      <c r="E201">
        <f t="shared" si="7"/>
        <v>60</v>
      </c>
      <c r="F201" s="3">
        <v>6.3916300000000001</v>
      </c>
      <c r="G201" s="16">
        <v>2797.16</v>
      </c>
      <c r="H201" s="13">
        <f t="shared" si="6"/>
        <v>0.77889068029995456</v>
      </c>
      <c r="I201" s="18">
        <v>437629000</v>
      </c>
      <c r="J201" s="18">
        <v>16900.400000000001</v>
      </c>
      <c r="K201" s="3">
        <v>6.0219723000000003E-2</v>
      </c>
      <c r="L201" s="3">
        <v>6.3842426999999996E-4</v>
      </c>
      <c r="M201" s="18">
        <v>6.2894061999999999E-6</v>
      </c>
      <c r="N201" s="18">
        <v>1.3685181000000001E-7</v>
      </c>
      <c r="O201" s="18">
        <v>1.6876708999999999E-8</v>
      </c>
      <c r="P201" s="18">
        <v>1.0089344E-6</v>
      </c>
      <c r="Q201" s="3">
        <v>6.1785994E-3</v>
      </c>
      <c r="R201" s="3">
        <v>1.8520223000000001E-4</v>
      </c>
      <c r="S201" s="3">
        <v>1.0485827000000001</v>
      </c>
      <c r="T201" s="3">
        <v>1.866371E-2</v>
      </c>
      <c r="U201" s="18">
        <v>2.1175134999999999E-8</v>
      </c>
      <c r="V201" s="18">
        <v>6.9713879999999996E-10</v>
      </c>
      <c r="W201" s="3">
        <v>-1.3937621E-3</v>
      </c>
      <c r="X201" s="3">
        <v>2.5003967E-4</v>
      </c>
    </row>
    <row r="202" spans="1:24" x14ac:dyDescent="0.3">
      <c r="A202" s="17" t="s">
        <v>112</v>
      </c>
      <c r="C202" s="3">
        <v>56</v>
      </c>
      <c r="E202">
        <f t="shared" si="7"/>
        <v>64</v>
      </c>
      <c r="F202" s="3">
        <v>6.3916300000000001</v>
      </c>
      <c r="G202" s="16">
        <v>2874.37</v>
      </c>
      <c r="H202" s="13">
        <f t="shared" si="6"/>
        <v>0.80039039766541076</v>
      </c>
      <c r="I202" s="18">
        <v>449708000</v>
      </c>
      <c r="J202" s="18">
        <v>12314.4</v>
      </c>
      <c r="K202" s="3">
        <v>7.3042058000000007E-2</v>
      </c>
      <c r="L202" s="3">
        <v>7.0167853999999997E-4</v>
      </c>
      <c r="M202" s="18">
        <v>6.5825613000000001E-6</v>
      </c>
      <c r="N202" s="18">
        <v>1.2794662E-7</v>
      </c>
      <c r="O202" s="18">
        <v>4.4227897999999997E-6</v>
      </c>
      <c r="P202" s="18">
        <v>8.3665732999999998E-7</v>
      </c>
      <c r="Q202" s="3">
        <v>5.3906075999999997E-3</v>
      </c>
      <c r="R202" s="3">
        <v>1.5788158999999999E-4</v>
      </c>
      <c r="S202" s="3">
        <v>2.6166241000000001</v>
      </c>
      <c r="T202" s="3">
        <v>1.8809877999999999E-2</v>
      </c>
      <c r="U202" s="18">
        <v>2.8171841000000001E-8</v>
      </c>
      <c r="V202" s="18">
        <v>9.9285542000000009E-10</v>
      </c>
      <c r="W202" s="3">
        <v>-4.5999384999999998E-4</v>
      </c>
      <c r="X202" s="3">
        <v>2.6042908999999998E-4</v>
      </c>
    </row>
    <row r="203" spans="1:24" x14ac:dyDescent="0.3">
      <c r="A203" s="17" t="s">
        <v>112</v>
      </c>
      <c r="C203" s="3">
        <v>60</v>
      </c>
      <c r="E203">
        <f t="shared" si="7"/>
        <v>68</v>
      </c>
      <c r="F203" s="3">
        <v>6.3916300000000001</v>
      </c>
      <c r="G203" s="16">
        <v>2915.04</v>
      </c>
      <c r="H203" s="13">
        <f t="shared" ref="H203:H266" si="8">G203/MAX($G$10:$G$285)</f>
        <v>0.81171527145446798</v>
      </c>
      <c r="I203" s="18">
        <v>456072000</v>
      </c>
      <c r="J203" s="18">
        <v>9303.68</v>
      </c>
      <c r="K203" s="3">
        <v>7.2990340000000001E-2</v>
      </c>
      <c r="L203" s="3">
        <v>7.4904154E-4</v>
      </c>
      <c r="M203" s="18">
        <v>6.8023151000000002E-6</v>
      </c>
      <c r="N203" s="18">
        <v>1.3091533999999999E-7</v>
      </c>
      <c r="O203" s="18">
        <v>2.4505399999999999E-6</v>
      </c>
      <c r="P203" s="18">
        <v>8.9410692999999998E-7</v>
      </c>
      <c r="Q203" s="3">
        <v>8.7669566000000004E-3</v>
      </c>
      <c r="R203" s="3">
        <v>1.7251939999999999E-4</v>
      </c>
      <c r="S203" s="3">
        <v>2.1434525</v>
      </c>
      <c r="T203" s="3">
        <v>1.261319E-2</v>
      </c>
      <c r="U203" s="18">
        <v>2.6026345999999999E-8</v>
      </c>
      <c r="V203" s="18">
        <v>6.0620417E-10</v>
      </c>
      <c r="W203" s="3">
        <v>-6.5423225000000001E-4</v>
      </c>
      <c r="X203" s="3">
        <v>2.5319223000000001E-4</v>
      </c>
    </row>
    <row r="204" spans="1:24" x14ac:dyDescent="0.3">
      <c r="A204" s="17" t="s">
        <v>112</v>
      </c>
      <c r="C204" s="3">
        <v>64</v>
      </c>
      <c r="E204">
        <f t="shared" si="7"/>
        <v>72</v>
      </c>
      <c r="F204" s="3">
        <v>6.3916300000000001</v>
      </c>
      <c r="G204" s="16">
        <v>2938.32</v>
      </c>
      <c r="H204" s="13">
        <f t="shared" si="8"/>
        <v>0.81819776621250218</v>
      </c>
      <c r="I204" s="18">
        <v>459713000</v>
      </c>
      <c r="J204" s="18">
        <v>8638.77</v>
      </c>
      <c r="K204" s="3">
        <v>6.9656181999999997E-2</v>
      </c>
      <c r="L204" s="3">
        <v>6.0542824999999995E-4</v>
      </c>
      <c r="M204" s="18">
        <v>6.3412616000000002E-6</v>
      </c>
      <c r="N204" s="18">
        <v>1.1905528E-7</v>
      </c>
      <c r="O204" s="18">
        <v>4.0514665000000001E-6</v>
      </c>
      <c r="P204" s="18">
        <v>7.8315136000000003E-7</v>
      </c>
      <c r="Q204" s="3">
        <v>4.5425973999999999E-3</v>
      </c>
      <c r="R204" s="3">
        <v>1.1812071E-4</v>
      </c>
      <c r="S204" s="3">
        <v>1.9067399</v>
      </c>
      <c r="T204" s="3">
        <v>1.6835297999999999E-2</v>
      </c>
      <c r="U204" s="18">
        <v>3.5119397999999999E-8</v>
      </c>
      <c r="V204" s="18">
        <v>1.1365871E-9</v>
      </c>
      <c r="W204" s="3">
        <v>-1.0523847E-3</v>
      </c>
      <c r="X204" s="3">
        <v>2.4693086E-4</v>
      </c>
    </row>
    <row r="205" spans="1:24" x14ac:dyDescent="0.3">
      <c r="A205" s="17" t="s">
        <v>112</v>
      </c>
      <c r="C205" s="3">
        <v>68</v>
      </c>
      <c r="E205">
        <f t="shared" si="7"/>
        <v>76</v>
      </c>
      <c r="F205" s="3">
        <v>6.3916300000000001</v>
      </c>
      <c r="G205" s="16">
        <v>2897.89</v>
      </c>
      <c r="H205" s="13">
        <f t="shared" si="8"/>
        <v>0.80693972226631128</v>
      </c>
      <c r="I205" s="18">
        <v>453389000</v>
      </c>
      <c r="J205" s="18">
        <v>10033.4</v>
      </c>
      <c r="K205" s="3">
        <v>7.2577220999999997E-2</v>
      </c>
      <c r="L205" s="3">
        <v>7.4543473000000002E-4</v>
      </c>
      <c r="M205" s="18">
        <v>6.7095401000000001E-6</v>
      </c>
      <c r="N205" s="18">
        <v>1.3461280999999999E-7</v>
      </c>
      <c r="O205" s="18">
        <v>5.8720069999999998E-6</v>
      </c>
      <c r="P205" s="18">
        <v>8.6843290000000004E-7</v>
      </c>
      <c r="Q205" s="3">
        <v>4.9124709000000003E-3</v>
      </c>
      <c r="R205" s="3">
        <v>1.4616238999999999E-4</v>
      </c>
      <c r="S205" s="3">
        <v>2.2925081999999999</v>
      </c>
      <c r="T205" s="3">
        <v>1.9238376000000001E-2</v>
      </c>
      <c r="U205" s="18">
        <v>3.2292217999999999E-8</v>
      </c>
      <c r="V205" s="18">
        <v>1.1805968000000001E-9</v>
      </c>
      <c r="W205" s="3">
        <v>-6.1693041999999997E-4</v>
      </c>
      <c r="X205" s="3">
        <v>2.6102956000000001E-4</v>
      </c>
    </row>
    <row r="206" spans="1:24" x14ac:dyDescent="0.3">
      <c r="A206" s="17" t="s">
        <v>112</v>
      </c>
      <c r="C206" s="3">
        <v>72</v>
      </c>
      <c r="E206">
        <f t="shared" si="7"/>
        <v>80</v>
      </c>
      <c r="F206" s="3">
        <v>6.3916300000000001</v>
      </c>
      <c r="G206" s="16">
        <v>2775.79</v>
      </c>
      <c r="H206" s="13">
        <f t="shared" si="8"/>
        <v>0.77294003970806491</v>
      </c>
      <c r="I206" s="18">
        <v>434285000</v>
      </c>
      <c r="J206" s="18">
        <v>240875</v>
      </c>
      <c r="K206" s="3">
        <v>6.8019120000000002E-2</v>
      </c>
      <c r="L206" s="3">
        <v>8.0247399E-4</v>
      </c>
      <c r="M206" s="18">
        <v>6.9112870999999996E-6</v>
      </c>
      <c r="N206" s="18">
        <v>1.3571992E-7</v>
      </c>
      <c r="O206" s="18">
        <v>3.9994060999999997E-8</v>
      </c>
      <c r="P206" s="18">
        <v>1.0556598999999999E-6</v>
      </c>
      <c r="Q206" s="3">
        <v>3.0625266000000001E-3</v>
      </c>
      <c r="R206" s="3">
        <v>1.7063749999999999E-4</v>
      </c>
      <c r="S206" s="3">
        <v>0.7957398</v>
      </c>
      <c r="T206" s="3">
        <v>5.6416860999999999E-2</v>
      </c>
      <c r="U206" s="18">
        <v>1.5953402E-8</v>
      </c>
      <c r="V206" s="3" t="s">
        <v>31</v>
      </c>
      <c r="W206" s="3">
        <v>-5.4907695000000001E-4</v>
      </c>
      <c r="X206" s="3">
        <v>2.3445003E-4</v>
      </c>
    </row>
    <row r="207" spans="1:24" x14ac:dyDescent="0.3">
      <c r="A207" s="17" t="s">
        <v>112</v>
      </c>
      <c r="C207" s="3">
        <v>76</v>
      </c>
      <c r="E207">
        <f t="shared" si="7"/>
        <v>84</v>
      </c>
      <c r="F207" s="3">
        <v>6.3916300000000001</v>
      </c>
      <c r="G207" s="16">
        <v>3325.78</v>
      </c>
      <c r="H207" s="13">
        <f t="shared" si="8"/>
        <v>0.92608897836662296</v>
      </c>
      <c r="I207" s="18">
        <v>520334000</v>
      </c>
      <c r="J207" s="18">
        <v>80299.600000000006</v>
      </c>
      <c r="K207" s="3">
        <v>6.7749088999999998E-2</v>
      </c>
      <c r="L207" s="3">
        <v>7.1572159000000003E-4</v>
      </c>
      <c r="M207" s="18">
        <v>6.6163798000000003E-6</v>
      </c>
      <c r="N207" s="18">
        <v>1.3814563999999999E-7</v>
      </c>
      <c r="O207" s="18">
        <v>1.5705423999999999E-6</v>
      </c>
      <c r="P207" s="18">
        <v>9.4603617000000005E-7</v>
      </c>
      <c r="Q207" s="3">
        <v>1.6732025999999999E-3</v>
      </c>
      <c r="R207" s="3">
        <v>1.5561077E-4</v>
      </c>
      <c r="S207" s="3">
        <v>3.1981979000000001E-2</v>
      </c>
      <c r="T207" s="3">
        <v>6.1221211999999997E-2</v>
      </c>
      <c r="U207" s="18">
        <v>2.8703015E-8</v>
      </c>
      <c r="V207" s="18">
        <v>3.2516064999999998E-9</v>
      </c>
      <c r="W207" s="3">
        <v>-1.0958408999999999E-3</v>
      </c>
      <c r="X207" s="3">
        <v>2.6170885E-4</v>
      </c>
    </row>
    <row r="208" spans="1:24" x14ac:dyDescent="0.3">
      <c r="A208" s="17" t="s">
        <v>112</v>
      </c>
      <c r="C208" s="3">
        <v>80</v>
      </c>
      <c r="E208">
        <f t="shared" si="7"/>
        <v>88</v>
      </c>
      <c r="F208" s="3">
        <v>6.3916300000000001</v>
      </c>
      <c r="G208" s="16">
        <v>3332.4</v>
      </c>
      <c r="H208" s="13">
        <f t="shared" si="8"/>
        <v>0.92793236819901925</v>
      </c>
      <c r="I208" s="18">
        <v>521369000</v>
      </c>
      <c r="J208" s="18">
        <v>99709.2</v>
      </c>
      <c r="K208" s="3">
        <v>6.8541585000000002E-2</v>
      </c>
      <c r="L208" s="3">
        <v>1.1326887999999999E-4</v>
      </c>
      <c r="M208" s="18">
        <v>6.4076783000000001E-6</v>
      </c>
      <c r="N208" s="18">
        <v>6.9051447999999998E-8</v>
      </c>
      <c r="O208" s="18">
        <v>4.5834911999999998E-9</v>
      </c>
      <c r="P208" s="3" t="s">
        <v>31</v>
      </c>
      <c r="Q208" s="3">
        <v>2.6813240000000001E-3</v>
      </c>
      <c r="R208" s="3">
        <v>2.032537E-4</v>
      </c>
      <c r="S208" s="3">
        <v>-2.1604669999999999E-2</v>
      </c>
      <c r="T208" s="3">
        <v>4.9647249999999997E-2</v>
      </c>
      <c r="U208" s="18">
        <v>2.2595309000000001E-8</v>
      </c>
      <c r="V208" s="18">
        <v>1.9926834E-9</v>
      </c>
      <c r="W208" s="3">
        <v>-1.2409977E-3</v>
      </c>
      <c r="X208" s="3">
        <v>1.7940217E-4</v>
      </c>
    </row>
    <row r="209" spans="1:24" x14ac:dyDescent="0.3">
      <c r="A209" s="17" t="s">
        <v>112</v>
      </c>
      <c r="C209" s="3">
        <v>84</v>
      </c>
      <c r="E209">
        <f t="shared" si="7"/>
        <v>92</v>
      </c>
      <c r="F209" s="3">
        <v>6.3916300000000001</v>
      </c>
      <c r="G209" s="16">
        <v>3212.53</v>
      </c>
      <c r="H209" s="13">
        <f t="shared" si="8"/>
        <v>0.89455364626407263</v>
      </c>
      <c r="I209" s="18">
        <v>502615000</v>
      </c>
      <c r="J209" s="18">
        <v>416739</v>
      </c>
      <c r="K209" s="3">
        <v>6.7348063E-2</v>
      </c>
      <c r="L209" s="3">
        <v>7.2033543000000002E-4</v>
      </c>
      <c r="M209" s="18">
        <v>6.7519385E-6</v>
      </c>
      <c r="N209" s="18">
        <v>1.3519497000000001E-7</v>
      </c>
      <c r="O209" s="18">
        <v>2.9788920000000002E-6</v>
      </c>
      <c r="P209" s="18">
        <v>9.3220195999999996E-7</v>
      </c>
      <c r="Q209" s="3">
        <v>2.1019738999999999E-3</v>
      </c>
      <c r="R209" s="3">
        <v>2.1847024E-4</v>
      </c>
      <c r="S209" s="3">
        <v>1.3110725999999999</v>
      </c>
      <c r="T209" s="3">
        <v>0.10246231</v>
      </c>
      <c r="U209" s="18">
        <v>1.2402175E-8</v>
      </c>
      <c r="V209" s="3" t="s">
        <v>31</v>
      </c>
      <c r="W209" s="3">
        <v>-6.1218399000000003E-4</v>
      </c>
      <c r="X209" s="3">
        <v>2.4242470999999999E-4</v>
      </c>
    </row>
    <row r="210" spans="1:24" x14ac:dyDescent="0.3">
      <c r="A210" s="17" t="s">
        <v>112</v>
      </c>
      <c r="C210" s="3">
        <v>88</v>
      </c>
      <c r="E210">
        <f t="shared" si="7"/>
        <v>96</v>
      </c>
      <c r="F210" s="3">
        <v>6.3916300000000001</v>
      </c>
      <c r="G210" s="16">
        <v>3401.34</v>
      </c>
      <c r="H210" s="13">
        <f t="shared" si="8"/>
        <v>0.94712924056237313</v>
      </c>
      <c r="I210" s="18">
        <v>532156000</v>
      </c>
      <c r="J210" s="18">
        <v>67993.600000000006</v>
      </c>
      <c r="K210" s="3">
        <v>6.7589756000000001E-2</v>
      </c>
      <c r="L210" s="3">
        <v>1.0058897999999999E-4</v>
      </c>
      <c r="M210" s="18">
        <v>6.9877553000000003E-6</v>
      </c>
      <c r="N210" s="18">
        <v>6.7869870999999994E-8</v>
      </c>
      <c r="O210" s="18">
        <v>2.8083457E-9</v>
      </c>
      <c r="P210" s="3" t="s">
        <v>31</v>
      </c>
      <c r="Q210" s="3">
        <v>3.4883788000000002E-3</v>
      </c>
      <c r="R210" s="3">
        <v>2.0138174000000001E-4</v>
      </c>
      <c r="S210" s="3">
        <v>-0.83364262</v>
      </c>
      <c r="T210" s="3">
        <v>3.7662243999999998E-2</v>
      </c>
      <c r="U210" s="18">
        <v>2.2000954000000001E-8</v>
      </c>
      <c r="V210" s="18">
        <v>1.4626945E-9</v>
      </c>
      <c r="W210" s="3">
        <v>-6.2596894999999997E-4</v>
      </c>
      <c r="X210" s="3">
        <v>1.5105083999999999E-4</v>
      </c>
    </row>
    <row r="211" spans="1:24" x14ac:dyDescent="0.3">
      <c r="A211" s="17" t="s">
        <v>112</v>
      </c>
      <c r="C211" s="3">
        <v>92</v>
      </c>
      <c r="E211">
        <f t="shared" si="7"/>
        <v>100</v>
      </c>
      <c r="F211" s="3">
        <v>6.3916300000000001</v>
      </c>
      <c r="G211" s="16">
        <v>3463.72</v>
      </c>
      <c r="H211" s="13">
        <f t="shared" si="8"/>
        <v>0.96449943055404719</v>
      </c>
      <c r="I211" s="18">
        <v>541915000</v>
      </c>
      <c r="J211" s="18">
        <v>41034.300000000003</v>
      </c>
      <c r="K211" s="3">
        <v>6.9706979000000002E-2</v>
      </c>
      <c r="L211" s="3">
        <v>1.3507600000000001E-4</v>
      </c>
      <c r="M211" s="18">
        <v>6.4985543999999997E-6</v>
      </c>
      <c r="N211" s="18">
        <v>8.532567E-8</v>
      </c>
      <c r="O211" s="18">
        <v>1.3309027000000001E-9</v>
      </c>
      <c r="P211" s="3" t="s">
        <v>31</v>
      </c>
      <c r="Q211" s="18">
        <v>7.6916680000000004E-8</v>
      </c>
      <c r="R211" s="3">
        <v>1.4527623999999999E-3</v>
      </c>
      <c r="S211" s="3">
        <v>5.9164737000000001</v>
      </c>
      <c r="T211" s="3">
        <v>19997.256000000001</v>
      </c>
      <c r="U211" s="18">
        <v>5.1601023999999999E-9</v>
      </c>
      <c r="V211" s="3" t="s">
        <v>31</v>
      </c>
      <c r="W211" s="3">
        <v>-1.5612887999999999E-3</v>
      </c>
      <c r="X211" s="3">
        <v>2.1788212999999999E-4</v>
      </c>
    </row>
    <row r="212" spans="1:24" x14ac:dyDescent="0.3">
      <c r="A212" s="17" t="s">
        <v>112</v>
      </c>
      <c r="C212" s="3">
        <v>96</v>
      </c>
      <c r="E212">
        <f t="shared" si="7"/>
        <v>104</v>
      </c>
      <c r="F212" s="3">
        <v>6.3916300000000001</v>
      </c>
      <c r="G212" s="16">
        <v>3482.44</v>
      </c>
      <c r="H212" s="13">
        <f t="shared" si="8"/>
        <v>0.96971215829762114</v>
      </c>
      <c r="I212" s="18">
        <v>544843000</v>
      </c>
      <c r="J212" s="18">
        <v>136380</v>
      </c>
      <c r="K212" s="3">
        <v>6.3515483999999997E-2</v>
      </c>
      <c r="L212" s="18">
        <v>9.3031338000000002E-5</v>
      </c>
      <c r="M212" s="18">
        <v>6.8006415999999999E-6</v>
      </c>
      <c r="N212" s="18">
        <v>6.5371068999999996E-8</v>
      </c>
      <c r="O212" s="18">
        <v>2.8649802000000001E-10</v>
      </c>
      <c r="P212" s="3" t="s">
        <v>31</v>
      </c>
      <c r="Q212" s="3">
        <v>2.4588623000000001E-3</v>
      </c>
      <c r="R212" s="3">
        <v>1.9357831999999999E-4</v>
      </c>
      <c r="S212" s="3">
        <v>-1.5019933999999999</v>
      </c>
      <c r="T212" s="3">
        <v>5.1305489000000003E-2</v>
      </c>
      <c r="U212" s="18">
        <v>2.0677351E-8</v>
      </c>
      <c r="V212" s="18">
        <v>1.8490415999999999E-9</v>
      </c>
      <c r="W212" s="3">
        <v>-4.2628795999999998E-4</v>
      </c>
      <c r="X212" s="3">
        <v>1.4281455999999999E-4</v>
      </c>
    </row>
    <row r="213" spans="1:24" x14ac:dyDescent="0.3">
      <c r="A213" s="17" t="s">
        <v>112</v>
      </c>
      <c r="C213" s="3">
        <v>100</v>
      </c>
      <c r="E213">
        <f t="shared" si="7"/>
        <v>108</v>
      </c>
      <c r="F213" s="3">
        <v>6.3916300000000001</v>
      </c>
      <c r="G213" s="16">
        <v>3561.59</v>
      </c>
      <c r="H213" s="13">
        <f t="shared" si="8"/>
        <v>0.99175208355958022</v>
      </c>
      <c r="I213" s="18">
        <v>557227000</v>
      </c>
      <c r="J213" s="18">
        <v>36454.5</v>
      </c>
      <c r="K213" s="3">
        <v>7.2436123000000005E-2</v>
      </c>
      <c r="L213" s="3">
        <v>7.6884342999999997E-4</v>
      </c>
      <c r="M213" s="18">
        <v>6.6627350999999996E-6</v>
      </c>
      <c r="N213" s="18">
        <v>1.3731932999999999E-7</v>
      </c>
      <c r="O213" s="18">
        <v>1.9266821E-6</v>
      </c>
      <c r="P213" s="18">
        <v>9.4308447000000001E-7</v>
      </c>
      <c r="Q213" s="3">
        <v>2.7901547999999998E-3</v>
      </c>
      <c r="R213" s="3">
        <v>1.5982687999999999E-4</v>
      </c>
      <c r="S213" s="3">
        <v>-2.0504137999999998</v>
      </c>
      <c r="T213" s="3">
        <v>3.7673235999999999E-2</v>
      </c>
      <c r="U213" s="18">
        <v>2.9837231999999999E-8</v>
      </c>
      <c r="V213" s="18">
        <v>2.0887714E-9</v>
      </c>
      <c r="W213" s="3">
        <v>-9.4658731999999995E-4</v>
      </c>
      <c r="X213" s="3">
        <v>2.7384472000000003E-4</v>
      </c>
    </row>
    <row r="214" spans="1:24" x14ac:dyDescent="0.3">
      <c r="A214" s="17" t="s">
        <v>112</v>
      </c>
      <c r="C214" s="3">
        <v>104</v>
      </c>
      <c r="E214">
        <f t="shared" si="7"/>
        <v>112</v>
      </c>
      <c r="F214" s="3">
        <v>6.3916300000000001</v>
      </c>
      <c r="G214" s="16">
        <v>3541.41</v>
      </c>
      <c r="H214" s="13">
        <f t="shared" si="8"/>
        <v>0.98613280760523603</v>
      </c>
      <c r="I214" s="18">
        <v>554070000</v>
      </c>
      <c r="J214" s="18">
        <v>324218</v>
      </c>
      <c r="K214" s="3">
        <v>6.9695113000000003E-2</v>
      </c>
      <c r="L214" s="3">
        <v>1.1864413999999999E-4</v>
      </c>
      <c r="M214" s="18">
        <v>6.6449380000000003E-6</v>
      </c>
      <c r="N214" s="18">
        <v>7.432708E-8</v>
      </c>
      <c r="O214" s="18">
        <v>1.2574815000000001E-8</v>
      </c>
      <c r="P214" s="3" t="s">
        <v>31</v>
      </c>
      <c r="Q214" s="3">
        <v>3.3136174000000002E-3</v>
      </c>
      <c r="R214" s="3">
        <v>2.5095597E-4</v>
      </c>
      <c r="S214" s="3">
        <v>-1.4708863999999999</v>
      </c>
      <c r="T214" s="3">
        <v>4.8677998E-2</v>
      </c>
      <c r="U214" s="18">
        <v>1.9997289E-8</v>
      </c>
      <c r="V214" s="18">
        <v>1.698398E-9</v>
      </c>
      <c r="W214" s="3">
        <v>-9.8811997999999996E-4</v>
      </c>
      <c r="X214" s="3">
        <v>1.8511387000000001E-4</v>
      </c>
    </row>
    <row r="215" spans="1:24" x14ac:dyDescent="0.3">
      <c r="A215" s="17" t="s">
        <v>112</v>
      </c>
      <c r="C215" s="3">
        <v>108</v>
      </c>
      <c r="E215">
        <f t="shared" si="7"/>
        <v>116</v>
      </c>
      <c r="F215" s="3">
        <v>6.3916300000000001</v>
      </c>
      <c r="G215" s="16">
        <v>2933.84</v>
      </c>
      <c r="H215" s="13">
        <f t="shared" si="8"/>
        <v>0.81695027581233071</v>
      </c>
      <c r="I215" s="18">
        <v>459013000</v>
      </c>
      <c r="J215" s="18">
        <v>24619.8</v>
      </c>
      <c r="K215" s="3">
        <v>6.6234469000000004E-2</v>
      </c>
      <c r="L215" s="3">
        <v>5.7740709999999998E-4</v>
      </c>
      <c r="M215" s="18">
        <v>6.44535E-6</v>
      </c>
      <c r="N215" s="18">
        <v>1.1644507999999999E-7</v>
      </c>
      <c r="O215" s="18">
        <v>4.1263066999999999E-6</v>
      </c>
      <c r="P215" s="18">
        <v>7.7505968999999999E-7</v>
      </c>
      <c r="Q215" s="3">
        <v>2.3677546999999999E-3</v>
      </c>
      <c r="R215" s="3">
        <v>1.0936844E-4</v>
      </c>
      <c r="S215" s="3">
        <v>1.4248902000000001</v>
      </c>
      <c r="T215" s="3">
        <v>2.9747333000000001E-2</v>
      </c>
      <c r="U215" s="18">
        <v>3.5517241E-8</v>
      </c>
      <c r="V215" s="18">
        <v>2.0370945999999999E-9</v>
      </c>
      <c r="W215" s="3">
        <v>-8.3033597E-4</v>
      </c>
      <c r="X215" s="3">
        <v>2.2238244E-4</v>
      </c>
    </row>
    <row r="216" spans="1:24" x14ac:dyDescent="0.3">
      <c r="A216" s="17" t="s">
        <v>112</v>
      </c>
      <c r="C216" s="3">
        <v>112</v>
      </c>
      <c r="E216">
        <f t="shared" si="7"/>
        <v>120</v>
      </c>
      <c r="F216" s="3">
        <v>6.3916300000000001</v>
      </c>
      <c r="G216" s="16">
        <v>2991.48</v>
      </c>
      <c r="H216" s="13">
        <f t="shared" si="8"/>
        <v>0.83300057640739467</v>
      </c>
      <c r="I216" s="18">
        <v>468031000</v>
      </c>
      <c r="J216" s="18">
        <v>17288.599999999999</v>
      </c>
      <c r="K216" s="3">
        <v>6.3474693999999998E-2</v>
      </c>
      <c r="L216" s="3">
        <v>6.6879839000000003E-4</v>
      </c>
      <c r="M216" s="18">
        <v>6.7444514000000003E-6</v>
      </c>
      <c r="N216" s="18">
        <v>1.3358626000000001E-7</v>
      </c>
      <c r="O216" s="18">
        <v>3.6697388999999999E-7</v>
      </c>
      <c r="P216" s="18">
        <v>9.4426781000000002E-7</v>
      </c>
      <c r="Q216" s="3">
        <v>3.4518210999999999E-3</v>
      </c>
      <c r="R216" s="3">
        <v>1.2963914000000001E-4</v>
      </c>
      <c r="S216" s="3">
        <v>1.4056147000000001</v>
      </c>
      <c r="T216" s="3">
        <v>2.4224004E-2</v>
      </c>
      <c r="U216" s="18">
        <v>3.2688577000000003E-8</v>
      </c>
      <c r="V216" s="18">
        <v>1.5099367E-9</v>
      </c>
      <c r="W216" s="3">
        <v>-6.0437869999999995E-4</v>
      </c>
      <c r="X216" s="3">
        <v>2.2983808000000001E-4</v>
      </c>
    </row>
    <row r="217" spans="1:24" x14ac:dyDescent="0.3">
      <c r="A217" s="17" t="s">
        <v>112</v>
      </c>
      <c r="C217" s="3">
        <v>116</v>
      </c>
      <c r="E217">
        <f t="shared" si="7"/>
        <v>124</v>
      </c>
      <c r="F217" s="3">
        <v>6.3916300000000001</v>
      </c>
      <c r="G217" s="16">
        <v>3024.97</v>
      </c>
      <c r="H217" s="13">
        <f t="shared" si="8"/>
        <v>0.84232612406403407</v>
      </c>
      <c r="I217" s="18">
        <v>473271000</v>
      </c>
      <c r="J217" s="18">
        <v>8087.9</v>
      </c>
      <c r="K217" s="3">
        <v>6.2929559999999996E-2</v>
      </c>
      <c r="L217" s="3">
        <v>6.5236253999999998E-4</v>
      </c>
      <c r="M217" s="18">
        <v>6.9045613999999997E-6</v>
      </c>
      <c r="N217" s="18">
        <v>1.3160495E-7</v>
      </c>
      <c r="O217" s="18">
        <v>1.8801944E-6</v>
      </c>
      <c r="P217" s="18">
        <v>8.9732602000000002E-7</v>
      </c>
      <c r="Q217" s="3">
        <v>5.1697132999999999E-3</v>
      </c>
      <c r="R217" s="3">
        <v>1.2843739999999999E-4</v>
      </c>
      <c r="S217" s="3">
        <v>1.8375786000000001</v>
      </c>
      <c r="T217" s="3">
        <v>1.6104009999999998E-2</v>
      </c>
      <c r="U217" s="18">
        <v>3.1597275E-8</v>
      </c>
      <c r="V217" s="18">
        <v>9.6682030999999991E-10</v>
      </c>
      <c r="W217" s="3">
        <v>-1.6838547999999999E-4</v>
      </c>
      <c r="X217" s="3">
        <v>2.1473991E-4</v>
      </c>
    </row>
    <row r="218" spans="1:24" x14ac:dyDescent="0.3">
      <c r="A218" s="17" t="s">
        <v>112</v>
      </c>
      <c r="C218" s="3">
        <v>120</v>
      </c>
      <c r="E218">
        <f t="shared" si="7"/>
        <v>128</v>
      </c>
      <c r="F218" s="3">
        <v>6.3916300000000001</v>
      </c>
      <c r="G218" s="16">
        <v>3031.79</v>
      </c>
      <c r="H218" s="13">
        <f t="shared" si="8"/>
        <v>0.8442252054321524</v>
      </c>
      <c r="I218" s="18">
        <v>474337000</v>
      </c>
      <c r="J218" s="18">
        <v>6042.34</v>
      </c>
      <c r="K218" s="3">
        <v>6.3691661999999996E-2</v>
      </c>
      <c r="L218" s="3">
        <v>7.1579936000000001E-4</v>
      </c>
      <c r="M218" s="18">
        <v>7.0151266999999998E-6</v>
      </c>
      <c r="N218" s="18">
        <v>1.3909502000000001E-7</v>
      </c>
      <c r="O218" s="18">
        <v>5.1294668999999995E-7</v>
      </c>
      <c r="P218" s="18">
        <v>9.7922102999999993E-7</v>
      </c>
      <c r="Q218" s="3">
        <v>8.0518536000000005E-3</v>
      </c>
      <c r="R218" s="3">
        <v>1.4034784999999999E-4</v>
      </c>
      <c r="S218" s="3">
        <v>1.4256058</v>
      </c>
      <c r="T218" s="3">
        <v>1.1251176E-2</v>
      </c>
      <c r="U218" s="18">
        <v>3.0883044E-8</v>
      </c>
      <c r="V218" s="18">
        <v>6.5824890000000004E-10</v>
      </c>
      <c r="W218" s="3">
        <v>-1.6734593E-4</v>
      </c>
      <c r="X218" s="3">
        <v>2.2433758E-4</v>
      </c>
    </row>
    <row r="219" spans="1:24" x14ac:dyDescent="0.3">
      <c r="A219" s="17" t="s">
        <v>112</v>
      </c>
      <c r="C219" s="3">
        <v>124</v>
      </c>
      <c r="E219">
        <f t="shared" si="7"/>
        <v>132</v>
      </c>
      <c r="F219" s="3">
        <v>6.3916300000000001</v>
      </c>
      <c r="G219" s="16">
        <v>3009.79</v>
      </c>
      <c r="H219" s="13">
        <f t="shared" si="8"/>
        <v>0.8380991365027386</v>
      </c>
      <c r="I219" s="18">
        <v>470895000</v>
      </c>
      <c r="J219" s="18">
        <v>7093.27</v>
      </c>
      <c r="K219" s="3">
        <v>6.1852654E-2</v>
      </c>
      <c r="L219" s="3">
        <v>6.3747385999999998E-4</v>
      </c>
      <c r="M219" s="18">
        <v>6.5504525000000003E-6</v>
      </c>
      <c r="N219" s="18">
        <v>1.3426115E-7</v>
      </c>
      <c r="O219" s="18">
        <v>2.5428133E-8</v>
      </c>
      <c r="P219" s="18">
        <v>9.4652448000000003E-7</v>
      </c>
      <c r="Q219" s="3">
        <v>6.2807410000000003E-3</v>
      </c>
      <c r="R219" s="3">
        <v>1.3128502999999999E-4</v>
      </c>
      <c r="S219" s="3">
        <v>1.3685712000000001</v>
      </c>
      <c r="T219" s="3">
        <v>1.3492509E-2</v>
      </c>
      <c r="U219" s="18">
        <v>3.1324417E-8</v>
      </c>
      <c r="V219" s="18">
        <v>8.0047764000000004E-10</v>
      </c>
      <c r="W219" s="3">
        <v>-6.3330977000000004E-4</v>
      </c>
      <c r="X219" s="3">
        <v>2.3764899E-4</v>
      </c>
    </row>
    <row r="220" spans="1:24" x14ac:dyDescent="0.3">
      <c r="A220" s="17" t="s">
        <v>112</v>
      </c>
      <c r="C220" s="3">
        <v>128</v>
      </c>
      <c r="E220">
        <f t="shared" si="7"/>
        <v>136</v>
      </c>
      <c r="F220" s="3">
        <v>6.3916300000000001</v>
      </c>
      <c r="G220" s="16">
        <v>2984.62</v>
      </c>
      <c r="H220" s="13">
        <f t="shared" si="8"/>
        <v>0.83109035673213205</v>
      </c>
      <c r="I220" s="18">
        <v>466958000</v>
      </c>
      <c r="J220" s="18">
        <v>3895.45</v>
      </c>
      <c r="K220" s="3">
        <v>6.2840858999999999E-2</v>
      </c>
      <c r="L220" s="3">
        <v>6.9889013999999995E-4</v>
      </c>
      <c r="M220" s="18">
        <v>6.7563129999999997E-6</v>
      </c>
      <c r="N220" s="18">
        <v>1.4115549E-7</v>
      </c>
      <c r="O220" s="18">
        <v>2.2383880999999999E-8</v>
      </c>
      <c r="P220" s="18">
        <v>1.0000728E-6</v>
      </c>
      <c r="Q220" s="3">
        <v>9.0342876999999992E-3</v>
      </c>
      <c r="R220" s="3">
        <v>1.2937851E-4</v>
      </c>
      <c r="S220" s="3">
        <v>1.3283478</v>
      </c>
      <c r="T220" s="3">
        <v>9.2357390999999994E-3</v>
      </c>
      <c r="U220" s="18">
        <v>3.4632932000000001E-8</v>
      </c>
      <c r="V220" s="18">
        <v>6.1520163000000003E-10</v>
      </c>
      <c r="W220" s="3">
        <v>-3.3635958000000001E-4</v>
      </c>
      <c r="X220" s="3">
        <v>2.4052376999999999E-4</v>
      </c>
    </row>
    <row r="221" spans="1:24" x14ac:dyDescent="0.3">
      <c r="A221" s="17" t="s">
        <v>112</v>
      </c>
      <c r="C221" s="3">
        <v>132</v>
      </c>
      <c r="E221">
        <f t="shared" si="7"/>
        <v>140</v>
      </c>
      <c r="F221" s="3">
        <v>6.3916300000000001</v>
      </c>
      <c r="G221" s="16">
        <v>2919.69</v>
      </c>
      <c r="H221" s="13">
        <f t="shared" si="8"/>
        <v>0.81301009966000315</v>
      </c>
      <c r="I221" s="18">
        <v>456799000</v>
      </c>
      <c r="J221" s="18">
        <v>17939.8</v>
      </c>
      <c r="K221" s="3">
        <v>6.5518858999999999E-2</v>
      </c>
      <c r="L221" s="3">
        <v>8.6173412000000002E-4</v>
      </c>
      <c r="M221" s="18">
        <v>6.8154161000000004E-6</v>
      </c>
      <c r="N221" s="18">
        <v>1.3908362E-7</v>
      </c>
      <c r="O221" s="18">
        <v>1.5458635E-6</v>
      </c>
      <c r="P221" s="18">
        <v>1.1845587E-6</v>
      </c>
      <c r="Q221" s="3">
        <v>3.6042352E-3</v>
      </c>
      <c r="R221" s="3">
        <v>1.5012728999999999E-4</v>
      </c>
      <c r="S221" s="3">
        <v>0.36212926000000001</v>
      </c>
      <c r="T221" s="3">
        <v>2.541595E-2</v>
      </c>
      <c r="U221" s="18">
        <v>3.0204629999999999E-8</v>
      </c>
      <c r="V221" s="18">
        <v>1.402575E-9</v>
      </c>
      <c r="W221" s="3">
        <v>-6.0706075999999998E-4</v>
      </c>
      <c r="X221" s="3">
        <v>2.2807168000000001E-4</v>
      </c>
    </row>
    <row r="222" spans="1:24" x14ac:dyDescent="0.3">
      <c r="A222" s="17" t="s">
        <v>112</v>
      </c>
      <c r="C222" s="3">
        <v>136</v>
      </c>
      <c r="E222">
        <f t="shared" si="7"/>
        <v>144</v>
      </c>
      <c r="F222" s="3">
        <v>6.3916300000000001</v>
      </c>
      <c r="G222" s="16">
        <v>2903.62</v>
      </c>
      <c r="H222" s="13">
        <f t="shared" si="8"/>
        <v>0.80853528476474501</v>
      </c>
      <c r="I222" s="18">
        <v>454285000</v>
      </c>
      <c r="J222" s="18">
        <v>19229.400000000001</v>
      </c>
      <c r="K222" s="3">
        <v>6.1734914000000002E-2</v>
      </c>
      <c r="L222" s="3">
        <v>5.9814920000000004E-4</v>
      </c>
      <c r="M222" s="18">
        <v>6.8398840999999999E-6</v>
      </c>
      <c r="N222" s="18">
        <v>1.2790986000000001E-7</v>
      </c>
      <c r="O222" s="18">
        <v>1.1440692E-5</v>
      </c>
      <c r="P222" s="18">
        <v>7.5434273999999995E-7</v>
      </c>
      <c r="Q222" s="3">
        <v>3.9082494000000001E-3</v>
      </c>
      <c r="R222" s="3">
        <v>1.5291216000000001E-4</v>
      </c>
      <c r="S222" s="3">
        <v>2.2112121999999999</v>
      </c>
      <c r="T222" s="3">
        <v>2.4927181999999999E-2</v>
      </c>
      <c r="U222" s="18">
        <v>2.2961493000000001E-8</v>
      </c>
      <c r="V222" s="18">
        <v>1.0367143E-9</v>
      </c>
      <c r="W222" s="3">
        <v>-7.2304552000000005E-4</v>
      </c>
      <c r="X222" s="3">
        <v>1.9828765000000001E-4</v>
      </c>
    </row>
    <row r="223" spans="1:24" x14ac:dyDescent="0.3">
      <c r="A223" s="17" t="s">
        <v>112</v>
      </c>
      <c r="C223" s="3">
        <v>140</v>
      </c>
      <c r="E223">
        <f t="shared" si="7"/>
        <v>148</v>
      </c>
      <c r="F223" s="3">
        <v>6.3916300000000001</v>
      </c>
      <c r="G223" s="16">
        <v>2815.94</v>
      </c>
      <c r="H223" s="13">
        <f t="shared" si="8"/>
        <v>0.7841201155042451</v>
      </c>
      <c r="I223" s="18">
        <v>440567000</v>
      </c>
      <c r="J223" s="18">
        <v>11843.4</v>
      </c>
      <c r="K223" s="3">
        <v>5.5974968999999999E-2</v>
      </c>
      <c r="L223" s="18">
        <v>8.2927953000000001E-5</v>
      </c>
      <c r="M223" s="18">
        <v>7.2625760999999998E-6</v>
      </c>
      <c r="N223" s="18">
        <v>6.9048335999999999E-8</v>
      </c>
      <c r="O223" s="18">
        <v>2.7715980999999999E-14</v>
      </c>
      <c r="P223" s="3" t="s">
        <v>31</v>
      </c>
      <c r="Q223" s="3">
        <v>4.3940986000000001E-3</v>
      </c>
      <c r="R223" s="3">
        <v>1.2312805000000001E-4</v>
      </c>
      <c r="S223" s="3">
        <v>2.4046615</v>
      </c>
      <c r="T223" s="3">
        <v>1.8032164E-2</v>
      </c>
      <c r="U223" s="18">
        <v>3.2762635999999997E-8</v>
      </c>
      <c r="V223" s="18">
        <v>1.1268647E-9</v>
      </c>
      <c r="W223" s="3">
        <v>6.8146555999999995E-4</v>
      </c>
      <c r="X223" s="3">
        <v>1.1944699E-4</v>
      </c>
    </row>
    <row r="224" spans="1:24" x14ac:dyDescent="0.3">
      <c r="A224" s="17" t="s">
        <v>112</v>
      </c>
      <c r="C224" s="3">
        <v>144</v>
      </c>
      <c r="E224">
        <f t="shared" si="7"/>
        <v>152</v>
      </c>
      <c r="F224" s="3">
        <v>6.3916300000000001</v>
      </c>
      <c r="G224" s="16">
        <v>2784.22</v>
      </c>
      <c r="H224" s="13">
        <f t="shared" si="8"/>
        <v>0.77528743793874477</v>
      </c>
      <c r="I224" s="18">
        <v>435604000</v>
      </c>
      <c r="J224" s="18">
        <v>16153.3</v>
      </c>
      <c r="K224" s="3">
        <v>6.9232752999999994E-2</v>
      </c>
      <c r="L224" s="3">
        <v>7.0724717000000001E-4</v>
      </c>
      <c r="M224" s="18">
        <v>6.7463601999999999E-6</v>
      </c>
      <c r="N224" s="18">
        <v>1.30565E-7</v>
      </c>
      <c r="O224" s="18">
        <v>7.9404487000000003E-6</v>
      </c>
      <c r="P224" s="18">
        <v>8.4242935000000003E-7</v>
      </c>
      <c r="Q224" s="3">
        <v>3.5375421999999999E-3</v>
      </c>
      <c r="R224" s="3">
        <v>1.3807038000000001E-4</v>
      </c>
      <c r="S224" s="3">
        <v>1.7654593000000001</v>
      </c>
      <c r="T224" s="3">
        <v>2.4838936999999998E-2</v>
      </c>
      <c r="U224" s="18">
        <v>3.1373834E-8</v>
      </c>
      <c r="V224" s="18">
        <v>1.4758467E-9</v>
      </c>
      <c r="W224" s="3">
        <v>-3.2978252999999998E-4</v>
      </c>
      <c r="X224" s="3">
        <v>2.3468615000000001E-4</v>
      </c>
    </row>
    <row r="225" spans="1:24" x14ac:dyDescent="0.3">
      <c r="A225" s="17" t="s">
        <v>112</v>
      </c>
      <c r="C225" s="3">
        <v>148</v>
      </c>
      <c r="E225">
        <f t="shared" si="7"/>
        <v>156</v>
      </c>
      <c r="F225" s="3">
        <v>6.3916300000000001</v>
      </c>
      <c r="G225" s="16">
        <v>2755.88</v>
      </c>
      <c r="H225" s="13">
        <f t="shared" si="8"/>
        <v>0.76739594732694549</v>
      </c>
      <c r="I225" s="18">
        <v>431171000</v>
      </c>
      <c r="J225" s="18">
        <v>12403.6</v>
      </c>
      <c r="K225" s="3">
        <v>6.9837380000000004E-2</v>
      </c>
      <c r="L225" s="3">
        <v>6.6098274999999999E-4</v>
      </c>
      <c r="M225" s="18">
        <v>6.4799651999999998E-6</v>
      </c>
      <c r="N225" s="18">
        <v>1.2864563000000001E-7</v>
      </c>
      <c r="O225" s="18">
        <v>7.1030463000000003E-6</v>
      </c>
      <c r="P225" s="18">
        <v>8.0987109999999995E-7</v>
      </c>
      <c r="Q225" s="3">
        <v>3.3235766000000002E-3</v>
      </c>
      <c r="R225" s="3">
        <v>1.2262022E-4</v>
      </c>
      <c r="S225" s="3">
        <v>3.0272420000000002</v>
      </c>
      <c r="T225" s="3">
        <v>2.3785135999999998E-2</v>
      </c>
      <c r="U225" s="18">
        <v>3.6635191000000001E-8</v>
      </c>
      <c r="V225" s="18">
        <v>1.689784E-9</v>
      </c>
      <c r="W225" s="3">
        <v>-8.4896766999999998E-4</v>
      </c>
      <c r="X225" s="3">
        <v>2.5385758999999999E-4</v>
      </c>
    </row>
    <row r="226" spans="1:24" x14ac:dyDescent="0.3">
      <c r="A226" s="17" t="s">
        <v>112</v>
      </c>
      <c r="C226" s="3">
        <v>152</v>
      </c>
      <c r="E226">
        <f t="shared" si="7"/>
        <v>160</v>
      </c>
      <c r="F226" s="3">
        <v>6.3916300000000001</v>
      </c>
      <c r="G226" s="16">
        <v>2727.17</v>
      </c>
      <c r="H226" s="13">
        <f t="shared" si="8"/>
        <v>0.75940142737406058</v>
      </c>
      <c r="I226" s="18">
        <v>426679000</v>
      </c>
      <c r="J226" s="18">
        <v>32079.9</v>
      </c>
      <c r="K226" s="3">
        <v>5.8020122E-2</v>
      </c>
      <c r="L226" s="18">
        <v>8.3951677000000002E-5</v>
      </c>
      <c r="M226" s="18">
        <v>7.0869558999999998E-6</v>
      </c>
      <c r="N226" s="18">
        <v>6.7531408999999999E-8</v>
      </c>
      <c r="O226" s="18">
        <v>3.2681368999999998E-10</v>
      </c>
      <c r="P226" s="3" t="s">
        <v>31</v>
      </c>
      <c r="Q226" s="3">
        <v>3.3284822999999999E-3</v>
      </c>
      <c r="R226" s="3">
        <v>1.5318748E-4</v>
      </c>
      <c r="S226" s="3">
        <v>-0.88376787000000001</v>
      </c>
      <c r="T226" s="3">
        <v>2.8654702000000001E-2</v>
      </c>
      <c r="U226" s="18">
        <v>2.7415064999999999E-8</v>
      </c>
      <c r="V226" s="18">
        <v>1.4266076E-9</v>
      </c>
      <c r="W226" s="3">
        <v>5.8820058000000005E-4</v>
      </c>
      <c r="X226" s="3">
        <v>1.2381170000000001E-4</v>
      </c>
    </row>
    <row r="227" spans="1:24" x14ac:dyDescent="0.3">
      <c r="A227" s="17" t="s">
        <v>112</v>
      </c>
      <c r="C227" s="3">
        <v>156</v>
      </c>
      <c r="E227">
        <f t="shared" si="7"/>
        <v>164</v>
      </c>
      <c r="F227" s="3">
        <v>6.3916300000000001</v>
      </c>
      <c r="G227" s="16">
        <v>2734.55</v>
      </c>
      <c r="H227" s="13">
        <f t="shared" si="8"/>
        <v>0.76145644504220034</v>
      </c>
      <c r="I227" s="18">
        <v>427834000</v>
      </c>
      <c r="J227" s="18">
        <v>17487.400000000001</v>
      </c>
      <c r="K227" s="3">
        <v>6.9418059000000004E-2</v>
      </c>
      <c r="L227" s="3">
        <v>6.0885327000000003E-4</v>
      </c>
      <c r="M227" s="18">
        <v>6.1700493999999998E-6</v>
      </c>
      <c r="N227" s="18">
        <v>1.2688605000000001E-7</v>
      </c>
      <c r="O227" s="18">
        <v>2.6112282999999998E-6</v>
      </c>
      <c r="P227" s="18">
        <v>8.1682148999999998E-7</v>
      </c>
      <c r="Q227" s="3">
        <v>3.1967184E-3</v>
      </c>
      <c r="R227" s="3">
        <v>1.2538919999999999E-4</v>
      </c>
      <c r="S227" s="3">
        <v>3.0738588999999998</v>
      </c>
      <c r="T227" s="3">
        <v>2.6165082999999999E-2</v>
      </c>
      <c r="U227" s="18">
        <v>3.5255878999999999E-8</v>
      </c>
      <c r="V227" s="18">
        <v>1.7580699999999999E-9</v>
      </c>
      <c r="W227" s="3">
        <v>-1.7066269E-3</v>
      </c>
      <c r="X227" s="3">
        <v>2.7917220999999998E-4</v>
      </c>
    </row>
    <row r="228" spans="1:24" x14ac:dyDescent="0.3">
      <c r="A228" s="17" t="s">
        <v>112</v>
      </c>
      <c r="C228" s="3">
        <v>160</v>
      </c>
      <c r="E228">
        <f t="shared" si="7"/>
        <v>168</v>
      </c>
      <c r="F228" s="3">
        <v>6.3916300000000001</v>
      </c>
      <c r="G228" s="16">
        <v>2746.06</v>
      </c>
      <c r="H228" s="13">
        <f t="shared" si="8"/>
        <v>0.76466149292299812</v>
      </c>
      <c r="I228" s="18">
        <v>429633000</v>
      </c>
      <c r="J228" s="18">
        <v>14179.6</v>
      </c>
      <c r="K228" s="3">
        <v>6.7189868E-2</v>
      </c>
      <c r="L228" s="3">
        <v>6.969322E-4</v>
      </c>
      <c r="M228" s="18">
        <v>6.3616899999999997E-6</v>
      </c>
      <c r="N228" s="18">
        <v>1.3513991E-7</v>
      </c>
      <c r="O228" s="18">
        <v>2.9608183E-6</v>
      </c>
      <c r="P228" s="18">
        <v>9.4780169999999998E-7</v>
      </c>
      <c r="Q228" s="3">
        <v>3.6586122E-3</v>
      </c>
      <c r="R228" s="3">
        <v>1.3121779999999999E-4</v>
      </c>
      <c r="S228" s="3">
        <v>1.8529693</v>
      </c>
      <c r="T228" s="3">
        <v>2.2962850999999999E-2</v>
      </c>
      <c r="U228" s="18">
        <v>3.4609009999999999E-8</v>
      </c>
      <c r="V228" s="18">
        <v>1.5161926999999999E-9</v>
      </c>
      <c r="W228" s="3">
        <v>-4.3836278E-4</v>
      </c>
      <c r="X228" s="3">
        <v>2.6705258E-4</v>
      </c>
    </row>
    <row r="229" spans="1:24" x14ac:dyDescent="0.3">
      <c r="A229" s="17" t="s">
        <v>112</v>
      </c>
      <c r="C229" s="3">
        <v>164</v>
      </c>
      <c r="E229">
        <f t="shared" si="7"/>
        <v>172</v>
      </c>
      <c r="F229" s="3">
        <v>6.3916300000000001</v>
      </c>
      <c r="G229" s="16">
        <v>2770.3</v>
      </c>
      <c r="H229" s="13">
        <f t="shared" si="8"/>
        <v>0.77141130705249772</v>
      </c>
      <c r="I229" s="18">
        <v>433426000</v>
      </c>
      <c r="J229" s="18">
        <v>11856.2</v>
      </c>
      <c r="K229" s="3">
        <v>6.4610614999999996E-2</v>
      </c>
      <c r="L229" s="3">
        <v>6.2939270999999998E-4</v>
      </c>
      <c r="M229" s="18">
        <v>6.0917594E-6</v>
      </c>
      <c r="N229" s="18">
        <v>1.3478128999999999E-7</v>
      </c>
      <c r="O229" s="18">
        <v>1.2154752E-7</v>
      </c>
      <c r="P229" s="18">
        <v>9.4633362000000003E-7</v>
      </c>
      <c r="Q229" s="3">
        <v>3.8344120000000002E-3</v>
      </c>
      <c r="R229" s="3">
        <v>1.2556123E-4</v>
      </c>
      <c r="S229" s="3">
        <v>2.5547898</v>
      </c>
      <c r="T229" s="3">
        <v>2.1064049000000001E-2</v>
      </c>
      <c r="U229" s="18">
        <v>3.5488581000000003E-8</v>
      </c>
      <c r="V229" s="18">
        <v>1.4391141000000001E-9</v>
      </c>
      <c r="W229" s="3">
        <v>-1.1859124E-3</v>
      </c>
      <c r="X229" s="3">
        <v>2.8198577999999998E-4</v>
      </c>
    </row>
    <row r="230" spans="1:24" x14ac:dyDescent="0.3">
      <c r="A230" s="17" t="s">
        <v>112</v>
      </c>
      <c r="C230" s="3">
        <v>168</v>
      </c>
      <c r="E230">
        <f t="shared" si="7"/>
        <v>176</v>
      </c>
      <c r="F230" s="3">
        <v>6.3916300000000001</v>
      </c>
      <c r="G230" s="16">
        <v>2816.48</v>
      </c>
      <c r="H230" s="13">
        <f t="shared" si="8"/>
        <v>0.78427048265069432</v>
      </c>
      <c r="I230" s="18">
        <v>440651000</v>
      </c>
      <c r="J230" s="18">
        <v>30399.7</v>
      </c>
      <c r="K230" s="3">
        <v>6.6324823000000005E-2</v>
      </c>
      <c r="L230" s="18">
        <v>9.1355772999999996E-5</v>
      </c>
      <c r="M230" s="18">
        <v>6.5803735999999997E-6</v>
      </c>
      <c r="N230" s="18">
        <v>6.2264308E-8</v>
      </c>
      <c r="O230" s="18">
        <v>4.1600183999999999E-10</v>
      </c>
      <c r="P230" s="3" t="s">
        <v>31</v>
      </c>
      <c r="Q230" s="3">
        <v>2.0086631E-3</v>
      </c>
      <c r="R230" s="3">
        <v>1.2082226999999999E-4</v>
      </c>
      <c r="S230" s="3">
        <v>1.8051645999999999</v>
      </c>
      <c r="T230" s="3">
        <v>3.7493006000000002E-2</v>
      </c>
      <c r="U230" s="18">
        <v>4.0322512E-8</v>
      </c>
      <c r="V230" s="18">
        <v>2.8981917E-9</v>
      </c>
      <c r="W230" s="3">
        <v>-4.7809270999999998E-4</v>
      </c>
      <c r="X230" s="3">
        <v>1.4582281E-4</v>
      </c>
    </row>
    <row r="231" spans="1:24" x14ac:dyDescent="0.3">
      <c r="A231" s="17" t="s">
        <v>112</v>
      </c>
      <c r="C231" s="3">
        <v>172</v>
      </c>
      <c r="E231">
        <f t="shared" si="7"/>
        <v>180</v>
      </c>
      <c r="F231" s="3">
        <v>6.3916300000000001</v>
      </c>
      <c r="G231" s="16">
        <v>2863.26</v>
      </c>
      <c r="H231" s="13">
        <f t="shared" si="8"/>
        <v>0.79729673285605696</v>
      </c>
      <c r="I231" s="18">
        <v>447970000</v>
      </c>
      <c r="J231" s="18">
        <v>23629.200000000001</v>
      </c>
      <c r="K231" s="3">
        <v>6.4270496999999996E-2</v>
      </c>
      <c r="L231" s="3">
        <v>5.7200215E-4</v>
      </c>
      <c r="M231" s="18">
        <v>6.2555873999999999E-6</v>
      </c>
      <c r="N231" s="18">
        <v>1.2186764000000001E-7</v>
      </c>
      <c r="O231" s="18">
        <v>6.2766786999999998E-6</v>
      </c>
      <c r="P231" s="18">
        <v>7.9259903999999995E-7</v>
      </c>
      <c r="Q231" s="3">
        <v>2.9477021E-3</v>
      </c>
      <c r="R231" s="3">
        <v>1.3065453000000001E-4</v>
      </c>
      <c r="S231" s="3">
        <v>1.6050732000000001</v>
      </c>
      <c r="T231" s="3">
        <v>2.8264713E-2</v>
      </c>
      <c r="U231" s="18">
        <v>2.8596725E-8</v>
      </c>
      <c r="V231" s="18">
        <v>1.5095451999999999E-9</v>
      </c>
      <c r="W231" s="3">
        <v>-8.5374642000000001E-4</v>
      </c>
      <c r="X231" s="3">
        <v>2.3492609000000001E-4</v>
      </c>
    </row>
    <row r="232" spans="1:24" x14ac:dyDescent="0.3">
      <c r="A232" s="17" t="s">
        <v>112</v>
      </c>
      <c r="C232" s="3">
        <v>176</v>
      </c>
      <c r="E232">
        <f t="shared" si="7"/>
        <v>184</v>
      </c>
      <c r="F232" s="3">
        <v>6.3916300000000001</v>
      </c>
      <c r="G232" s="16">
        <v>2915.02</v>
      </c>
      <c r="H232" s="13">
        <f t="shared" si="8"/>
        <v>0.81170970230089579</v>
      </c>
      <c r="I232" s="18">
        <v>456068000</v>
      </c>
      <c r="J232" s="18">
        <v>5509.63</v>
      </c>
      <c r="K232" s="3">
        <v>5.7395323999999998E-2</v>
      </c>
      <c r="L232" s="3">
        <v>5.9389426000000002E-4</v>
      </c>
      <c r="M232" s="18">
        <v>6.4105016999999997E-6</v>
      </c>
      <c r="N232" s="18">
        <v>1.4364259000000001E-7</v>
      </c>
      <c r="O232" s="18">
        <v>5.6073048000000001E-6</v>
      </c>
      <c r="P232" s="18">
        <v>9.0761617E-7</v>
      </c>
      <c r="Q232" s="3">
        <v>7.3063687000000004E-3</v>
      </c>
      <c r="R232" s="3">
        <v>1.3517824E-4</v>
      </c>
      <c r="S232" s="3">
        <v>2.617032</v>
      </c>
      <c r="T232" s="3">
        <v>1.1930156000000001E-2</v>
      </c>
      <c r="U232" s="18">
        <v>2.8909840000000001E-8</v>
      </c>
      <c r="V232" s="18">
        <v>6.4884975000000001E-10</v>
      </c>
      <c r="W232" s="3">
        <v>-9.3675235000000002E-4</v>
      </c>
      <c r="X232" s="3">
        <v>2.4036019000000001E-4</v>
      </c>
    </row>
    <row r="233" spans="1:24" x14ac:dyDescent="0.3">
      <c r="A233" s="17" t="s">
        <v>112</v>
      </c>
      <c r="C233" s="3">
        <v>180</v>
      </c>
      <c r="E233">
        <f t="shared" si="7"/>
        <v>188</v>
      </c>
      <c r="F233" s="3">
        <v>6.3916300000000001</v>
      </c>
      <c r="G233" s="16">
        <v>2918.5</v>
      </c>
      <c r="H233" s="13">
        <f t="shared" si="8"/>
        <v>0.81267873502245758</v>
      </c>
      <c r="I233" s="18">
        <v>456612000</v>
      </c>
      <c r="J233" s="18">
        <v>10952.7</v>
      </c>
      <c r="K233" s="3">
        <v>5.7714972000000003E-2</v>
      </c>
      <c r="L233" s="18">
        <v>9.4356176000000004E-5</v>
      </c>
      <c r="M233" s="18">
        <v>5.9925357000000001E-6</v>
      </c>
      <c r="N233" s="18">
        <v>6.2719651E-8</v>
      </c>
      <c r="O233" s="18">
        <v>1.9995951000000001E-9</v>
      </c>
      <c r="P233" s="3" t="s">
        <v>31</v>
      </c>
      <c r="Q233" s="3">
        <v>4.8505941000000002E-3</v>
      </c>
      <c r="R233" s="3">
        <v>1.3030931000000001E-4</v>
      </c>
      <c r="S233" s="3">
        <v>0.95039406000000004</v>
      </c>
      <c r="T233" s="3">
        <v>1.7196342E-2</v>
      </c>
      <c r="U233" s="18">
        <v>2.8862434E-8</v>
      </c>
      <c r="V233" s="18">
        <v>9.2457485000000004E-10</v>
      </c>
      <c r="W233" s="3">
        <v>-9.3934982E-4</v>
      </c>
      <c r="X233" s="3">
        <v>1.5198332999999999E-4</v>
      </c>
    </row>
    <row r="234" spans="1:24" x14ac:dyDescent="0.3">
      <c r="A234" s="17" t="s">
        <v>112</v>
      </c>
      <c r="C234" s="3">
        <v>184</v>
      </c>
      <c r="E234">
        <f t="shared" si="7"/>
        <v>192</v>
      </c>
      <c r="F234" s="3">
        <v>6.3916300000000001</v>
      </c>
      <c r="G234" s="16">
        <v>2877.57</v>
      </c>
      <c r="H234" s="13">
        <f t="shared" si="8"/>
        <v>0.80128146223696195</v>
      </c>
      <c r="I234" s="18">
        <v>450209000</v>
      </c>
      <c r="J234" s="18">
        <v>11218.6</v>
      </c>
      <c r="K234" s="3">
        <v>5.8954757000000003E-2</v>
      </c>
      <c r="L234" s="3">
        <v>5.6647957000000005E-4</v>
      </c>
      <c r="M234" s="18">
        <v>6.1740682999999997E-6</v>
      </c>
      <c r="N234" s="18">
        <v>1.3149255000000001E-7</v>
      </c>
      <c r="O234" s="18">
        <v>1.1339360999999999E-6</v>
      </c>
      <c r="P234" s="18">
        <v>9.1354174000000003E-7</v>
      </c>
      <c r="Q234" s="3">
        <v>3.8650246000000001E-3</v>
      </c>
      <c r="R234" s="3">
        <v>1.1553154E-4</v>
      </c>
      <c r="S234" s="3">
        <v>1.6952864000000001</v>
      </c>
      <c r="T234" s="3">
        <v>1.9207309999999998E-2</v>
      </c>
      <c r="U234" s="18">
        <v>3.3830535999999998E-8</v>
      </c>
      <c r="V234" s="18">
        <v>1.2429489E-9</v>
      </c>
      <c r="W234" s="3">
        <v>-8.2624399E-4</v>
      </c>
      <c r="X234" s="3">
        <v>2.4402321000000001E-4</v>
      </c>
    </row>
    <row r="235" spans="1:24" x14ac:dyDescent="0.3">
      <c r="A235" s="17" t="s">
        <v>112</v>
      </c>
      <c r="C235" s="3">
        <v>188</v>
      </c>
      <c r="E235">
        <f t="shared" si="7"/>
        <v>196</v>
      </c>
      <c r="F235" s="3">
        <v>6.3916300000000001</v>
      </c>
      <c r="G235" s="16">
        <v>2824.06</v>
      </c>
      <c r="H235" s="13">
        <f t="shared" si="8"/>
        <v>0.78638119185455602</v>
      </c>
      <c r="I235" s="18">
        <v>441837000</v>
      </c>
      <c r="J235" s="18">
        <v>24366.799999999999</v>
      </c>
      <c r="K235" s="3">
        <v>5.7712263E-2</v>
      </c>
      <c r="L235" s="3">
        <v>5.4704077999999997E-4</v>
      </c>
      <c r="M235" s="18">
        <v>6.2332585999999999E-6</v>
      </c>
      <c r="N235" s="18">
        <v>1.2876035E-7</v>
      </c>
      <c r="O235" s="18">
        <v>1.7881896000000001E-8</v>
      </c>
      <c r="P235" s="18">
        <v>9.0421599999999998E-7</v>
      </c>
      <c r="Q235" s="3">
        <v>1.9372233E-3</v>
      </c>
      <c r="R235" s="18">
        <v>9.4625640999999996E-5</v>
      </c>
      <c r="S235" s="3">
        <v>2.8753810999999998</v>
      </c>
      <c r="T235" s="3">
        <v>3.1913705000000001E-2</v>
      </c>
      <c r="U235" s="18">
        <v>4.1791812000000001E-8</v>
      </c>
      <c r="V235" s="18">
        <v>2.6107347E-9</v>
      </c>
      <c r="W235" s="3">
        <v>-5.6238987000000005E-4</v>
      </c>
      <c r="X235" s="3">
        <v>2.3161743E-4</v>
      </c>
    </row>
    <row r="236" spans="1:24" x14ac:dyDescent="0.3">
      <c r="A236" s="17" t="s">
        <v>113</v>
      </c>
      <c r="C236" s="3">
        <v>-8</v>
      </c>
      <c r="F236" s="3">
        <v>6.3792099999999996</v>
      </c>
      <c r="G236" s="16">
        <v>2801.71</v>
      </c>
      <c r="H236" s="13">
        <f t="shared" si="8"/>
        <v>0.78015766273762888</v>
      </c>
      <c r="I236" s="18">
        <v>439193000</v>
      </c>
      <c r="J236" s="18">
        <v>6445.94</v>
      </c>
      <c r="K236" s="3">
        <v>5.2007142999999999E-2</v>
      </c>
      <c r="L236" s="3">
        <v>5.3253440999999997E-4</v>
      </c>
      <c r="M236" s="18">
        <v>6.3053959999999997E-6</v>
      </c>
      <c r="N236" s="18">
        <v>1.3136119999999999E-7</v>
      </c>
      <c r="O236" s="18">
        <v>7.4747818E-6</v>
      </c>
      <c r="P236" s="18">
        <v>8.8592043999999999E-7</v>
      </c>
      <c r="Q236" s="3">
        <v>5.0883164E-3</v>
      </c>
      <c r="R236" s="3">
        <v>1.0377234000000001E-4</v>
      </c>
      <c r="S236" s="3">
        <v>0.98202792999999999</v>
      </c>
      <c r="T236" s="3">
        <v>1.2979821000000001E-2</v>
      </c>
      <c r="U236" s="18">
        <v>3.4013983999999998E-8</v>
      </c>
      <c r="V236" s="18">
        <v>8.4264737999999999E-10</v>
      </c>
      <c r="W236" s="3">
        <v>-1.2118694000000001E-3</v>
      </c>
      <c r="X236" s="3">
        <v>1.9623551999999999E-4</v>
      </c>
    </row>
    <row r="237" spans="1:24" x14ac:dyDescent="0.3">
      <c r="A237" s="17" t="s">
        <v>113</v>
      </c>
      <c r="C237" s="3">
        <v>-4</v>
      </c>
      <c r="F237" s="3">
        <v>6.3792099999999996</v>
      </c>
      <c r="G237" s="16">
        <v>2855.21</v>
      </c>
      <c r="H237" s="13">
        <f t="shared" si="8"/>
        <v>0.79505514854324866</v>
      </c>
      <c r="I237" s="18">
        <v>447580000</v>
      </c>
      <c r="J237" s="18">
        <v>5928.26</v>
      </c>
      <c r="K237" s="3">
        <v>5.0831983999999997E-2</v>
      </c>
      <c r="L237" s="3">
        <v>5.1088225000000002E-4</v>
      </c>
      <c r="M237" s="18">
        <v>6.5276462999999998E-6</v>
      </c>
      <c r="N237" s="18">
        <v>1.2651013000000001E-7</v>
      </c>
      <c r="O237" s="18">
        <v>4.2857003000000001E-6</v>
      </c>
      <c r="P237" s="18">
        <v>8.7550135999999998E-7</v>
      </c>
      <c r="Q237" s="3">
        <v>5.1233127999999999E-3</v>
      </c>
      <c r="R237" s="18">
        <v>9.5939767999999998E-5</v>
      </c>
      <c r="S237" s="3">
        <v>1.7974840999999999</v>
      </c>
      <c r="T237" s="3">
        <v>1.2049602E-2</v>
      </c>
      <c r="U237" s="18">
        <v>3.5262275999999997E-8</v>
      </c>
      <c r="V237" s="18">
        <v>8.1646669000000001E-10</v>
      </c>
      <c r="W237" s="3">
        <v>-1.9606920000000001E-4</v>
      </c>
      <c r="X237" s="3">
        <v>1.7751082999999999E-4</v>
      </c>
    </row>
    <row r="238" spans="1:24" x14ac:dyDescent="0.3">
      <c r="A238" s="17" t="s">
        <v>113</v>
      </c>
      <c r="C238" s="3">
        <v>0</v>
      </c>
      <c r="F238" s="3">
        <v>6.3792099999999996</v>
      </c>
      <c r="G238" s="16">
        <v>2902.28</v>
      </c>
      <c r="H238" s="13">
        <f t="shared" si="8"/>
        <v>0.80816215147540804</v>
      </c>
      <c r="I238" s="18">
        <v>454959000</v>
      </c>
      <c r="J238" s="18">
        <v>6321.71</v>
      </c>
      <c r="K238" s="3">
        <v>7.1808752000000003E-2</v>
      </c>
      <c r="L238" s="3">
        <v>5.1769757999999997E-4</v>
      </c>
      <c r="M238" s="18">
        <v>5.8369789000000003E-6</v>
      </c>
      <c r="N238" s="18">
        <v>1.0116956E-7</v>
      </c>
      <c r="O238" s="18">
        <v>8.4213356000000006E-6</v>
      </c>
      <c r="P238" s="18">
        <v>6.5866474000000004E-7</v>
      </c>
      <c r="Q238" s="3">
        <v>9.2189907000000005E-3</v>
      </c>
      <c r="R238" s="3">
        <v>1.2681703999999999E-4</v>
      </c>
      <c r="S238" s="3">
        <v>0.81095720000000004</v>
      </c>
      <c r="T238" s="3">
        <v>8.7712342999999998E-3</v>
      </c>
      <c r="U238" s="18">
        <v>2.8441987E-8</v>
      </c>
      <c r="V238" s="18">
        <v>4.6304432E-10</v>
      </c>
      <c r="W238" s="3">
        <v>-1.9249117000000001E-3</v>
      </c>
      <c r="X238" s="3">
        <v>2.3882556E-4</v>
      </c>
    </row>
    <row r="239" spans="1:24" x14ac:dyDescent="0.3">
      <c r="A239" s="17" t="s">
        <v>113</v>
      </c>
      <c r="C239" s="3">
        <v>4</v>
      </c>
      <c r="F239" s="3">
        <v>6.3792099999999996</v>
      </c>
      <c r="G239" s="16">
        <v>2918.79</v>
      </c>
      <c r="H239" s="13">
        <f t="shared" si="8"/>
        <v>0.81275948774925444</v>
      </c>
      <c r="I239" s="18">
        <v>457547000</v>
      </c>
      <c r="J239" s="18">
        <v>6187.76</v>
      </c>
      <c r="K239" s="3">
        <v>6.7085768000000004E-2</v>
      </c>
      <c r="L239" s="3">
        <v>4.4671042999999997E-4</v>
      </c>
      <c r="M239" s="18">
        <v>5.5525222999999998E-6</v>
      </c>
      <c r="N239" s="18">
        <v>9.9244176000000002E-8</v>
      </c>
      <c r="O239" s="18">
        <v>6.0962412999999996E-6</v>
      </c>
      <c r="P239" s="18">
        <v>6.5285225000000004E-7</v>
      </c>
      <c r="Q239" s="3">
        <v>1.0150724999999999E-2</v>
      </c>
      <c r="R239" s="3">
        <v>1.2471575999999999E-4</v>
      </c>
      <c r="S239" s="3">
        <v>1.1702486000000001</v>
      </c>
      <c r="T239" s="3">
        <v>7.8249379000000004E-3</v>
      </c>
      <c r="U239" s="18">
        <v>2.6502021000000001E-8</v>
      </c>
      <c r="V239" s="18">
        <v>3.8249758999999999E-10</v>
      </c>
      <c r="W239" s="3">
        <v>-2.8588382999999999E-3</v>
      </c>
      <c r="X239" s="3">
        <v>2.4192939000000001E-4</v>
      </c>
    </row>
    <row r="240" spans="1:24" x14ac:dyDescent="0.3">
      <c r="A240" s="17" t="s">
        <v>113</v>
      </c>
      <c r="C240" s="3">
        <v>8</v>
      </c>
      <c r="F240" s="3">
        <v>6.3792099999999996</v>
      </c>
      <c r="G240" s="16">
        <v>2885.36</v>
      </c>
      <c r="H240" s="13">
        <f t="shared" si="8"/>
        <v>0.80345064755333162</v>
      </c>
      <c r="I240" s="18">
        <v>452306000</v>
      </c>
      <c r="J240" s="18">
        <v>6943.17</v>
      </c>
      <c r="K240" s="3">
        <v>5.6410426E-2</v>
      </c>
      <c r="L240" s="3">
        <v>4.870303E-4</v>
      </c>
      <c r="M240" s="18">
        <v>6.1848492000000002E-6</v>
      </c>
      <c r="N240" s="18">
        <v>1.1303752E-7</v>
      </c>
      <c r="O240" s="18">
        <v>4.7329421999999998E-6</v>
      </c>
      <c r="P240" s="18">
        <v>7.8095042999999999E-7</v>
      </c>
      <c r="Q240" s="3">
        <v>8.1940533000000003E-3</v>
      </c>
      <c r="R240" s="3">
        <v>1.2384474000000001E-4</v>
      </c>
      <c r="S240" s="3">
        <v>1.1684254000000001</v>
      </c>
      <c r="T240" s="3">
        <v>9.5884173000000007E-3</v>
      </c>
      <c r="U240" s="18">
        <v>2.5526448E-8</v>
      </c>
      <c r="V240" s="18">
        <v>4.4820241999999999E-10</v>
      </c>
      <c r="W240" s="3">
        <v>-1.7330743999999999E-3</v>
      </c>
      <c r="X240" s="3">
        <v>1.9270383999999999E-4</v>
      </c>
    </row>
    <row r="241" spans="1:24" x14ac:dyDescent="0.3">
      <c r="A241" s="17" t="s">
        <v>113</v>
      </c>
      <c r="C241" s="3">
        <v>12</v>
      </c>
      <c r="F241" s="3">
        <v>6.3792099999999996</v>
      </c>
      <c r="G241" s="16">
        <v>2836.8</v>
      </c>
      <c r="H241" s="13">
        <f t="shared" si="8"/>
        <v>0.78992874268004387</v>
      </c>
      <c r="I241" s="18">
        <v>444694000</v>
      </c>
      <c r="J241" s="18">
        <v>7100.36</v>
      </c>
      <c r="K241" s="3">
        <v>6.4121224000000004E-2</v>
      </c>
      <c r="L241" s="3">
        <v>4.8958344000000001E-4</v>
      </c>
      <c r="M241" s="18">
        <v>5.9037952999999996E-6</v>
      </c>
      <c r="N241" s="18">
        <v>1.0454804E-7</v>
      </c>
      <c r="O241" s="18">
        <v>3.9596798999999999E-6</v>
      </c>
      <c r="P241" s="18">
        <v>7.2354355000000005E-7</v>
      </c>
      <c r="Q241" s="3">
        <v>8.1377476999999997E-3</v>
      </c>
      <c r="R241" s="3">
        <v>1.1990055E-4</v>
      </c>
      <c r="S241" s="3">
        <v>1.5282182</v>
      </c>
      <c r="T241" s="3">
        <v>9.3809597999999998E-3</v>
      </c>
      <c r="U241" s="18">
        <v>2.8300236000000001E-8</v>
      </c>
      <c r="V241" s="18">
        <v>4.9404245000000004E-10</v>
      </c>
      <c r="W241" s="3">
        <v>-1.1249440999999999E-3</v>
      </c>
      <c r="X241" s="3">
        <v>2.2066782E-4</v>
      </c>
    </row>
    <row r="242" spans="1:24" x14ac:dyDescent="0.3">
      <c r="A242" s="17" t="s">
        <v>113</v>
      </c>
      <c r="C242" s="3">
        <v>16</v>
      </c>
      <c r="F242" s="3">
        <v>6.3792099999999996</v>
      </c>
      <c r="G242" s="16">
        <v>2788.31</v>
      </c>
      <c r="H242" s="13">
        <f t="shared" si="8"/>
        <v>0.77642632984425863</v>
      </c>
      <c r="I242" s="18">
        <v>437093000</v>
      </c>
      <c r="J242" s="18">
        <v>7211.36</v>
      </c>
      <c r="K242" s="3">
        <v>6.1289428E-2</v>
      </c>
      <c r="L242" s="3">
        <v>4.8522989000000002E-4</v>
      </c>
      <c r="M242" s="18">
        <v>5.9670042999999997E-6</v>
      </c>
      <c r="N242" s="18">
        <v>1.099306E-7</v>
      </c>
      <c r="O242" s="18">
        <v>4.8002975000000003E-6</v>
      </c>
      <c r="P242" s="18">
        <v>7.3559123999999998E-7</v>
      </c>
      <c r="Q242" s="3">
        <v>7.3020098000000002E-3</v>
      </c>
      <c r="R242" s="3">
        <v>1.1430136E-4</v>
      </c>
      <c r="S242" s="3">
        <v>2.6548435000000001</v>
      </c>
      <c r="T242" s="3">
        <v>1.0029311000000001E-2</v>
      </c>
      <c r="U242" s="18">
        <v>2.9997405000000001E-8</v>
      </c>
      <c r="V242" s="18">
        <v>5.6711552E-10</v>
      </c>
      <c r="W242" s="3">
        <v>-1.7527509000000001E-3</v>
      </c>
      <c r="X242" s="3">
        <v>2.1812671999999999E-4</v>
      </c>
    </row>
    <row r="243" spans="1:24" x14ac:dyDescent="0.3">
      <c r="A243" s="17" t="s">
        <v>113</v>
      </c>
      <c r="C243" s="3">
        <v>20</v>
      </c>
      <c r="F243" s="3">
        <v>6.3792099999999996</v>
      </c>
      <c r="G243" s="16">
        <v>2746.26</v>
      </c>
      <c r="H243" s="13">
        <f t="shared" si="8"/>
        <v>0.76471718445872006</v>
      </c>
      <c r="I243" s="18">
        <v>430501000</v>
      </c>
      <c r="J243" s="18">
        <v>6144.38</v>
      </c>
      <c r="K243" s="3">
        <v>7.5019181000000004E-2</v>
      </c>
      <c r="L243" s="3">
        <v>5.4963731999999998E-4</v>
      </c>
      <c r="M243" s="18">
        <v>5.9979785000000004E-6</v>
      </c>
      <c r="N243" s="18">
        <v>9.8259463000000005E-8</v>
      </c>
      <c r="O243" s="18">
        <v>6.0504132000000002E-6</v>
      </c>
      <c r="P243" s="18">
        <v>6.7099642000000005E-7</v>
      </c>
      <c r="Q243" s="3">
        <v>8.5288431000000008E-3</v>
      </c>
      <c r="R243" s="3">
        <v>1.2232723000000001E-4</v>
      </c>
      <c r="S243" s="3">
        <v>1.9169326</v>
      </c>
      <c r="T243" s="3">
        <v>9.1691907999999992E-3</v>
      </c>
      <c r="U243" s="18">
        <v>3.0522736000000003E-8</v>
      </c>
      <c r="V243" s="18">
        <v>5.2345943999999996E-10</v>
      </c>
      <c r="W243" s="3">
        <v>-1.5168270000000001E-3</v>
      </c>
      <c r="X243" s="3">
        <v>2.3305818E-4</v>
      </c>
    </row>
    <row r="244" spans="1:24" x14ac:dyDescent="0.3">
      <c r="A244" s="17" t="s">
        <v>113</v>
      </c>
      <c r="C244" s="3">
        <v>24</v>
      </c>
      <c r="F244" s="3">
        <v>6.3792099999999996</v>
      </c>
      <c r="G244" s="16">
        <v>2707.68</v>
      </c>
      <c r="H244" s="13">
        <f t="shared" si="8"/>
        <v>0.75397428721795712</v>
      </c>
      <c r="I244" s="18">
        <v>424453000</v>
      </c>
      <c r="J244" s="18">
        <v>7723.74</v>
      </c>
      <c r="K244" s="3">
        <v>6.6067204000000004E-2</v>
      </c>
      <c r="L244" s="3">
        <v>5.9418141000000004E-4</v>
      </c>
      <c r="M244" s="18">
        <v>6.3498458999999998E-6</v>
      </c>
      <c r="N244" s="18">
        <v>1.122076E-7</v>
      </c>
      <c r="O244" s="18">
        <v>8.2883649999999994E-6</v>
      </c>
      <c r="P244" s="18">
        <v>7.6966340000000002E-7</v>
      </c>
      <c r="Q244" s="3">
        <v>7.0288733999999999E-3</v>
      </c>
      <c r="R244" s="3">
        <v>1.2387227999999999E-4</v>
      </c>
      <c r="S244" s="3">
        <v>1.1989993000000001</v>
      </c>
      <c r="T244" s="3">
        <v>1.1171365000000001E-2</v>
      </c>
      <c r="U244" s="18">
        <v>2.9854986E-8</v>
      </c>
      <c r="V244" s="18">
        <v>6.1887621000000001E-10</v>
      </c>
      <c r="W244" s="3">
        <v>-1.1414515000000001E-3</v>
      </c>
      <c r="X244" s="3">
        <v>2.0805654000000001E-4</v>
      </c>
    </row>
    <row r="245" spans="1:24" x14ac:dyDescent="0.3">
      <c r="A245" s="17" t="s">
        <v>113</v>
      </c>
      <c r="C245" s="3">
        <v>28</v>
      </c>
      <c r="F245" s="3">
        <v>6.3792099999999996</v>
      </c>
      <c r="G245" s="16">
        <v>2679.1</v>
      </c>
      <c r="H245" s="13">
        <f t="shared" si="8"/>
        <v>0.7460159667632914</v>
      </c>
      <c r="I245" s="18">
        <v>419973000</v>
      </c>
      <c r="J245" s="18">
        <v>7638.84</v>
      </c>
      <c r="K245" s="3">
        <v>6.8829916000000005E-2</v>
      </c>
      <c r="L245" s="3">
        <v>5.6075598999999997E-4</v>
      </c>
      <c r="M245" s="18">
        <v>5.9436388000000003E-6</v>
      </c>
      <c r="N245" s="18">
        <v>1.0488949999999999E-7</v>
      </c>
      <c r="O245" s="18">
        <v>5.2442396000000002E-6</v>
      </c>
      <c r="P245" s="18">
        <v>7.6155438999999998E-7</v>
      </c>
      <c r="Q245" s="3">
        <v>7.6428731000000001E-3</v>
      </c>
      <c r="R245" s="3">
        <v>1.2165083000000001E-4</v>
      </c>
      <c r="S245" s="3">
        <v>0.69106906000000001</v>
      </c>
      <c r="T245" s="3">
        <v>1.0044945E-2</v>
      </c>
      <c r="U245" s="18">
        <v>3.0239995E-8</v>
      </c>
      <c r="V245" s="18">
        <v>5.6250867999999997E-10</v>
      </c>
      <c r="W245" s="3">
        <v>-1.5505591E-3</v>
      </c>
      <c r="X245" s="3">
        <v>2.2987455999999999E-4</v>
      </c>
    </row>
    <row r="246" spans="1:24" x14ac:dyDescent="0.3">
      <c r="A246" s="17" t="s">
        <v>113</v>
      </c>
      <c r="C246" s="3">
        <v>32</v>
      </c>
      <c r="F246" s="3">
        <v>6.3792099999999996</v>
      </c>
      <c r="G246" s="16">
        <v>2647.64</v>
      </c>
      <c r="H246" s="13">
        <f t="shared" si="8"/>
        <v>0.73725568819422971</v>
      </c>
      <c r="I246" s="18">
        <v>415042000</v>
      </c>
      <c r="J246" s="18">
        <v>9788.2900000000009</v>
      </c>
      <c r="K246" s="3">
        <v>6.1654476999999999E-2</v>
      </c>
      <c r="L246" s="18">
        <v>7.6459744999999999E-5</v>
      </c>
      <c r="M246" s="18">
        <v>6.8681559000000003E-6</v>
      </c>
      <c r="N246" s="18">
        <v>5.5741317999999998E-8</v>
      </c>
      <c r="O246" s="18">
        <v>2.0785113000000001E-9</v>
      </c>
      <c r="P246" s="3" t="s">
        <v>31</v>
      </c>
      <c r="Q246" s="3">
        <v>5.9634518999999997E-3</v>
      </c>
      <c r="R246" s="3">
        <v>1.2091202E-4</v>
      </c>
      <c r="S246" s="3">
        <v>2.0396510999999999</v>
      </c>
      <c r="T246" s="3">
        <v>1.2973500000000001E-2</v>
      </c>
      <c r="U246" s="18">
        <v>3.1429255000000002E-8</v>
      </c>
      <c r="V246" s="18">
        <v>7.6118385000000004E-10</v>
      </c>
      <c r="W246" s="3">
        <v>-3.9632732E-4</v>
      </c>
      <c r="X246" s="3">
        <v>1.1356096E-4</v>
      </c>
    </row>
    <row r="247" spans="1:24" x14ac:dyDescent="0.3">
      <c r="A247" s="17" t="s">
        <v>113</v>
      </c>
      <c r="C247" s="3">
        <v>36</v>
      </c>
      <c r="F247" s="3">
        <v>6.3792099999999996</v>
      </c>
      <c r="G247" s="16">
        <v>2641.63</v>
      </c>
      <c r="H247" s="13">
        <f t="shared" si="8"/>
        <v>0.73558215754578538</v>
      </c>
      <c r="I247" s="18">
        <v>414100000</v>
      </c>
      <c r="J247" s="18">
        <v>11211.5</v>
      </c>
      <c r="K247" s="3">
        <v>6.2138818999999998E-2</v>
      </c>
      <c r="L247" s="18">
        <v>7.3644292E-5</v>
      </c>
      <c r="M247" s="18">
        <v>6.9623952999999999E-6</v>
      </c>
      <c r="N247" s="18">
        <v>5.3624983000000003E-8</v>
      </c>
      <c r="O247" s="18">
        <v>2.0470166E-11</v>
      </c>
      <c r="P247" s="3" t="s">
        <v>31</v>
      </c>
      <c r="Q247" s="3">
        <v>5.9472222000000003E-3</v>
      </c>
      <c r="R247" s="3">
        <v>1.2204937E-4</v>
      </c>
      <c r="S247" s="3">
        <v>2.1803446000000002</v>
      </c>
      <c r="T247" s="3">
        <v>1.3141276E-2</v>
      </c>
      <c r="U247" s="18">
        <v>2.9823768000000002E-8</v>
      </c>
      <c r="V247" s="18">
        <v>7.2473065000000004E-10</v>
      </c>
      <c r="W247" s="18">
        <v>-4.0285187000000003E-5</v>
      </c>
      <c r="X247" s="3">
        <v>1.0766176E-4</v>
      </c>
    </row>
    <row r="248" spans="1:24" x14ac:dyDescent="0.3">
      <c r="A248" s="17" t="s">
        <v>113</v>
      </c>
      <c r="C248" s="3">
        <v>40</v>
      </c>
      <c r="F248" s="3">
        <v>6.3792099999999996</v>
      </c>
      <c r="G248" s="16">
        <v>2645.04</v>
      </c>
      <c r="H248" s="13">
        <f t="shared" si="8"/>
        <v>0.73653169822984454</v>
      </c>
      <c r="I248" s="18">
        <v>414635000</v>
      </c>
      <c r="J248" s="18">
        <v>11607</v>
      </c>
      <c r="K248" s="3">
        <v>6.4437836999999998E-2</v>
      </c>
      <c r="L248" s="18">
        <v>7.9961635999999995E-5</v>
      </c>
      <c r="M248" s="18">
        <v>6.9944219999999997E-6</v>
      </c>
      <c r="N248" s="18">
        <v>5.6294620999999997E-8</v>
      </c>
      <c r="O248" s="18">
        <v>3.2231751999999998E-11</v>
      </c>
      <c r="P248" s="3" t="s">
        <v>31</v>
      </c>
      <c r="Q248" s="3">
        <v>6.3174970999999996E-3</v>
      </c>
      <c r="R248" s="3">
        <v>1.3774125000000001E-4</v>
      </c>
      <c r="S248" s="3">
        <v>1.8685124</v>
      </c>
      <c r="T248" s="3">
        <v>1.3901098000000001E-2</v>
      </c>
      <c r="U248" s="18">
        <v>2.8702190999999999E-8</v>
      </c>
      <c r="V248" s="18">
        <v>7.3298806000000001E-10</v>
      </c>
      <c r="W248" s="18">
        <v>-5.0307847000000002E-5</v>
      </c>
      <c r="X248" s="3">
        <v>1.1618819000000001E-4</v>
      </c>
    </row>
    <row r="249" spans="1:24" x14ac:dyDescent="0.3">
      <c r="A249" s="17" t="s">
        <v>113</v>
      </c>
      <c r="C249" s="3">
        <v>44</v>
      </c>
      <c r="F249" s="3">
        <v>6.3792099999999996</v>
      </c>
      <c r="G249" s="16">
        <v>2689.64</v>
      </c>
      <c r="H249" s="13">
        <f t="shared" si="8"/>
        <v>0.74895091069583786</v>
      </c>
      <c r="I249" s="18">
        <v>421626000</v>
      </c>
      <c r="J249" s="18">
        <v>11512.8</v>
      </c>
      <c r="K249" s="3">
        <v>3.8346937999999997E-2</v>
      </c>
      <c r="L249" s="3">
        <v>5.0774874E-4</v>
      </c>
      <c r="M249" s="18">
        <v>6.7773328999999998E-6</v>
      </c>
      <c r="N249" s="18">
        <v>1.5816324999999999E-7</v>
      </c>
      <c r="O249" s="18">
        <v>6.8907984999999996E-8</v>
      </c>
      <c r="P249" s="18">
        <v>1.1790381999999999E-6</v>
      </c>
      <c r="Q249" s="3">
        <v>3.5588146999999998E-3</v>
      </c>
      <c r="R249" s="18">
        <v>9.5802526000000001E-5</v>
      </c>
      <c r="S249" s="3">
        <v>2.8150710999999999</v>
      </c>
      <c r="T249" s="3">
        <v>1.7228446000000001E-2</v>
      </c>
      <c r="U249" s="18">
        <v>3.3527340999999999E-8</v>
      </c>
      <c r="V249" s="18">
        <v>1.1054229E-9</v>
      </c>
      <c r="W249" s="3">
        <v>-1.9748819E-4</v>
      </c>
      <c r="X249" s="3">
        <v>1.5948302999999999E-4</v>
      </c>
    </row>
    <row r="250" spans="1:24" x14ac:dyDescent="0.3">
      <c r="A250" s="17" t="s">
        <v>113</v>
      </c>
      <c r="C250" s="3">
        <v>48</v>
      </c>
      <c r="F250" s="3">
        <v>6.3792099999999996</v>
      </c>
      <c r="G250" s="16">
        <v>2709.99</v>
      </c>
      <c r="H250" s="13">
        <f t="shared" si="8"/>
        <v>0.75461752445554553</v>
      </c>
      <c r="I250" s="18">
        <v>424816000</v>
      </c>
      <c r="J250" s="18">
        <v>9111.58</v>
      </c>
      <c r="K250" s="3">
        <v>5.6308496999999999E-2</v>
      </c>
      <c r="L250" s="3">
        <v>6.1321377999999996E-4</v>
      </c>
      <c r="M250" s="18">
        <v>6.7614883999999998E-6</v>
      </c>
      <c r="N250" s="18">
        <v>1.3142192E-7</v>
      </c>
      <c r="O250" s="18">
        <v>5.8606193000000004E-6</v>
      </c>
      <c r="P250" s="18">
        <v>9.1211807999999996E-7</v>
      </c>
      <c r="Q250" s="3">
        <v>5.8277881999999996E-3</v>
      </c>
      <c r="R250" s="3">
        <v>1.351259E-4</v>
      </c>
      <c r="S250" s="3">
        <v>2.3087569999999999</v>
      </c>
      <c r="T250" s="3">
        <v>1.4686339E-2</v>
      </c>
      <c r="U250" s="18">
        <v>2.7021786E-8</v>
      </c>
      <c r="V250" s="18">
        <v>7.3296422E-10</v>
      </c>
      <c r="W250" s="18">
        <v>-4.6390826000000001E-5</v>
      </c>
      <c r="X250" s="3">
        <v>1.8929217E-4</v>
      </c>
    </row>
    <row r="251" spans="1:24" x14ac:dyDescent="0.3">
      <c r="A251" s="17" t="s">
        <v>113</v>
      </c>
      <c r="C251" s="3">
        <v>52</v>
      </c>
      <c r="F251" s="3">
        <v>6.3792099999999996</v>
      </c>
      <c r="G251" s="16">
        <v>2756.29</v>
      </c>
      <c r="H251" s="13">
        <f t="shared" si="8"/>
        <v>0.76751011497517552</v>
      </c>
      <c r="I251" s="18">
        <v>432075000</v>
      </c>
      <c r="J251" s="18">
        <v>7473.89</v>
      </c>
      <c r="K251" s="3">
        <v>5.4169387999999999E-2</v>
      </c>
      <c r="L251" s="3">
        <v>6.3338819999999999E-4</v>
      </c>
      <c r="M251" s="18">
        <v>6.5990911000000004E-6</v>
      </c>
      <c r="N251" s="18">
        <v>1.3994927999999999E-7</v>
      </c>
      <c r="O251" s="18">
        <v>2.5430245E-6</v>
      </c>
      <c r="P251" s="18">
        <v>1.0362532E-6</v>
      </c>
      <c r="Q251" s="3">
        <v>6.8430716000000003E-3</v>
      </c>
      <c r="R251" s="3">
        <v>1.3840173E-4</v>
      </c>
      <c r="S251" s="3">
        <v>1.6617835999999999</v>
      </c>
      <c r="T251" s="3">
        <v>1.2886193000000001E-2</v>
      </c>
      <c r="U251" s="18">
        <v>2.7508374000000001E-8</v>
      </c>
      <c r="V251" s="18">
        <v>6.5092914000000004E-10</v>
      </c>
      <c r="W251" s="3">
        <v>-6.4073438000000001E-4</v>
      </c>
      <c r="X251" s="3">
        <v>2.0489067999999999E-4</v>
      </c>
    </row>
    <row r="252" spans="1:24" x14ac:dyDescent="0.3">
      <c r="A252" s="17" t="s">
        <v>113</v>
      </c>
      <c r="C252" s="3">
        <v>56</v>
      </c>
      <c r="F252" s="3">
        <v>6.3792099999999996</v>
      </c>
      <c r="G252" s="16">
        <v>2606.7800000000002</v>
      </c>
      <c r="H252" s="13">
        <f t="shared" si="8"/>
        <v>0.72587790744623681</v>
      </c>
      <c r="I252" s="18">
        <v>408637000</v>
      </c>
      <c r="J252" s="18">
        <v>137023</v>
      </c>
      <c r="K252" s="3">
        <v>6.6373657000000003E-2</v>
      </c>
      <c r="L252" s="3">
        <v>8.0101387000000004E-4</v>
      </c>
      <c r="M252" s="18">
        <v>6.3976061000000001E-6</v>
      </c>
      <c r="N252" s="18">
        <v>1.4754740000000001E-7</v>
      </c>
      <c r="O252" s="18">
        <v>2.4413111999999998E-6</v>
      </c>
      <c r="P252" s="18">
        <v>1.0952013E-6</v>
      </c>
      <c r="Q252" s="3">
        <v>3.5449840000000002E-3</v>
      </c>
      <c r="R252" s="3">
        <v>2.0164588000000001E-4</v>
      </c>
      <c r="S252" s="3">
        <v>2.5481840999999998</v>
      </c>
      <c r="T252" s="3">
        <v>3.5750355999999997E-2</v>
      </c>
      <c r="U252" s="18">
        <v>2.4195001E-8</v>
      </c>
      <c r="V252" s="18">
        <v>1.5577069E-9</v>
      </c>
      <c r="W252" s="3">
        <v>-9.9512948000000001E-4</v>
      </c>
      <c r="X252" s="3">
        <v>2.7951602000000003E-4</v>
      </c>
    </row>
    <row r="253" spans="1:24" x14ac:dyDescent="0.3">
      <c r="A253" s="17" t="s">
        <v>113</v>
      </c>
      <c r="C253" s="3">
        <v>60</v>
      </c>
      <c r="F253" s="3">
        <v>6.3792099999999996</v>
      </c>
      <c r="G253" s="16">
        <v>2626.14</v>
      </c>
      <c r="H253" s="13">
        <f t="shared" si="8"/>
        <v>0.73126884810412085</v>
      </c>
      <c r="I253" s="18">
        <v>411671000</v>
      </c>
      <c r="J253" s="18">
        <v>14177.1</v>
      </c>
      <c r="K253" s="3">
        <v>6.1022568999999999E-2</v>
      </c>
      <c r="L253" s="3">
        <v>6.3711827E-4</v>
      </c>
      <c r="M253" s="18">
        <v>6.8268621999999999E-6</v>
      </c>
      <c r="N253" s="18">
        <v>1.2482195000000001E-7</v>
      </c>
      <c r="O253" s="18">
        <v>3.9405202000000002E-6</v>
      </c>
      <c r="P253" s="18">
        <v>8.8790902000000001E-7</v>
      </c>
      <c r="Q253" s="3">
        <v>5.1925108999999999E-3</v>
      </c>
      <c r="R253" s="3">
        <v>1.4153317999999999E-4</v>
      </c>
      <c r="S253" s="3">
        <v>-3.1491419999999999</v>
      </c>
      <c r="T253" s="3">
        <v>1.7224133999999999E-2</v>
      </c>
      <c r="U253" s="18">
        <v>2.6719300999999999E-8</v>
      </c>
      <c r="V253" s="18">
        <v>8.5178053000000001E-10</v>
      </c>
      <c r="W253" s="3">
        <v>-1.1400161E-4</v>
      </c>
      <c r="X253" s="3">
        <v>1.9366220999999999E-4</v>
      </c>
    </row>
    <row r="254" spans="1:24" x14ac:dyDescent="0.3">
      <c r="A254" s="17" t="s">
        <v>113</v>
      </c>
      <c r="C254" s="3">
        <v>64</v>
      </c>
      <c r="F254" s="3">
        <v>6.3792099999999996</v>
      </c>
      <c r="G254" s="16">
        <v>2909.63</v>
      </c>
      <c r="H254" s="13">
        <f t="shared" si="8"/>
        <v>0.81020881541318945</v>
      </c>
      <c r="I254" s="18">
        <v>456112000</v>
      </c>
      <c r="J254" s="18">
        <v>5074.79</v>
      </c>
      <c r="K254" s="3">
        <v>5.7252807000000003E-2</v>
      </c>
      <c r="L254" s="3">
        <v>5.4278704000000004E-4</v>
      </c>
      <c r="M254" s="18">
        <v>6.8218035000000001E-6</v>
      </c>
      <c r="N254" s="18">
        <v>1.2386745E-7</v>
      </c>
      <c r="O254" s="18">
        <v>4.8524149999999997E-6</v>
      </c>
      <c r="P254" s="18">
        <v>7.8657088999999998E-7</v>
      </c>
      <c r="Q254" s="3">
        <v>6.3631173999999999E-3</v>
      </c>
      <c r="R254" s="3">
        <v>1.1041516E-4</v>
      </c>
      <c r="S254" s="3">
        <v>2.9631363999999998</v>
      </c>
      <c r="T254" s="3">
        <v>1.1545420000000001E-2</v>
      </c>
      <c r="U254" s="18">
        <v>3.2559588000000003E-8</v>
      </c>
      <c r="V254" s="18">
        <v>7.1447502999999999E-10</v>
      </c>
      <c r="W254" s="3">
        <v>-1.6488829E-4</v>
      </c>
      <c r="X254" s="3">
        <v>1.8430167E-4</v>
      </c>
    </row>
    <row r="255" spans="1:24" x14ac:dyDescent="0.3">
      <c r="A255" s="17" t="s">
        <v>113</v>
      </c>
      <c r="C255" s="3">
        <v>68</v>
      </c>
      <c r="F255" s="3">
        <v>6.3792099999999996</v>
      </c>
      <c r="G255" s="16">
        <v>2938.93</v>
      </c>
      <c r="H255" s="13">
        <f t="shared" si="8"/>
        <v>0.81836762539645402</v>
      </c>
      <c r="I255" s="18">
        <v>460704000</v>
      </c>
      <c r="J255" s="18">
        <v>4122.3</v>
      </c>
      <c r="K255" s="3">
        <v>6.2539899999999995E-2</v>
      </c>
      <c r="L255" s="3">
        <v>6.2787274999999995E-4</v>
      </c>
      <c r="M255" s="18">
        <v>6.6851176000000001E-6</v>
      </c>
      <c r="N255" s="18">
        <v>1.2153646999999999E-7</v>
      </c>
      <c r="O255" s="18">
        <v>2.9074227000000001E-6</v>
      </c>
      <c r="P255" s="18">
        <v>8.7579628E-7</v>
      </c>
      <c r="Q255" s="3">
        <v>6.4074657999999996E-3</v>
      </c>
      <c r="R255" s="3">
        <v>1.0827047E-4</v>
      </c>
      <c r="S255" s="3">
        <v>0.99945691000000003</v>
      </c>
      <c r="T255" s="3">
        <v>1.0963696E-2</v>
      </c>
      <c r="U255" s="18">
        <v>3.7205436999999998E-8</v>
      </c>
      <c r="V255" s="18">
        <v>7.8274645999999996E-10</v>
      </c>
      <c r="W255" s="3">
        <v>-6.0256149000000004E-4</v>
      </c>
      <c r="X255" s="3">
        <v>2.0162718E-4</v>
      </c>
    </row>
    <row r="256" spans="1:24" x14ac:dyDescent="0.3">
      <c r="A256" s="17" t="s">
        <v>113</v>
      </c>
      <c r="C256" s="3">
        <v>72</v>
      </c>
      <c r="F256" s="3">
        <v>6.3792099999999996</v>
      </c>
      <c r="G256" s="16">
        <v>2927.01</v>
      </c>
      <c r="H256" s="13">
        <f t="shared" si="8"/>
        <v>0.81504840986742633</v>
      </c>
      <c r="I256" s="18">
        <v>458836000</v>
      </c>
      <c r="J256" s="18">
        <v>3507.21</v>
      </c>
      <c r="K256" s="3">
        <v>6.3298784999999996E-2</v>
      </c>
      <c r="L256" s="3">
        <v>7.1112471000000003E-4</v>
      </c>
      <c r="M256" s="18">
        <v>7.0724885999999998E-6</v>
      </c>
      <c r="N256" s="18">
        <v>1.3162748000000001E-7</v>
      </c>
      <c r="O256" s="18">
        <v>7.543391E-6</v>
      </c>
      <c r="P256" s="18">
        <v>8.9451469E-7</v>
      </c>
      <c r="Q256" s="3">
        <v>6.5861143999999998E-3</v>
      </c>
      <c r="R256" s="3">
        <v>1.1345068E-4</v>
      </c>
      <c r="S256" s="3">
        <v>0.37876452999999999</v>
      </c>
      <c r="T256" s="3">
        <v>1.1063277999999999E-2</v>
      </c>
      <c r="U256" s="18">
        <v>3.8422012000000002E-8</v>
      </c>
      <c r="V256" s="18">
        <v>8.2351600000000003E-10</v>
      </c>
      <c r="W256" s="3">
        <v>-2.229752E-4</v>
      </c>
      <c r="X256" s="3">
        <v>1.9450395E-4</v>
      </c>
    </row>
    <row r="257" spans="1:24" x14ac:dyDescent="0.3">
      <c r="A257" s="17" t="s">
        <v>113</v>
      </c>
      <c r="C257" s="3">
        <v>76</v>
      </c>
      <c r="F257" s="3">
        <v>6.3792099999999996</v>
      </c>
      <c r="G257" s="16">
        <v>2882.75</v>
      </c>
      <c r="H257" s="13">
        <f t="shared" si="8"/>
        <v>0.80272387301216019</v>
      </c>
      <c r="I257" s="18">
        <v>451898000</v>
      </c>
      <c r="J257" s="18">
        <v>5127.29</v>
      </c>
      <c r="K257" s="3">
        <v>6.0036091E-2</v>
      </c>
      <c r="L257" s="3">
        <v>6.0831467000000002E-4</v>
      </c>
      <c r="M257" s="18">
        <v>6.6276470000000001E-6</v>
      </c>
      <c r="N257" s="18">
        <v>1.2741851999999999E-7</v>
      </c>
      <c r="O257" s="18">
        <v>6.6682176000000003E-6</v>
      </c>
      <c r="P257" s="18">
        <v>8.4948639000000005E-7</v>
      </c>
      <c r="Q257" s="3">
        <v>4.6496259E-3</v>
      </c>
      <c r="R257" s="18">
        <v>9.9875832999999994E-5</v>
      </c>
      <c r="S257" s="3">
        <v>1.548252</v>
      </c>
      <c r="T257" s="3">
        <v>1.3882098000000001E-2</v>
      </c>
      <c r="U257" s="18">
        <v>4.1440791000000003E-8</v>
      </c>
      <c r="V257" s="18">
        <v>1.1288701000000001E-9</v>
      </c>
      <c r="W257" s="3">
        <v>-4.2835622E-4</v>
      </c>
      <c r="X257" s="3">
        <v>2.0335511E-4</v>
      </c>
    </row>
    <row r="258" spans="1:24" x14ac:dyDescent="0.3">
      <c r="A258" s="17" t="s">
        <v>113</v>
      </c>
      <c r="C258" s="3">
        <v>80</v>
      </c>
      <c r="F258" s="3">
        <v>6.3792099999999996</v>
      </c>
      <c r="G258" s="16">
        <v>3340.73</v>
      </c>
      <c r="H258" s="13">
        <f t="shared" si="8"/>
        <v>0.93025192066183826</v>
      </c>
      <c r="I258" s="18">
        <v>523691000</v>
      </c>
      <c r="J258" s="18">
        <v>77319.100000000006</v>
      </c>
      <c r="K258" s="3">
        <v>5.3415944999999999E-2</v>
      </c>
      <c r="L258" s="3">
        <v>7.7859871000000001E-4</v>
      </c>
      <c r="M258" s="18">
        <v>6.9078286999999997E-6</v>
      </c>
      <c r="N258" s="18">
        <v>1.7246598000000001E-7</v>
      </c>
      <c r="O258" s="18">
        <v>5.4393879999999999E-8</v>
      </c>
      <c r="P258" s="18">
        <v>1.2811023E-6</v>
      </c>
      <c r="Q258" s="3">
        <v>2.0561433E-3</v>
      </c>
      <c r="R258" s="3">
        <v>1.5063117E-4</v>
      </c>
      <c r="S258" s="3">
        <v>-1.0607525</v>
      </c>
      <c r="T258" s="3">
        <v>4.7907320000000003E-2</v>
      </c>
      <c r="U258" s="18">
        <v>3.1450743000000002E-8</v>
      </c>
      <c r="V258" s="18">
        <v>2.8243955000000001E-9</v>
      </c>
      <c r="W258" s="3">
        <v>-1.9613431E-4</v>
      </c>
      <c r="X258" s="3">
        <v>2.3449030000000001E-4</v>
      </c>
    </row>
    <row r="259" spans="1:24" x14ac:dyDescent="0.3">
      <c r="A259" s="17" t="s">
        <v>113</v>
      </c>
      <c r="C259" s="3">
        <v>84</v>
      </c>
      <c r="F259" s="3">
        <v>6.3792099999999996</v>
      </c>
      <c r="G259" s="16">
        <v>3352.28</v>
      </c>
      <c r="H259" s="13">
        <f t="shared" si="8"/>
        <v>0.93346810684978043</v>
      </c>
      <c r="I259" s="18">
        <v>525500000</v>
      </c>
      <c r="J259" s="18">
        <v>61013.4</v>
      </c>
      <c r="K259" s="3">
        <v>4.8933905E-2</v>
      </c>
      <c r="L259" s="18">
        <v>8.6420265999999997E-5</v>
      </c>
      <c r="M259" s="18">
        <v>6.8166720000000004E-6</v>
      </c>
      <c r="N259" s="18">
        <v>7.7869206E-8</v>
      </c>
      <c r="O259" s="18">
        <v>1.3441041E-10</v>
      </c>
      <c r="P259" s="3" t="s">
        <v>31</v>
      </c>
      <c r="Q259" s="3">
        <v>2.2337157000000001E-3</v>
      </c>
      <c r="R259" s="3">
        <v>1.377735E-4</v>
      </c>
      <c r="S259" s="3">
        <v>-0.13275692</v>
      </c>
      <c r="T259" s="3">
        <v>4.0614392999999999E-2</v>
      </c>
      <c r="U259" s="18">
        <v>2.8946482999999998E-8</v>
      </c>
      <c r="V259" s="18">
        <v>2.1840906999999999E-9</v>
      </c>
      <c r="W259" s="3">
        <v>-3.2035606000000002E-4</v>
      </c>
      <c r="X259" s="3">
        <v>1.2883902000000001E-4</v>
      </c>
    </row>
    <row r="260" spans="1:24" x14ac:dyDescent="0.3">
      <c r="A260" s="17" t="s">
        <v>113</v>
      </c>
      <c r="C260" s="3">
        <v>88</v>
      </c>
      <c r="F260" s="3">
        <v>6.3792099999999996</v>
      </c>
      <c r="G260" s="16">
        <v>3381.97</v>
      </c>
      <c r="H260" s="13">
        <f t="shared" si="8"/>
        <v>0.94173551532770283</v>
      </c>
      <c r="I260" s="18">
        <v>530156000</v>
      </c>
      <c r="J260" s="18">
        <v>53707.9</v>
      </c>
      <c r="K260" s="3">
        <v>4.3068875E-2</v>
      </c>
      <c r="L260" s="3">
        <v>5.7452485000000005E-4</v>
      </c>
      <c r="M260" s="18">
        <v>6.4202329000000003E-6</v>
      </c>
      <c r="N260" s="18">
        <v>1.7004512E-7</v>
      </c>
      <c r="O260" s="18">
        <v>2.4928965999999998E-6</v>
      </c>
      <c r="P260" s="18">
        <v>1.1984122E-6</v>
      </c>
      <c r="Q260" s="3">
        <v>2.5675368999999999E-3</v>
      </c>
      <c r="R260" s="3">
        <v>1.5211932000000001E-4</v>
      </c>
      <c r="S260" s="3">
        <v>-1.4367452999999999</v>
      </c>
      <c r="T260" s="3">
        <v>3.8370889999999998E-2</v>
      </c>
      <c r="U260" s="18">
        <v>2.3508656999999999E-8</v>
      </c>
      <c r="V260" s="18">
        <v>1.6198478000000001E-9</v>
      </c>
      <c r="W260" s="3">
        <v>-6.4300869999999995E-4</v>
      </c>
      <c r="X260" s="3">
        <v>2.1022658999999999E-4</v>
      </c>
    </row>
    <row r="261" spans="1:24" x14ac:dyDescent="0.3">
      <c r="A261" s="17" t="s">
        <v>113</v>
      </c>
      <c r="C261" s="3">
        <v>92</v>
      </c>
      <c r="F261" s="3">
        <v>6.3792099999999996</v>
      </c>
      <c r="G261" s="16">
        <v>3425.27</v>
      </c>
      <c r="H261" s="13">
        <f t="shared" si="8"/>
        <v>0.95379273281150367</v>
      </c>
      <c r="I261" s="18">
        <v>536943000</v>
      </c>
      <c r="J261" s="18">
        <v>73858</v>
      </c>
      <c r="K261" s="3">
        <v>4.4496115000000003E-2</v>
      </c>
      <c r="L261" s="3">
        <v>5.6758062000000005E-4</v>
      </c>
      <c r="M261" s="18">
        <v>7.2660187E-6</v>
      </c>
      <c r="N261" s="18">
        <v>1.5482076000000001E-7</v>
      </c>
      <c r="O261" s="18">
        <v>8.0178782999999996E-6</v>
      </c>
      <c r="P261" s="18">
        <v>9.8169961999999995E-7</v>
      </c>
      <c r="Q261" s="3">
        <v>2.8501566000000002E-3</v>
      </c>
      <c r="R261" s="3">
        <v>1.1196029E-4</v>
      </c>
      <c r="S261" s="3">
        <v>-0.32291060999999999</v>
      </c>
      <c r="T261" s="3">
        <v>3.9669468999999999E-2</v>
      </c>
      <c r="U261" s="18">
        <v>1.7967355999999999E-8</v>
      </c>
      <c r="V261" s="3" t="s">
        <v>31</v>
      </c>
      <c r="W261" s="3">
        <v>3.3239302999999999E-4</v>
      </c>
      <c r="X261" s="3">
        <v>1.5525108E-4</v>
      </c>
    </row>
    <row r="262" spans="1:24" x14ac:dyDescent="0.3">
      <c r="A262" s="17" t="s">
        <v>113</v>
      </c>
      <c r="C262" s="3">
        <v>96</v>
      </c>
      <c r="F262" s="3">
        <v>6.3792099999999996</v>
      </c>
      <c r="G262" s="16">
        <v>3477.5</v>
      </c>
      <c r="H262" s="13">
        <f t="shared" si="8"/>
        <v>0.96833657736528911</v>
      </c>
      <c r="I262" s="18">
        <v>545130000</v>
      </c>
      <c r="J262" s="18">
        <v>25813.599999999999</v>
      </c>
      <c r="K262" s="3">
        <v>4.6955176000000001E-2</v>
      </c>
      <c r="L262" s="18">
        <v>7.7867292000000004E-5</v>
      </c>
      <c r="M262" s="18">
        <v>6.7434243000000002E-6</v>
      </c>
      <c r="N262" s="18">
        <v>7.4283959000000002E-8</v>
      </c>
      <c r="O262" s="18">
        <v>2.3782603999999999E-14</v>
      </c>
      <c r="P262" s="3" t="s">
        <v>31</v>
      </c>
      <c r="Q262" s="3">
        <v>3.5010062000000002E-3</v>
      </c>
      <c r="R262" s="3">
        <v>1.5885724999999999E-4</v>
      </c>
      <c r="S262" s="3">
        <v>2.796109</v>
      </c>
      <c r="T262" s="3">
        <v>2.8626339000000001E-2</v>
      </c>
      <c r="U262" s="18">
        <v>2.3737920999999999E-8</v>
      </c>
      <c r="V262" s="18">
        <v>1.1953935E-9</v>
      </c>
      <c r="W262" s="3">
        <v>-2.4691886999999999E-4</v>
      </c>
      <c r="X262" s="3">
        <v>1.1838044000000001E-4</v>
      </c>
    </row>
    <row r="263" spans="1:24" x14ac:dyDescent="0.3">
      <c r="A263" s="17" t="s">
        <v>113</v>
      </c>
      <c r="C263" s="3">
        <v>100</v>
      </c>
      <c r="F263" s="3">
        <v>6.3792099999999996</v>
      </c>
      <c r="G263" s="16">
        <v>3496.09</v>
      </c>
      <c r="H263" s="13">
        <f t="shared" si="8"/>
        <v>0.97351310561064375</v>
      </c>
      <c r="I263" s="18">
        <v>548044000</v>
      </c>
      <c r="J263" s="18">
        <v>27749.1</v>
      </c>
      <c r="K263" s="3">
        <v>4.4010074000000003E-2</v>
      </c>
      <c r="L263" s="3">
        <v>5.7535544999999999E-4</v>
      </c>
      <c r="M263" s="18">
        <v>6.8605632000000003E-6</v>
      </c>
      <c r="N263" s="18">
        <v>1.6041631000000001E-7</v>
      </c>
      <c r="O263" s="18">
        <v>9.6589634000000004E-6</v>
      </c>
      <c r="P263" s="18">
        <v>1.0318546000000001E-6</v>
      </c>
      <c r="Q263" s="3">
        <v>3.1872313000000001E-3</v>
      </c>
      <c r="R263" s="3">
        <v>1.3667972000000001E-4</v>
      </c>
      <c r="S263" s="3">
        <v>-2.5740582000000001</v>
      </c>
      <c r="T263" s="3">
        <v>2.7906423999999999E-2</v>
      </c>
      <c r="U263" s="18">
        <v>2.4283918000000001E-8</v>
      </c>
      <c r="V263" s="18">
        <v>1.2135645999999999E-9</v>
      </c>
      <c r="W263" s="3">
        <v>-2.6462224999999998E-4</v>
      </c>
      <c r="X263" s="3">
        <v>1.7316616999999999E-4</v>
      </c>
    </row>
    <row r="264" spans="1:24" x14ac:dyDescent="0.3">
      <c r="A264" s="17" t="s">
        <v>113</v>
      </c>
      <c r="C264" s="3">
        <v>104</v>
      </c>
      <c r="F264" s="3">
        <v>6.3792099999999996</v>
      </c>
      <c r="G264" s="16">
        <v>3545.64</v>
      </c>
      <c r="H264" s="13">
        <f t="shared" si="8"/>
        <v>0.98731068358575513</v>
      </c>
      <c r="I264" s="18">
        <v>555812000</v>
      </c>
      <c r="J264" s="18">
        <v>20135</v>
      </c>
      <c r="K264" s="3">
        <v>4.0930439999999998E-2</v>
      </c>
      <c r="L264" s="3">
        <v>6.9737911000000003E-4</v>
      </c>
      <c r="M264" s="18">
        <v>6.742322E-6</v>
      </c>
      <c r="N264" s="18">
        <v>1.8654805000000001E-7</v>
      </c>
      <c r="O264" s="18">
        <v>3.9000842000000002E-8</v>
      </c>
      <c r="P264" s="18">
        <v>1.5458741999999999E-6</v>
      </c>
      <c r="Q264" s="3">
        <v>2.8609096999999998E-3</v>
      </c>
      <c r="R264" s="3">
        <v>1.2478226999999999E-4</v>
      </c>
      <c r="S264" s="3">
        <v>1.4562145</v>
      </c>
      <c r="T264" s="3">
        <v>2.7765043999999999E-2</v>
      </c>
      <c r="U264" s="18">
        <v>3.1485279E-8</v>
      </c>
      <c r="V264" s="18">
        <v>1.6078394999999999E-9</v>
      </c>
      <c r="W264" s="3">
        <v>-2.5908080999999998E-4</v>
      </c>
      <c r="X264" s="3">
        <v>1.9719179E-4</v>
      </c>
    </row>
    <row r="265" spans="1:24" x14ac:dyDescent="0.3">
      <c r="A265" s="17" t="s">
        <v>113</v>
      </c>
      <c r="C265" s="3">
        <v>108</v>
      </c>
      <c r="F265" s="3">
        <v>6.3792099999999996</v>
      </c>
      <c r="G265" s="16">
        <v>3567.4</v>
      </c>
      <c r="H265" s="13">
        <f t="shared" si="8"/>
        <v>0.99336992267230262</v>
      </c>
      <c r="I265" s="18">
        <v>559223000</v>
      </c>
      <c r="J265" s="18">
        <v>30002.1</v>
      </c>
      <c r="K265" s="3">
        <v>3.5578673999999998E-2</v>
      </c>
      <c r="L265" s="18">
        <v>7.6155137E-5</v>
      </c>
      <c r="M265" s="18">
        <v>7.1249167000000002E-6</v>
      </c>
      <c r="N265" s="18">
        <v>9.6918963999999998E-8</v>
      </c>
      <c r="O265" s="18">
        <v>2.3636131E-14</v>
      </c>
      <c r="P265" s="3" t="s">
        <v>31</v>
      </c>
      <c r="Q265" s="3">
        <v>2.2337125999999999E-3</v>
      </c>
      <c r="R265" s="3">
        <v>1.1182413E-4</v>
      </c>
      <c r="S265" s="3">
        <v>-2.1121574000000001</v>
      </c>
      <c r="T265" s="3">
        <v>3.3041498000000002E-2</v>
      </c>
      <c r="U265" s="18">
        <v>3.3296773999999998E-8</v>
      </c>
      <c r="V265" s="18">
        <v>2.0730668E-9</v>
      </c>
      <c r="W265" s="3">
        <v>1.9535264999999999E-4</v>
      </c>
      <c r="X265" s="3">
        <v>1.0817036E-4</v>
      </c>
    </row>
    <row r="266" spans="1:24" x14ac:dyDescent="0.3">
      <c r="A266" s="17" t="s">
        <v>113</v>
      </c>
      <c r="C266" s="3">
        <v>112</v>
      </c>
      <c r="F266" s="3">
        <v>6.3792099999999996</v>
      </c>
      <c r="G266" s="16">
        <v>3496.81</v>
      </c>
      <c r="H266" s="13">
        <f t="shared" si="8"/>
        <v>0.97371359513924272</v>
      </c>
      <c r="I266" s="18">
        <v>548157000</v>
      </c>
      <c r="J266" s="18">
        <v>412048</v>
      </c>
      <c r="K266" s="3">
        <v>5.2382449999999997E-2</v>
      </c>
      <c r="L266" s="3">
        <v>1.0811701E-3</v>
      </c>
      <c r="M266" s="18">
        <v>7.4985235000000004E-6</v>
      </c>
      <c r="N266" s="18">
        <v>2.0954733E-7</v>
      </c>
      <c r="O266" s="18">
        <v>8.4883941000000001E-6</v>
      </c>
      <c r="P266" s="18">
        <v>1.6042311E-6</v>
      </c>
      <c r="Q266" s="3">
        <v>1.8920034000000001E-3</v>
      </c>
      <c r="R266" s="3">
        <v>2.4431852000000002E-4</v>
      </c>
      <c r="S266" s="3">
        <v>1.4571854</v>
      </c>
      <c r="T266" s="3">
        <v>7.7546830999999997E-2</v>
      </c>
      <c r="U266" s="18">
        <v>2.1882043000000001E-8</v>
      </c>
      <c r="V266" s="18">
        <v>2.9296203000000002E-9</v>
      </c>
      <c r="W266" s="18">
        <v>-2.8225476999999999E-6</v>
      </c>
      <c r="X266" s="3">
        <v>2.2050746E-4</v>
      </c>
    </row>
    <row r="267" spans="1:24" x14ac:dyDescent="0.3">
      <c r="A267" s="17" t="s">
        <v>113</v>
      </c>
      <c r="C267" s="3">
        <v>116</v>
      </c>
      <c r="F267" s="3">
        <v>6.3792099999999996</v>
      </c>
      <c r="G267" s="16">
        <v>2950.25</v>
      </c>
      <c r="H267" s="13">
        <f t="shared" ref="H267:H285" si="9">G267/MAX($G$10:$G$285)</f>
        <v>0.82151976631831614</v>
      </c>
      <c r="I267" s="18">
        <v>462478000</v>
      </c>
      <c r="J267" s="18">
        <v>7582.2</v>
      </c>
      <c r="K267" s="3">
        <v>4.6854962E-2</v>
      </c>
      <c r="L267" s="3">
        <v>5.7556779999999997E-4</v>
      </c>
      <c r="M267" s="18">
        <v>6.9896554000000002E-6</v>
      </c>
      <c r="N267" s="18">
        <v>1.4940786000000001E-7</v>
      </c>
      <c r="O267" s="18">
        <v>3.8682454E-6</v>
      </c>
      <c r="P267" s="18">
        <v>1.021565E-6</v>
      </c>
      <c r="Q267" s="3">
        <v>5.3055391999999998E-3</v>
      </c>
      <c r="R267" s="3">
        <v>1.1839768000000001E-4</v>
      </c>
      <c r="S267" s="3">
        <v>2.0045525</v>
      </c>
      <c r="T267" s="3">
        <v>1.4352082E-2</v>
      </c>
      <c r="U267" s="18">
        <v>2.9925667000000002E-8</v>
      </c>
      <c r="V267" s="18">
        <v>8.1329256000000002E-10</v>
      </c>
      <c r="W267" s="3">
        <v>-4.1192664E-4</v>
      </c>
      <c r="X267" s="3">
        <v>1.7234936E-4</v>
      </c>
    </row>
    <row r="268" spans="1:24" x14ac:dyDescent="0.3">
      <c r="A268" s="17" t="s">
        <v>113</v>
      </c>
      <c r="C268" s="3">
        <v>120</v>
      </c>
      <c r="F268" s="3">
        <v>6.3792099999999996</v>
      </c>
      <c r="G268" s="16">
        <v>3009.35</v>
      </c>
      <c r="H268" s="13">
        <f t="shared" si="9"/>
        <v>0.83797661512415034</v>
      </c>
      <c r="I268" s="18">
        <v>471744000</v>
      </c>
      <c r="J268" s="18">
        <v>4991.28</v>
      </c>
      <c r="K268" s="3">
        <v>5.1838228E-2</v>
      </c>
      <c r="L268" s="3">
        <v>6.2757269999999998E-4</v>
      </c>
      <c r="M268" s="18">
        <v>7.6483121000000004E-6</v>
      </c>
      <c r="N268" s="18">
        <v>1.4081108E-7</v>
      </c>
      <c r="O268" s="18">
        <v>9.9669969999999997E-6</v>
      </c>
      <c r="P268" s="18">
        <v>8.8206927000000001E-7</v>
      </c>
      <c r="Q268" s="3">
        <v>6.4264109999999999E-3</v>
      </c>
      <c r="R268" s="3">
        <v>1.1578172E-4</v>
      </c>
      <c r="S268" s="3">
        <v>1.2715312000000001</v>
      </c>
      <c r="T268" s="3">
        <v>1.1581378E-2</v>
      </c>
      <c r="U268" s="18">
        <v>3.0699937999999997E-8</v>
      </c>
      <c r="V268" s="18">
        <v>6.7443003999999999E-10</v>
      </c>
      <c r="W268" s="18">
        <v>-6.1904011999999998E-7</v>
      </c>
      <c r="X268" s="3">
        <v>1.4716704E-4</v>
      </c>
    </row>
    <row r="269" spans="1:24" x14ac:dyDescent="0.3">
      <c r="A269" s="17" t="s">
        <v>113</v>
      </c>
      <c r="C269" s="3">
        <v>124</v>
      </c>
      <c r="F269" s="3">
        <v>6.3792099999999996</v>
      </c>
      <c r="G269" s="16">
        <v>3027.71</v>
      </c>
      <c r="H269" s="13">
        <f t="shared" si="9"/>
        <v>0.84308909810342481</v>
      </c>
      <c r="I269" s="18">
        <v>474622000</v>
      </c>
      <c r="J269" s="18">
        <v>4366.7299999999996</v>
      </c>
      <c r="K269" s="3">
        <v>4.7529872000000001E-2</v>
      </c>
      <c r="L269" s="3">
        <v>5.7359713000000004E-4</v>
      </c>
      <c r="M269" s="18">
        <v>7.0879306000000004E-6</v>
      </c>
      <c r="N269" s="18">
        <v>1.4367847999999999E-7</v>
      </c>
      <c r="O269" s="18">
        <v>6.0037448999999996E-6</v>
      </c>
      <c r="P269" s="18">
        <v>9.7304097000000001E-7</v>
      </c>
      <c r="Q269" s="3">
        <v>8.0593044999999995E-3</v>
      </c>
      <c r="R269" s="3">
        <v>1.2088425999999999E-4</v>
      </c>
      <c r="S269" s="3">
        <v>0.89908860000000002</v>
      </c>
      <c r="T269" s="3">
        <v>9.6226035000000001E-3</v>
      </c>
      <c r="U269" s="18">
        <v>2.7766165000000002E-8</v>
      </c>
      <c r="V269" s="18">
        <v>4.9713028999999997E-10</v>
      </c>
      <c r="W269" s="3">
        <v>-4.1218344000000002E-4</v>
      </c>
      <c r="X269" s="3">
        <v>1.6120713000000001E-4</v>
      </c>
    </row>
    <row r="270" spans="1:24" x14ac:dyDescent="0.3">
      <c r="A270" s="17" t="s">
        <v>113</v>
      </c>
      <c r="C270" s="3">
        <v>128</v>
      </c>
      <c r="F270" s="3">
        <v>6.3792099999999996</v>
      </c>
      <c r="G270" s="16">
        <v>3023.74</v>
      </c>
      <c r="H270" s="13">
        <f t="shared" si="9"/>
        <v>0.84198362111934411</v>
      </c>
      <c r="I270" s="18">
        <v>473999000</v>
      </c>
      <c r="J270" s="18">
        <v>3775.19</v>
      </c>
      <c r="K270" s="3">
        <v>5.4867238999999998E-2</v>
      </c>
      <c r="L270" s="3">
        <v>6.2072148E-4</v>
      </c>
      <c r="M270" s="18">
        <v>7.4634372999999998E-6</v>
      </c>
      <c r="N270" s="18">
        <v>1.3432322000000001E-7</v>
      </c>
      <c r="O270" s="18">
        <v>9.2747707000000006E-6</v>
      </c>
      <c r="P270" s="18">
        <v>8.4319884999999999E-7</v>
      </c>
      <c r="Q270" s="3">
        <v>8.5020149999999999E-3</v>
      </c>
      <c r="R270" s="3">
        <v>1.1615324E-4</v>
      </c>
      <c r="S270" s="3">
        <v>1.4984930999999999</v>
      </c>
      <c r="T270" s="3">
        <v>8.8099518000000002E-3</v>
      </c>
      <c r="U270" s="18">
        <v>3.1242368000000001E-8</v>
      </c>
      <c r="V270" s="18">
        <v>5.2360299999999995E-10</v>
      </c>
      <c r="W270" s="3">
        <v>5.1926505999999996E-4</v>
      </c>
      <c r="X270" s="3">
        <v>1.5652031000000001E-4</v>
      </c>
    </row>
    <row r="271" spans="1:24" x14ac:dyDescent="0.3">
      <c r="A271" s="17" t="s">
        <v>113</v>
      </c>
      <c r="C271" s="3">
        <v>132</v>
      </c>
      <c r="F271" s="3">
        <v>6.3792099999999996</v>
      </c>
      <c r="G271" s="16">
        <v>2991.44</v>
      </c>
      <c r="H271" s="13">
        <f t="shared" si="9"/>
        <v>0.83298943810025039</v>
      </c>
      <c r="I271" s="18">
        <v>468935000</v>
      </c>
      <c r="J271" s="18">
        <v>6900.2</v>
      </c>
      <c r="K271" s="3">
        <v>5.8824078000000002E-2</v>
      </c>
      <c r="L271" s="3">
        <v>8.0225619E-4</v>
      </c>
      <c r="M271" s="18">
        <v>6.9648813000000004E-6</v>
      </c>
      <c r="N271" s="18">
        <v>1.4619952E-7</v>
      </c>
      <c r="O271" s="18">
        <v>6.1328459E-6</v>
      </c>
      <c r="P271" s="18">
        <v>1.1364409999999999E-6</v>
      </c>
      <c r="Q271" s="3">
        <v>1.0897496E-2</v>
      </c>
      <c r="R271" s="3">
        <v>1.8255627000000001E-4</v>
      </c>
      <c r="S271" s="3">
        <v>-1.7041421999999999</v>
      </c>
      <c r="T271" s="3">
        <v>1.0157008E-2</v>
      </c>
      <c r="U271" s="18">
        <v>2.3326947000000001E-8</v>
      </c>
      <c r="V271" s="18">
        <v>4.1625219000000002E-10</v>
      </c>
      <c r="W271" s="3">
        <v>-2.3296273999999999E-4</v>
      </c>
      <c r="X271" s="3">
        <v>2.0187067E-4</v>
      </c>
    </row>
    <row r="272" spans="1:24" x14ac:dyDescent="0.3">
      <c r="A272" s="17" t="s">
        <v>113</v>
      </c>
      <c r="C272" s="3">
        <v>136</v>
      </c>
      <c r="F272" s="3">
        <v>6.3792099999999996</v>
      </c>
      <c r="G272" s="16">
        <v>2952.67</v>
      </c>
      <c r="H272" s="13">
        <f t="shared" si="9"/>
        <v>0.82219363390055167</v>
      </c>
      <c r="I272" s="18">
        <v>462858000</v>
      </c>
      <c r="J272" s="18">
        <v>4749.49</v>
      </c>
      <c r="K272" s="3">
        <v>4.1321740000000003E-2</v>
      </c>
      <c r="L272" s="3">
        <v>6.6290855E-4</v>
      </c>
      <c r="M272" s="18">
        <v>8.0841229000000007E-6</v>
      </c>
      <c r="N272" s="18">
        <v>1.7107664000000001E-7</v>
      </c>
      <c r="O272" s="18">
        <v>3.9787683999999996E-6</v>
      </c>
      <c r="P272" s="18">
        <v>1.2335111E-6</v>
      </c>
      <c r="Q272" s="3">
        <v>7.2990444000000003E-3</v>
      </c>
      <c r="R272" s="3">
        <v>1.1709422E-4</v>
      </c>
      <c r="S272" s="3">
        <v>0.85232993999999995</v>
      </c>
      <c r="T272" s="3">
        <v>1.0233427E-2</v>
      </c>
      <c r="U272" s="18">
        <v>2.9816124999999997E-8</v>
      </c>
      <c r="V272" s="18">
        <v>5.7486834999999999E-10</v>
      </c>
      <c r="W272" s="3">
        <v>3.4784360000000001E-4</v>
      </c>
      <c r="X272" s="3">
        <v>1.3126621E-4</v>
      </c>
    </row>
    <row r="273" spans="1:24" x14ac:dyDescent="0.3">
      <c r="A273" s="17" t="s">
        <v>113</v>
      </c>
      <c r="C273" s="3">
        <v>140</v>
      </c>
      <c r="F273" s="3">
        <v>6.3792099999999996</v>
      </c>
      <c r="G273" s="16">
        <v>2889.2</v>
      </c>
      <c r="H273" s="13">
        <f t="shared" si="9"/>
        <v>0.8045199250391929</v>
      </c>
      <c r="I273" s="18">
        <v>452908000</v>
      </c>
      <c r="J273" s="18">
        <v>4892.1400000000003</v>
      </c>
      <c r="K273" s="3">
        <v>4.819478E-2</v>
      </c>
      <c r="L273" s="3">
        <v>6.5679447000000001E-4</v>
      </c>
      <c r="M273" s="18">
        <v>6.9539215000000001E-6</v>
      </c>
      <c r="N273" s="18">
        <v>1.5871308E-7</v>
      </c>
      <c r="O273" s="18">
        <v>9.0759411999999995E-7</v>
      </c>
      <c r="P273" s="18">
        <v>1.1839983E-6</v>
      </c>
      <c r="Q273" s="3">
        <v>7.8543533000000002E-3</v>
      </c>
      <c r="R273" s="3">
        <v>1.3101618000000001E-4</v>
      </c>
      <c r="S273" s="3">
        <v>1.0921129999999999</v>
      </c>
      <c r="T273" s="3">
        <v>1.0620545E-2</v>
      </c>
      <c r="U273" s="18">
        <v>3.0050248999999998E-8</v>
      </c>
      <c r="V273" s="18">
        <v>6.0132099000000001E-10</v>
      </c>
      <c r="W273" s="3">
        <v>-6.4587629999999997E-4</v>
      </c>
      <c r="X273" s="3">
        <v>1.9073498000000001E-4</v>
      </c>
    </row>
    <row r="274" spans="1:24" x14ac:dyDescent="0.3">
      <c r="A274" s="17" t="s">
        <v>113</v>
      </c>
      <c r="C274" s="3">
        <v>144</v>
      </c>
      <c r="F274" s="3">
        <v>6.3792099999999996</v>
      </c>
      <c r="G274" s="16">
        <v>2825.65</v>
      </c>
      <c r="H274" s="13">
        <f t="shared" si="9"/>
        <v>0.78682393956354546</v>
      </c>
      <c r="I274" s="18">
        <v>442947000</v>
      </c>
      <c r="J274" s="18">
        <v>11465.9</v>
      </c>
      <c r="K274" s="3">
        <v>5.0697701999999997E-2</v>
      </c>
      <c r="L274" s="3">
        <v>6.4315371999999998E-4</v>
      </c>
      <c r="M274" s="18">
        <v>6.9242086000000004E-6</v>
      </c>
      <c r="N274" s="18">
        <v>1.4769112999999999E-7</v>
      </c>
      <c r="O274" s="18">
        <v>1.4765286E-6</v>
      </c>
      <c r="P274" s="18">
        <v>1.0992166000000001E-6</v>
      </c>
      <c r="Q274" s="3">
        <v>8.4538440000000003E-3</v>
      </c>
      <c r="R274" s="3">
        <v>1.1833874E-4</v>
      </c>
      <c r="S274" s="3">
        <v>1.6349916</v>
      </c>
      <c r="T274" s="3">
        <v>1.3843265E-2</v>
      </c>
      <c r="U274" s="18">
        <v>1.9581272999999999E-8</v>
      </c>
      <c r="V274" s="3" t="s">
        <v>31</v>
      </c>
      <c r="W274" s="3">
        <v>-2.0033458E-4</v>
      </c>
      <c r="X274" s="3">
        <v>1.8730784000000001E-4</v>
      </c>
    </row>
    <row r="275" spans="1:24" x14ac:dyDescent="0.3">
      <c r="A275" s="17" t="s">
        <v>113</v>
      </c>
      <c r="C275" s="3">
        <v>148</v>
      </c>
      <c r="F275" s="3">
        <v>6.3792099999999996</v>
      </c>
      <c r="G275" s="16">
        <v>2914.15</v>
      </c>
      <c r="H275" s="13">
        <f t="shared" si="9"/>
        <v>0.81146744412050531</v>
      </c>
      <c r="I275" s="18">
        <v>456819000</v>
      </c>
      <c r="J275" s="18">
        <v>26041</v>
      </c>
      <c r="K275" s="3">
        <v>5.9676891000000003E-2</v>
      </c>
      <c r="L275" s="3">
        <v>6.7540305E-4</v>
      </c>
      <c r="M275" s="18">
        <v>7.1469634999999997E-6</v>
      </c>
      <c r="N275" s="18">
        <v>1.3574554E-7</v>
      </c>
      <c r="O275" s="18">
        <v>7.5777232999999997E-6</v>
      </c>
      <c r="P275" s="18">
        <v>8.8902004999999997E-7</v>
      </c>
      <c r="Q275" s="3">
        <v>9.3097114999999998E-3</v>
      </c>
      <c r="R275" s="3">
        <v>1.7275545000000001E-4</v>
      </c>
      <c r="S275" s="3">
        <v>1.7313627</v>
      </c>
      <c r="T275" s="3">
        <v>1.8118782E-2</v>
      </c>
      <c r="U275" s="18">
        <v>1.4047556E-8</v>
      </c>
      <c r="V275" s="3" t="s">
        <v>31</v>
      </c>
      <c r="W275" s="3">
        <v>-1.9637197999999999E-4</v>
      </c>
      <c r="X275" s="3">
        <v>1.8727722E-4</v>
      </c>
    </row>
    <row r="276" spans="1:24" x14ac:dyDescent="0.3">
      <c r="A276" s="17" t="s">
        <v>113</v>
      </c>
      <c r="C276" s="3">
        <v>152</v>
      </c>
      <c r="F276" s="3">
        <v>6.3792099999999996</v>
      </c>
      <c r="G276" s="16">
        <v>2754.28</v>
      </c>
      <c r="H276" s="13">
        <f t="shared" si="9"/>
        <v>0.76695041504117001</v>
      </c>
      <c r="I276" s="18">
        <v>431758000</v>
      </c>
      <c r="J276" s="18">
        <v>4773.12</v>
      </c>
      <c r="K276" s="3">
        <v>5.8279961999999998E-2</v>
      </c>
      <c r="L276" s="3">
        <v>7.1553706999999997E-4</v>
      </c>
      <c r="M276" s="18">
        <v>7.0059186999999998E-6</v>
      </c>
      <c r="N276" s="18">
        <v>1.4637300999999999E-7</v>
      </c>
      <c r="O276" s="18">
        <v>6.9881075999999997E-6</v>
      </c>
      <c r="P276" s="18">
        <v>9.8787380999999997E-7</v>
      </c>
      <c r="Q276" s="3">
        <v>6.1087381000000003E-3</v>
      </c>
      <c r="R276" s="3">
        <v>1.1551825E-4</v>
      </c>
      <c r="S276" s="3">
        <v>2.2231331000000001</v>
      </c>
      <c r="T276" s="3">
        <v>1.2163332000000001E-2</v>
      </c>
      <c r="U276" s="18">
        <v>3.9102617000000003E-8</v>
      </c>
      <c r="V276" s="18">
        <v>9.2631405000000003E-10</v>
      </c>
      <c r="W276" s="3">
        <v>-1.9334539E-4</v>
      </c>
      <c r="X276" s="3">
        <v>2.0399386E-4</v>
      </c>
    </row>
    <row r="277" spans="1:24" x14ac:dyDescent="0.3">
      <c r="A277" s="17" t="s">
        <v>113</v>
      </c>
      <c r="C277" s="3">
        <v>156</v>
      </c>
      <c r="F277" s="3">
        <v>6.3792099999999996</v>
      </c>
      <c r="G277" s="16">
        <v>2733.49</v>
      </c>
      <c r="H277" s="13">
        <f t="shared" si="9"/>
        <v>0.76116127990287386</v>
      </c>
      <c r="I277" s="18">
        <v>428500000</v>
      </c>
      <c r="J277" s="18">
        <v>6004.22</v>
      </c>
      <c r="K277" s="3">
        <v>6.1067771999999999E-2</v>
      </c>
      <c r="L277" s="3">
        <v>7.0104016000000001E-4</v>
      </c>
      <c r="M277" s="18">
        <v>6.9820981999999999E-6</v>
      </c>
      <c r="N277" s="18">
        <v>1.4025257999999999E-7</v>
      </c>
      <c r="O277" s="18">
        <v>5.9432551999999996E-6</v>
      </c>
      <c r="P277" s="18">
        <v>9.3298182000000002E-7</v>
      </c>
      <c r="Q277" s="3">
        <v>6.3721259000000001E-3</v>
      </c>
      <c r="R277" s="3">
        <v>1.2816592999999999E-4</v>
      </c>
      <c r="S277" s="3">
        <v>-3.0976450999999998</v>
      </c>
      <c r="T277" s="3">
        <v>1.2970679000000001E-2</v>
      </c>
      <c r="U277" s="18">
        <v>3.4595024999999998E-8</v>
      </c>
      <c r="V277" s="18">
        <v>8.6390092999999999E-10</v>
      </c>
      <c r="W277" s="3">
        <v>-1.5057933999999999E-4</v>
      </c>
      <c r="X277" s="3">
        <v>2.0884891999999999E-4</v>
      </c>
    </row>
    <row r="278" spans="1:24" x14ac:dyDescent="0.3">
      <c r="A278" s="17" t="s">
        <v>113</v>
      </c>
      <c r="C278" s="3">
        <v>160</v>
      </c>
      <c r="F278" s="3">
        <v>6.3792099999999996</v>
      </c>
      <c r="G278" s="16">
        <v>2714.5</v>
      </c>
      <c r="H278" s="13">
        <f t="shared" si="9"/>
        <v>0.75587336858607546</v>
      </c>
      <c r="I278" s="18">
        <v>425522000</v>
      </c>
      <c r="J278" s="18">
        <v>6407.83</v>
      </c>
      <c r="K278" s="3">
        <v>5.7216465000000001E-2</v>
      </c>
      <c r="L278" s="3">
        <v>5.6522951000000001E-4</v>
      </c>
      <c r="M278" s="18">
        <v>6.6219473000000001E-6</v>
      </c>
      <c r="N278" s="18">
        <v>1.2640492E-7</v>
      </c>
      <c r="O278" s="18">
        <v>7.7200173000000003E-6</v>
      </c>
      <c r="P278" s="18">
        <v>8.1639224000000005E-7</v>
      </c>
      <c r="Q278" s="3">
        <v>5.3566157000000001E-3</v>
      </c>
      <c r="R278" s="3">
        <v>1.0869878E-4</v>
      </c>
      <c r="S278" s="3">
        <v>2.9570012999999999</v>
      </c>
      <c r="T278" s="3">
        <v>1.3067527000000001E-2</v>
      </c>
      <c r="U278" s="18">
        <v>3.4266953999999997E-8</v>
      </c>
      <c r="V278" s="18">
        <v>8.598945E-10</v>
      </c>
      <c r="W278" s="3">
        <v>-7.7209209999999997E-4</v>
      </c>
      <c r="X278" s="3">
        <v>1.9221593E-4</v>
      </c>
    </row>
    <row r="279" spans="1:24" x14ac:dyDescent="0.3">
      <c r="A279" s="17" t="s">
        <v>113</v>
      </c>
      <c r="C279" s="3">
        <v>164</v>
      </c>
      <c r="F279" s="3">
        <v>6.3792099999999996</v>
      </c>
      <c r="G279" s="16">
        <v>2686.93</v>
      </c>
      <c r="H279" s="13">
        <f t="shared" si="9"/>
        <v>0.74819629038680546</v>
      </c>
      <c r="I279" s="18">
        <v>421201000</v>
      </c>
      <c r="J279" s="18">
        <v>14822.3</v>
      </c>
      <c r="K279" s="3">
        <v>5.4424822999999997E-2</v>
      </c>
      <c r="L279" s="3">
        <v>5.7275393000000003E-4</v>
      </c>
      <c r="M279" s="18">
        <v>6.9225030000000001E-6</v>
      </c>
      <c r="N279" s="18">
        <v>1.3076685000000001E-7</v>
      </c>
      <c r="O279" s="18">
        <v>8.1637513000000005E-6</v>
      </c>
      <c r="P279" s="18">
        <v>8.3706087000000004E-7</v>
      </c>
      <c r="Q279" s="3">
        <v>4.5529152000000003E-3</v>
      </c>
      <c r="R279" s="3">
        <v>1.2778997999999999E-4</v>
      </c>
      <c r="S279" s="3">
        <v>-2.8170277000000001</v>
      </c>
      <c r="T279" s="3">
        <v>1.7917760000000001E-2</v>
      </c>
      <c r="U279" s="18">
        <v>2.7198542E-8</v>
      </c>
      <c r="V279" s="18">
        <v>9.1107729999999999E-10</v>
      </c>
      <c r="W279" s="18">
        <v>6.2943847000000001E-5</v>
      </c>
      <c r="X279" s="3">
        <v>1.7439395000000001E-4</v>
      </c>
    </row>
    <row r="280" spans="1:24" x14ac:dyDescent="0.3">
      <c r="A280" s="17" t="s">
        <v>113</v>
      </c>
      <c r="C280" s="3">
        <v>168</v>
      </c>
      <c r="F280" s="3">
        <v>6.3792099999999996</v>
      </c>
      <c r="G280" s="16">
        <v>2728.17</v>
      </c>
      <c r="H280" s="13">
        <f t="shared" si="9"/>
        <v>0.75967988505267026</v>
      </c>
      <c r="I280" s="18">
        <v>427666000</v>
      </c>
      <c r="J280" s="18">
        <v>10127.299999999999</v>
      </c>
      <c r="K280" s="3">
        <v>6.0875374000000003E-2</v>
      </c>
      <c r="L280" s="3">
        <v>8.3137814E-4</v>
      </c>
      <c r="M280" s="18">
        <v>6.3908081E-6</v>
      </c>
      <c r="N280" s="18">
        <v>1.7918546E-7</v>
      </c>
      <c r="O280" s="18">
        <v>6.4199019999999998E-6</v>
      </c>
      <c r="P280" s="18">
        <v>1.1774996999999999E-6</v>
      </c>
      <c r="Q280" s="18">
        <v>5.5277371999999997E-9</v>
      </c>
      <c r="R280" s="3" t="s">
        <v>31</v>
      </c>
      <c r="S280" s="3">
        <v>6.2831558000000003</v>
      </c>
      <c r="T280" s="3">
        <v>191520.1</v>
      </c>
      <c r="U280" s="18">
        <v>5.0000341000000002E-9</v>
      </c>
      <c r="V280" s="3" t="s">
        <v>31</v>
      </c>
      <c r="W280" s="3">
        <v>-1.0248162000000001E-3</v>
      </c>
      <c r="X280" s="3">
        <v>3.1081373000000002E-4</v>
      </c>
    </row>
    <row r="281" spans="1:24" x14ac:dyDescent="0.3">
      <c r="A281" s="17" t="s">
        <v>113</v>
      </c>
      <c r="C281" s="3">
        <v>172</v>
      </c>
      <c r="F281" s="3">
        <v>6.3792099999999996</v>
      </c>
      <c r="G281" s="16">
        <v>2689.63</v>
      </c>
      <c r="H281" s="13">
        <f t="shared" si="9"/>
        <v>0.74894812611905182</v>
      </c>
      <c r="I281" s="18">
        <v>421624000</v>
      </c>
      <c r="J281" s="18">
        <v>24568.1</v>
      </c>
      <c r="K281" s="3">
        <v>6.6498552000000002E-2</v>
      </c>
      <c r="L281" s="3">
        <v>6.6181864000000004E-4</v>
      </c>
      <c r="M281" s="18">
        <v>7.1513464000000002E-6</v>
      </c>
      <c r="N281" s="18">
        <v>1.2267114000000001E-7</v>
      </c>
      <c r="O281" s="18">
        <v>1.1942645E-5</v>
      </c>
      <c r="P281" s="18">
        <v>7.3739985000000001E-7</v>
      </c>
      <c r="Q281" s="3">
        <v>4.8470859999999996E-3</v>
      </c>
      <c r="R281" s="3">
        <v>1.8023944000000001E-4</v>
      </c>
      <c r="S281" s="3">
        <v>-2.5692065999999998</v>
      </c>
      <c r="T281" s="3">
        <v>2.3404590999999999E-2</v>
      </c>
      <c r="U281" s="18">
        <v>2.0905474E-8</v>
      </c>
      <c r="V281" s="18">
        <v>8.7866368E-10</v>
      </c>
      <c r="W281" s="3">
        <v>2.6669893000000002E-4</v>
      </c>
      <c r="X281" s="3">
        <v>1.8475607E-4</v>
      </c>
    </row>
    <row r="282" spans="1:24" x14ac:dyDescent="0.3">
      <c r="A282" s="17" t="s">
        <v>113</v>
      </c>
      <c r="C282" s="3">
        <v>176</v>
      </c>
      <c r="F282" s="3">
        <v>6.3792099999999996</v>
      </c>
      <c r="G282" s="16">
        <v>2698.6</v>
      </c>
      <c r="H282" s="13">
        <f t="shared" si="9"/>
        <v>0.75144589149618091</v>
      </c>
      <c r="I282" s="18">
        <v>423030000</v>
      </c>
      <c r="J282" s="18">
        <v>36868.5</v>
      </c>
      <c r="K282" s="3">
        <v>6.1953458000000003E-2</v>
      </c>
      <c r="L282" s="3">
        <v>6.1635688000000004E-4</v>
      </c>
      <c r="M282" s="18">
        <v>6.6117791999999999E-6</v>
      </c>
      <c r="N282" s="18">
        <v>1.2616682E-7</v>
      </c>
      <c r="O282" s="18">
        <v>7.1263848999999999E-6</v>
      </c>
      <c r="P282" s="18">
        <v>8.3000138000000002E-7</v>
      </c>
      <c r="Q282" s="3">
        <v>5.8250296E-3</v>
      </c>
      <c r="R282" s="3">
        <v>1.4327517E-4</v>
      </c>
      <c r="S282" s="3">
        <v>-2.8909353000000002</v>
      </c>
      <c r="T282" s="3">
        <v>2.4178472999999999E-2</v>
      </c>
      <c r="U282" s="18">
        <v>1.6425472000000001E-8</v>
      </c>
      <c r="V282" s="3" t="s">
        <v>31</v>
      </c>
      <c r="W282" s="3">
        <v>-3.7836419000000001E-4</v>
      </c>
      <c r="X282" s="3">
        <v>2.0844534E-4</v>
      </c>
    </row>
    <row r="283" spans="1:24" x14ac:dyDescent="0.3">
      <c r="A283" s="17" t="s">
        <v>113</v>
      </c>
      <c r="C283" s="3">
        <v>180</v>
      </c>
      <c r="F283" s="3">
        <v>6.3792099999999996</v>
      </c>
      <c r="G283" s="16">
        <v>2654.38</v>
      </c>
      <c r="H283" s="13">
        <f t="shared" si="9"/>
        <v>0.73913249294805927</v>
      </c>
      <c r="I283" s="18">
        <v>416098000</v>
      </c>
      <c r="J283" s="18">
        <v>78080.899999999994</v>
      </c>
      <c r="K283" s="3">
        <v>6.5968937000000005E-2</v>
      </c>
      <c r="L283" s="3">
        <v>6.1336053000000002E-4</v>
      </c>
      <c r="M283" s="18">
        <v>6.7525407E-6</v>
      </c>
      <c r="N283" s="18">
        <v>1.1532335000000001E-7</v>
      </c>
      <c r="O283" s="18">
        <v>6.4852180000000003E-6</v>
      </c>
      <c r="P283" s="18">
        <v>7.7009699000000003E-7</v>
      </c>
      <c r="Q283" s="3">
        <v>6.3746141999999999E-3</v>
      </c>
      <c r="R283" s="3">
        <v>1.9999393999999999E-4</v>
      </c>
      <c r="S283" s="3">
        <v>-2.5566124000000001</v>
      </c>
      <c r="T283" s="3">
        <v>3.0592667E-2</v>
      </c>
      <c r="U283" s="18">
        <v>1.182975E-8</v>
      </c>
      <c r="V283" s="3" t="s">
        <v>31</v>
      </c>
      <c r="W283" s="3">
        <v>-3.9677916E-4</v>
      </c>
      <c r="X283" s="3">
        <v>1.9579704E-4</v>
      </c>
    </row>
    <row r="284" spans="1:24" x14ac:dyDescent="0.3">
      <c r="A284" s="17" t="s">
        <v>113</v>
      </c>
      <c r="C284" s="3">
        <v>184</v>
      </c>
      <c r="F284" s="3">
        <v>6.3792099999999996</v>
      </c>
      <c r="G284" s="16">
        <v>2662.52</v>
      </c>
      <c r="H284" s="13">
        <f t="shared" si="9"/>
        <v>0.74139913845194239</v>
      </c>
      <c r="I284" s="18">
        <v>417374000</v>
      </c>
      <c r="J284" s="18">
        <v>41337.4</v>
      </c>
      <c r="K284" s="3">
        <v>4.3714416999999998E-2</v>
      </c>
      <c r="L284" s="3">
        <v>5.6392732000000001E-4</v>
      </c>
      <c r="M284" s="18">
        <v>6.6118666000000001E-6</v>
      </c>
      <c r="N284" s="18">
        <v>1.5561632E-7</v>
      </c>
      <c r="O284" s="18">
        <v>2.2712446E-6</v>
      </c>
      <c r="P284" s="18">
        <v>1.1425786999999999E-6</v>
      </c>
      <c r="Q284" s="3">
        <v>2.6341454999999998E-3</v>
      </c>
      <c r="R284" s="3">
        <v>1.4020910999999999E-4</v>
      </c>
      <c r="S284" s="3">
        <v>2.4085030000000001</v>
      </c>
      <c r="T284" s="3">
        <v>3.3309190000000002E-2</v>
      </c>
      <c r="U284" s="18">
        <v>2.4284199999999999E-8</v>
      </c>
      <c r="V284" s="18">
        <v>1.4751470000000001E-9</v>
      </c>
      <c r="W284" s="3">
        <v>-1.0371498E-4</v>
      </c>
      <c r="X284" s="3">
        <v>1.8395624999999999E-4</v>
      </c>
    </row>
    <row r="285" spans="1:24" x14ac:dyDescent="0.3">
      <c r="A285" s="17" t="s">
        <v>113</v>
      </c>
      <c r="C285" s="3">
        <v>188</v>
      </c>
      <c r="F285" s="3">
        <v>6.3792099999999996</v>
      </c>
      <c r="G285" s="16">
        <v>2727.59</v>
      </c>
      <c r="H285" s="13">
        <f t="shared" si="9"/>
        <v>0.75951837959907664</v>
      </c>
      <c r="I285" s="18">
        <v>427575000</v>
      </c>
      <c r="J285" s="18">
        <v>15512.4</v>
      </c>
      <c r="K285" s="3">
        <v>5.8296713E-2</v>
      </c>
      <c r="L285" s="3">
        <v>5.8680986999999998E-4</v>
      </c>
      <c r="M285" s="18">
        <v>6.8040718999999999E-6</v>
      </c>
      <c r="N285" s="18">
        <v>1.2729865999999999E-7</v>
      </c>
      <c r="O285" s="18">
        <v>8.8276012999999992E-6</v>
      </c>
      <c r="P285" s="18">
        <v>8.0385958999999999E-7</v>
      </c>
      <c r="Q285" s="3">
        <v>4.6059472999999997E-3</v>
      </c>
      <c r="R285" s="3">
        <v>1.4061790000000001E-4</v>
      </c>
      <c r="S285" s="3">
        <v>-2.9294147000000001</v>
      </c>
      <c r="T285" s="3">
        <v>1.9407839E-2</v>
      </c>
      <c r="U285" s="18">
        <v>2.5481919E-8</v>
      </c>
      <c r="V285" s="18">
        <v>9.1699593E-10</v>
      </c>
      <c r="W285" s="18">
        <v>-4.0236997E-5</v>
      </c>
      <c r="X285" s="3">
        <v>1.8711526E-4</v>
      </c>
    </row>
    <row r="286" spans="1:24" x14ac:dyDescent="0.3">
      <c r="A286" s="17" t="s">
        <v>143</v>
      </c>
      <c r="C286">
        <v>0</v>
      </c>
      <c r="D286">
        <f>C286+14</f>
        <v>14</v>
      </c>
      <c r="G286">
        <v>2560.3511338697899</v>
      </c>
      <c r="H286" s="13">
        <f>G286/MAX($G$286:$G$1009)</f>
        <v>0.78127286027798271</v>
      </c>
    </row>
    <row r="287" spans="1:24" x14ac:dyDescent="0.3">
      <c r="A287" s="17" t="s">
        <v>143</v>
      </c>
      <c r="C287">
        <v>1</v>
      </c>
      <c r="D287">
        <f t="shared" ref="D287:D350" si="10">C287+14</f>
        <v>15</v>
      </c>
      <c r="G287">
        <v>2551.0204081632701</v>
      </c>
      <c r="H287" s="13">
        <f t="shared" ref="H287:H350" si="11">G287/MAX($G$286:$G$1009)</f>
        <v>0.7784256559766789</v>
      </c>
    </row>
    <row r="288" spans="1:24" x14ac:dyDescent="0.3">
      <c r="A288" s="17" t="s">
        <v>143</v>
      </c>
      <c r="C288">
        <v>2</v>
      </c>
      <c r="D288">
        <f t="shared" si="10"/>
        <v>16</v>
      </c>
      <c r="G288">
        <v>2539.9129172714102</v>
      </c>
      <c r="H288" s="13">
        <f t="shared" si="11"/>
        <v>0.77503628447024853</v>
      </c>
    </row>
    <row r="289" spans="1:8" x14ac:dyDescent="0.3">
      <c r="A289" s="17" t="s">
        <v>143</v>
      </c>
      <c r="C289">
        <v>3</v>
      </c>
      <c r="D289">
        <f t="shared" si="10"/>
        <v>17</v>
      </c>
      <c r="G289">
        <v>2528.9017341040499</v>
      </c>
      <c r="H289" s="13">
        <f t="shared" si="11"/>
        <v>0.77167630057803682</v>
      </c>
    </row>
    <row r="290" spans="1:8" x14ac:dyDescent="0.3">
      <c r="A290" s="17" t="s">
        <v>143</v>
      </c>
      <c r="C290">
        <v>4</v>
      </c>
      <c r="D290">
        <f t="shared" si="10"/>
        <v>18</v>
      </c>
      <c r="G290">
        <v>2519.79841612671</v>
      </c>
      <c r="H290" s="13">
        <f t="shared" si="11"/>
        <v>0.76889848812095141</v>
      </c>
    </row>
    <row r="291" spans="1:8" x14ac:dyDescent="0.3">
      <c r="A291" s="17" t="s">
        <v>143</v>
      </c>
      <c r="C291">
        <v>5</v>
      </c>
      <c r="D291">
        <f t="shared" si="10"/>
        <v>19</v>
      </c>
      <c r="G291">
        <v>2508.9605734767001</v>
      </c>
      <c r="H291" s="13">
        <f t="shared" si="11"/>
        <v>0.76559139784946262</v>
      </c>
    </row>
    <row r="292" spans="1:8" x14ac:dyDescent="0.3">
      <c r="A292" s="17" t="s">
        <v>143</v>
      </c>
      <c r="C292">
        <v>6</v>
      </c>
      <c r="D292">
        <f t="shared" si="10"/>
        <v>20</v>
      </c>
      <c r="G292">
        <v>2500</v>
      </c>
      <c r="H292" s="13">
        <f t="shared" si="11"/>
        <v>0.7628571428571439</v>
      </c>
    </row>
    <row r="293" spans="1:8" x14ac:dyDescent="0.3">
      <c r="A293" s="17" t="s">
        <v>143</v>
      </c>
      <c r="C293">
        <v>7</v>
      </c>
      <c r="D293">
        <f t="shared" si="10"/>
        <v>21</v>
      </c>
      <c r="G293">
        <v>2489.3314366998602</v>
      </c>
      <c r="H293" s="13">
        <f t="shared" si="11"/>
        <v>0.75960170697012974</v>
      </c>
    </row>
    <row r="294" spans="1:8" x14ac:dyDescent="0.3">
      <c r="A294" s="17" t="s">
        <v>143</v>
      </c>
      <c r="C294">
        <v>8</v>
      </c>
      <c r="D294">
        <f t="shared" si="10"/>
        <v>22</v>
      </c>
      <c r="G294">
        <v>2480.5102763997202</v>
      </c>
      <c r="H294" s="13">
        <f t="shared" si="11"/>
        <v>0.7569099929128299</v>
      </c>
    </row>
    <row r="295" spans="1:8" x14ac:dyDescent="0.3">
      <c r="A295" s="17" t="s">
        <v>143</v>
      </c>
      <c r="C295">
        <v>9</v>
      </c>
      <c r="D295">
        <f t="shared" si="10"/>
        <v>23</v>
      </c>
      <c r="G295">
        <v>2471.7514124293798</v>
      </c>
      <c r="H295" s="13">
        <f t="shared" si="11"/>
        <v>0.75423728813559465</v>
      </c>
    </row>
    <row r="296" spans="1:8" x14ac:dyDescent="0.3">
      <c r="A296" s="17" t="s">
        <v>143</v>
      </c>
      <c r="C296">
        <v>10</v>
      </c>
      <c r="D296">
        <f t="shared" si="10"/>
        <v>24</v>
      </c>
      <c r="G296">
        <v>2464.7887323943701</v>
      </c>
      <c r="H296" s="13">
        <f t="shared" si="11"/>
        <v>0.75211267605634025</v>
      </c>
    </row>
    <row r="297" spans="1:8" x14ac:dyDescent="0.3">
      <c r="A297" s="17" t="s">
        <v>143</v>
      </c>
      <c r="C297">
        <v>11</v>
      </c>
      <c r="D297">
        <f t="shared" si="10"/>
        <v>25</v>
      </c>
      <c r="G297">
        <v>2456.14035087719</v>
      </c>
      <c r="H297" s="13">
        <f t="shared" si="11"/>
        <v>0.7494736842105264</v>
      </c>
    </row>
    <row r="298" spans="1:8" x14ac:dyDescent="0.3">
      <c r="A298" s="17" t="s">
        <v>143</v>
      </c>
      <c r="C298">
        <v>12</v>
      </c>
      <c r="D298">
        <f t="shared" si="10"/>
        <v>26</v>
      </c>
      <c r="G298">
        <v>2449.2652204338701</v>
      </c>
      <c r="H298" s="13">
        <f t="shared" si="11"/>
        <v>0.74737578726382192</v>
      </c>
    </row>
    <row r="299" spans="1:8" x14ac:dyDescent="0.3">
      <c r="A299" s="17" t="s">
        <v>143</v>
      </c>
      <c r="C299">
        <v>13</v>
      </c>
      <c r="D299">
        <f t="shared" si="10"/>
        <v>27</v>
      </c>
      <c r="G299">
        <v>2442.4284717376099</v>
      </c>
      <c r="H299" s="13">
        <f t="shared" si="11"/>
        <v>0.74528960223307739</v>
      </c>
    </row>
    <row r="300" spans="1:8" x14ac:dyDescent="0.3">
      <c r="A300" s="17" t="s">
        <v>143</v>
      </c>
      <c r="C300">
        <v>14</v>
      </c>
      <c r="D300">
        <f t="shared" si="10"/>
        <v>28</v>
      </c>
      <c r="G300">
        <v>2437.32590529248</v>
      </c>
      <c r="H300" s="13">
        <f t="shared" si="11"/>
        <v>0.74373259052924923</v>
      </c>
    </row>
    <row r="301" spans="1:8" x14ac:dyDescent="0.3">
      <c r="A301" s="17" t="s">
        <v>143</v>
      </c>
      <c r="C301">
        <v>15</v>
      </c>
      <c r="D301">
        <f t="shared" si="10"/>
        <v>29</v>
      </c>
      <c r="G301">
        <v>2432.2446143154998</v>
      </c>
      <c r="H301" s="13">
        <f t="shared" si="11"/>
        <v>0.74218207088255916</v>
      </c>
    </row>
    <row r="302" spans="1:8" x14ac:dyDescent="0.3">
      <c r="A302" s="17" t="s">
        <v>143</v>
      </c>
      <c r="C302">
        <v>16</v>
      </c>
      <c r="D302">
        <f t="shared" si="10"/>
        <v>30</v>
      </c>
      <c r="G302">
        <v>2427.1844660194201</v>
      </c>
      <c r="H302" s="13">
        <f t="shared" si="11"/>
        <v>0.74063800277392688</v>
      </c>
    </row>
    <row r="303" spans="1:8" x14ac:dyDescent="0.3">
      <c r="A303" s="17" t="s">
        <v>143</v>
      </c>
      <c r="C303">
        <v>17</v>
      </c>
      <c r="D303">
        <f t="shared" si="10"/>
        <v>31</v>
      </c>
      <c r="G303">
        <v>2423.8227146814402</v>
      </c>
      <c r="H303" s="13">
        <f t="shared" si="11"/>
        <v>0.7396121883656519</v>
      </c>
    </row>
    <row r="304" spans="1:8" x14ac:dyDescent="0.3">
      <c r="A304" s="17" t="s">
        <v>143</v>
      </c>
      <c r="C304">
        <v>18</v>
      </c>
      <c r="D304">
        <f t="shared" si="10"/>
        <v>32</v>
      </c>
      <c r="G304">
        <v>2420.47026279391</v>
      </c>
      <c r="H304" s="13">
        <f t="shared" si="11"/>
        <v>0.73858921161825697</v>
      </c>
    </row>
    <row r="305" spans="1:8" x14ac:dyDescent="0.3">
      <c r="A305" s="17" t="s">
        <v>143</v>
      </c>
      <c r="C305">
        <v>19</v>
      </c>
      <c r="D305">
        <f t="shared" si="10"/>
        <v>33</v>
      </c>
      <c r="G305">
        <v>2417.1270718231999</v>
      </c>
      <c r="H305" s="13">
        <f t="shared" si="11"/>
        <v>0.73756906077348028</v>
      </c>
    </row>
    <row r="306" spans="1:8" x14ac:dyDescent="0.3">
      <c r="A306" s="17" t="s">
        <v>143</v>
      </c>
      <c r="C306">
        <v>20</v>
      </c>
      <c r="D306">
        <f t="shared" si="10"/>
        <v>34</v>
      </c>
      <c r="G306">
        <v>2415.4589371980701</v>
      </c>
      <c r="H306" s="13">
        <f t="shared" si="11"/>
        <v>0.73706004140786918</v>
      </c>
    </row>
    <row r="307" spans="1:8" x14ac:dyDescent="0.3">
      <c r="A307" s="17" t="s">
        <v>143</v>
      </c>
      <c r="C307">
        <v>21</v>
      </c>
      <c r="D307">
        <f t="shared" si="10"/>
        <v>35</v>
      </c>
      <c r="G307">
        <v>2415.4589371980701</v>
      </c>
      <c r="H307" s="13">
        <f t="shared" si="11"/>
        <v>0.73706004140786918</v>
      </c>
    </row>
    <row r="308" spans="1:8" x14ac:dyDescent="0.3">
      <c r="A308" s="17" t="s">
        <v>143</v>
      </c>
      <c r="C308">
        <v>22</v>
      </c>
      <c r="D308">
        <f t="shared" si="10"/>
        <v>36</v>
      </c>
      <c r="G308">
        <v>2415.4589371980701</v>
      </c>
      <c r="H308" s="13">
        <f t="shared" si="11"/>
        <v>0.73706004140786918</v>
      </c>
    </row>
    <row r="309" spans="1:8" x14ac:dyDescent="0.3">
      <c r="A309" s="17" t="s">
        <v>143</v>
      </c>
      <c r="C309">
        <v>23</v>
      </c>
      <c r="D309">
        <f t="shared" si="10"/>
        <v>37</v>
      </c>
      <c r="G309">
        <v>2415.4589371980701</v>
      </c>
      <c r="H309" s="13">
        <f t="shared" si="11"/>
        <v>0.73706004140786918</v>
      </c>
    </row>
    <row r="310" spans="1:8" x14ac:dyDescent="0.3">
      <c r="A310" s="17" t="s">
        <v>143</v>
      </c>
      <c r="C310">
        <v>24</v>
      </c>
      <c r="D310">
        <f t="shared" si="10"/>
        <v>38</v>
      </c>
      <c r="G310">
        <v>2417.1270718231999</v>
      </c>
      <c r="H310" s="13">
        <f t="shared" si="11"/>
        <v>0.73756906077348028</v>
      </c>
    </row>
    <row r="311" spans="1:8" x14ac:dyDescent="0.3">
      <c r="A311" s="17" t="s">
        <v>143</v>
      </c>
      <c r="C311">
        <v>25</v>
      </c>
      <c r="D311">
        <f t="shared" si="10"/>
        <v>39</v>
      </c>
      <c r="G311">
        <v>2418.79751209399</v>
      </c>
      <c r="H311" s="13">
        <f t="shared" si="11"/>
        <v>0.7380787836903957</v>
      </c>
    </row>
    <row r="312" spans="1:8" x14ac:dyDescent="0.3">
      <c r="A312" s="17" t="s">
        <v>143</v>
      </c>
      <c r="C312">
        <v>26</v>
      </c>
      <c r="D312">
        <f t="shared" si="10"/>
        <v>40</v>
      </c>
      <c r="G312">
        <v>2420.47026279391</v>
      </c>
      <c r="H312" s="13">
        <f t="shared" si="11"/>
        <v>0.73858921161825697</v>
      </c>
    </row>
    <row r="313" spans="1:8" x14ac:dyDescent="0.3">
      <c r="A313" s="17" t="s">
        <v>143</v>
      </c>
      <c r="C313">
        <v>27</v>
      </c>
      <c r="D313">
        <f t="shared" si="10"/>
        <v>41</v>
      </c>
      <c r="G313">
        <v>2423.8227146814402</v>
      </c>
      <c r="H313" s="13">
        <f t="shared" si="11"/>
        <v>0.7396121883656519</v>
      </c>
    </row>
    <row r="314" spans="1:8" x14ac:dyDescent="0.3">
      <c r="A314" s="17" t="s">
        <v>143</v>
      </c>
      <c r="C314">
        <v>28</v>
      </c>
      <c r="D314">
        <f t="shared" si="10"/>
        <v>42</v>
      </c>
      <c r="G314">
        <v>2428.8688410825798</v>
      </c>
      <c r="H314" s="13">
        <f t="shared" si="11"/>
        <v>0.74115197779319963</v>
      </c>
    </row>
    <row r="315" spans="1:8" x14ac:dyDescent="0.3">
      <c r="A315" s="17" t="s">
        <v>143</v>
      </c>
      <c r="C315">
        <v>29</v>
      </c>
      <c r="D315">
        <f t="shared" si="10"/>
        <v>43</v>
      </c>
      <c r="G315">
        <v>2433.93602225313</v>
      </c>
      <c r="H315" s="13">
        <f t="shared" si="11"/>
        <v>0.74269819193324182</v>
      </c>
    </row>
    <row r="316" spans="1:8" x14ac:dyDescent="0.3">
      <c r="A316" s="17" t="s">
        <v>143</v>
      </c>
      <c r="C316">
        <v>30</v>
      </c>
      <c r="D316">
        <f t="shared" si="10"/>
        <v>44</v>
      </c>
      <c r="G316">
        <v>2439.0243902439001</v>
      </c>
      <c r="H316" s="13">
        <f t="shared" si="11"/>
        <v>0.74425087108013965</v>
      </c>
    </row>
    <row r="317" spans="1:8" x14ac:dyDescent="0.3">
      <c r="A317" s="17" t="s">
        <v>143</v>
      </c>
      <c r="C317">
        <v>31</v>
      </c>
      <c r="D317">
        <f t="shared" si="10"/>
        <v>45</v>
      </c>
      <c r="G317">
        <v>2444.1340782122902</v>
      </c>
      <c r="H317" s="13">
        <f t="shared" si="11"/>
        <v>0.74581005586592275</v>
      </c>
    </row>
    <row r="318" spans="1:8" x14ac:dyDescent="0.3">
      <c r="A318" s="17" t="s">
        <v>143</v>
      </c>
      <c r="C318">
        <v>32</v>
      </c>
      <c r="D318">
        <f t="shared" si="10"/>
        <v>46</v>
      </c>
      <c r="G318">
        <v>2450.98039215686</v>
      </c>
      <c r="H318" s="13">
        <f t="shared" si="11"/>
        <v>0.74789915966386566</v>
      </c>
    </row>
    <row r="319" spans="1:8" x14ac:dyDescent="0.3">
      <c r="A319" s="17" t="s">
        <v>143</v>
      </c>
      <c r="C319">
        <v>33</v>
      </c>
      <c r="D319">
        <f t="shared" si="10"/>
        <v>47</v>
      </c>
      <c r="G319">
        <v>2457.8651685393302</v>
      </c>
      <c r="H319" s="13">
        <f t="shared" si="11"/>
        <v>0.75000000000000233</v>
      </c>
    </row>
    <row r="320" spans="1:8" x14ac:dyDescent="0.3">
      <c r="A320" s="17" t="s">
        <v>143</v>
      </c>
      <c r="C320">
        <v>34</v>
      </c>
      <c r="D320">
        <f t="shared" si="10"/>
        <v>48</v>
      </c>
      <c r="G320">
        <v>2466.5257223396802</v>
      </c>
      <c r="H320" s="13">
        <f t="shared" si="11"/>
        <v>0.75264270613108053</v>
      </c>
    </row>
    <row r="321" spans="1:8" x14ac:dyDescent="0.3">
      <c r="A321" s="17" t="s">
        <v>143</v>
      </c>
      <c r="C321">
        <v>35</v>
      </c>
      <c r="D321">
        <f t="shared" si="10"/>
        <v>49</v>
      </c>
      <c r="G321">
        <v>2473.49823321555</v>
      </c>
      <c r="H321" s="13">
        <f t="shared" si="11"/>
        <v>0.75477031802120309</v>
      </c>
    </row>
    <row r="322" spans="1:8" x14ac:dyDescent="0.3">
      <c r="A322" s="17" t="s">
        <v>143</v>
      </c>
      <c r="C322">
        <v>36</v>
      </c>
      <c r="D322">
        <f t="shared" si="10"/>
        <v>50</v>
      </c>
      <c r="G322">
        <v>2482.2695035461002</v>
      </c>
      <c r="H322" s="13">
        <f t="shared" si="11"/>
        <v>0.75744680851063961</v>
      </c>
    </row>
    <row r="323" spans="1:8" x14ac:dyDescent="0.3">
      <c r="A323" s="17" t="s">
        <v>143</v>
      </c>
      <c r="C323">
        <v>37</v>
      </c>
      <c r="D323">
        <f t="shared" si="10"/>
        <v>51</v>
      </c>
      <c r="G323">
        <v>2492.8774928774901</v>
      </c>
      <c r="H323" s="13">
        <f t="shared" si="11"/>
        <v>0.76068376068376087</v>
      </c>
    </row>
    <row r="324" spans="1:8" x14ac:dyDescent="0.3">
      <c r="A324" s="17" t="s">
        <v>143</v>
      </c>
      <c r="C324">
        <v>38</v>
      </c>
      <c r="D324">
        <f t="shared" si="10"/>
        <v>52</v>
      </c>
      <c r="G324">
        <v>2501.7869907076501</v>
      </c>
      <c r="H324" s="13">
        <f t="shared" si="11"/>
        <v>0.76340243030736399</v>
      </c>
    </row>
    <row r="325" spans="1:8" x14ac:dyDescent="0.3">
      <c r="A325" s="17" t="s">
        <v>143</v>
      </c>
      <c r="C325">
        <v>39</v>
      </c>
      <c r="D325">
        <f t="shared" si="10"/>
        <v>53</v>
      </c>
      <c r="G325">
        <v>2510.7604017216599</v>
      </c>
      <c r="H325" s="13">
        <f t="shared" si="11"/>
        <v>0.76614060258249617</v>
      </c>
    </row>
    <row r="326" spans="1:8" x14ac:dyDescent="0.3">
      <c r="A326" s="17" t="s">
        <v>143</v>
      </c>
      <c r="C326">
        <v>40</v>
      </c>
      <c r="D326">
        <f t="shared" si="10"/>
        <v>54</v>
      </c>
      <c r="G326">
        <v>2521.6138328530301</v>
      </c>
      <c r="H326" s="13">
        <f t="shared" si="11"/>
        <v>0.76945244956772563</v>
      </c>
    </row>
    <row r="327" spans="1:8" x14ac:dyDescent="0.3">
      <c r="A327" s="17" t="s">
        <v>143</v>
      </c>
      <c r="C327">
        <v>41</v>
      </c>
      <c r="D327">
        <f t="shared" si="10"/>
        <v>55</v>
      </c>
      <c r="G327">
        <v>2532.5615050651199</v>
      </c>
      <c r="H327" s="13">
        <f t="shared" si="11"/>
        <v>0.77279305354558625</v>
      </c>
    </row>
    <row r="328" spans="1:8" x14ac:dyDescent="0.3">
      <c r="A328" s="17" t="s">
        <v>143</v>
      </c>
      <c r="C328">
        <v>42</v>
      </c>
      <c r="D328">
        <f t="shared" si="10"/>
        <v>56</v>
      </c>
      <c r="G328">
        <v>2541.7574437182302</v>
      </c>
      <c r="H328" s="13">
        <f t="shared" si="11"/>
        <v>0.77559912854030666</v>
      </c>
    </row>
    <row r="329" spans="1:8" x14ac:dyDescent="0.3">
      <c r="A329" s="17" t="s">
        <v>143</v>
      </c>
      <c r="C329">
        <v>43</v>
      </c>
      <c r="D329">
        <f t="shared" si="10"/>
        <v>57</v>
      </c>
      <c r="G329">
        <v>2552.8811086798</v>
      </c>
      <c r="H329" s="13">
        <f t="shared" si="11"/>
        <v>0.77899343544858002</v>
      </c>
    </row>
    <row r="330" spans="1:8" x14ac:dyDescent="0.3">
      <c r="A330" s="17" t="s">
        <v>143</v>
      </c>
      <c r="C330">
        <v>44</v>
      </c>
      <c r="D330">
        <f t="shared" si="10"/>
        <v>58</v>
      </c>
      <c r="G330">
        <v>2562.2254758418699</v>
      </c>
      <c r="H330" s="13">
        <f t="shared" si="11"/>
        <v>0.78184480234260589</v>
      </c>
    </row>
    <row r="331" spans="1:8" x14ac:dyDescent="0.3">
      <c r="A331" s="17" t="s">
        <v>143</v>
      </c>
      <c r="C331">
        <v>45</v>
      </c>
      <c r="D331">
        <f t="shared" si="10"/>
        <v>59</v>
      </c>
      <c r="G331">
        <v>2573.5294117647099</v>
      </c>
      <c r="H331" s="13">
        <f t="shared" si="11"/>
        <v>0.78529411764706114</v>
      </c>
    </row>
    <row r="332" spans="1:8" x14ac:dyDescent="0.3">
      <c r="A332" s="17" t="s">
        <v>143</v>
      </c>
      <c r="C332">
        <v>46</v>
      </c>
      <c r="D332">
        <f t="shared" si="10"/>
        <v>60</v>
      </c>
      <c r="G332">
        <v>2583.0258302583002</v>
      </c>
      <c r="H332" s="13">
        <f t="shared" si="11"/>
        <v>0.7881918819188195</v>
      </c>
    </row>
    <row r="333" spans="1:8" x14ac:dyDescent="0.3">
      <c r="A333" s="17" t="s">
        <v>143</v>
      </c>
      <c r="C333">
        <v>47</v>
      </c>
      <c r="D333">
        <f t="shared" si="10"/>
        <v>61</v>
      </c>
      <c r="G333">
        <v>2592.5925925925899</v>
      </c>
      <c r="H333" s="13">
        <f t="shared" si="11"/>
        <v>0.79111111111111132</v>
      </c>
    </row>
    <row r="334" spans="1:8" x14ac:dyDescent="0.3">
      <c r="A334" s="17" t="s">
        <v>143</v>
      </c>
      <c r="C334">
        <v>48</v>
      </c>
      <c r="D334">
        <f t="shared" si="10"/>
        <v>62</v>
      </c>
      <c r="G334">
        <v>2602.2304832713799</v>
      </c>
      <c r="H334" s="13">
        <f t="shared" si="11"/>
        <v>0.79405204460966783</v>
      </c>
    </row>
    <row r="335" spans="1:8" x14ac:dyDescent="0.3">
      <c r="A335" s="17" t="s">
        <v>143</v>
      </c>
      <c r="C335">
        <v>49</v>
      </c>
      <c r="D335">
        <f t="shared" si="10"/>
        <v>63</v>
      </c>
      <c r="G335">
        <v>2609.99254287845</v>
      </c>
      <c r="H335" s="13">
        <f t="shared" si="11"/>
        <v>0.79642058165548235</v>
      </c>
    </row>
    <row r="336" spans="1:8" x14ac:dyDescent="0.3">
      <c r="A336" s="17" t="s">
        <v>143</v>
      </c>
      <c r="C336">
        <v>50</v>
      </c>
      <c r="D336">
        <f t="shared" si="10"/>
        <v>64</v>
      </c>
      <c r="G336">
        <v>2617.8010471204202</v>
      </c>
      <c r="H336" s="13">
        <f t="shared" si="11"/>
        <v>0.79880329094988933</v>
      </c>
    </row>
    <row r="337" spans="1:8" x14ac:dyDescent="0.3">
      <c r="A337" s="17" t="s">
        <v>143</v>
      </c>
      <c r="C337">
        <v>51</v>
      </c>
      <c r="D337">
        <f t="shared" si="10"/>
        <v>65</v>
      </c>
      <c r="G337">
        <v>2623.6881559220401</v>
      </c>
      <c r="H337" s="13">
        <f t="shared" si="11"/>
        <v>0.80059970014992643</v>
      </c>
    </row>
    <row r="338" spans="1:8" x14ac:dyDescent="0.3">
      <c r="A338" s="17" t="s">
        <v>143</v>
      </c>
      <c r="C338">
        <v>52</v>
      </c>
      <c r="D338">
        <f t="shared" si="10"/>
        <v>66</v>
      </c>
      <c r="G338">
        <v>2627.6276276276299</v>
      </c>
      <c r="H338" s="13">
        <f t="shared" si="11"/>
        <v>0.8018018018018036</v>
      </c>
    </row>
    <row r="339" spans="1:8" x14ac:dyDescent="0.3">
      <c r="A339" s="17" t="s">
        <v>143</v>
      </c>
      <c r="C339">
        <v>53</v>
      </c>
      <c r="D339">
        <f t="shared" si="10"/>
        <v>67</v>
      </c>
      <c r="G339">
        <v>2631.5789473684199</v>
      </c>
      <c r="H339" s="13">
        <f t="shared" si="11"/>
        <v>0.80300751879699317</v>
      </c>
    </row>
    <row r="340" spans="1:8" x14ac:dyDescent="0.3">
      <c r="A340" s="17" t="s">
        <v>143</v>
      </c>
      <c r="C340">
        <v>54</v>
      </c>
      <c r="D340">
        <f t="shared" si="10"/>
        <v>68</v>
      </c>
      <c r="G340">
        <v>2633.5590669676499</v>
      </c>
      <c r="H340" s="13">
        <f t="shared" si="11"/>
        <v>0.80361173814898679</v>
      </c>
    </row>
    <row r="341" spans="1:8" x14ac:dyDescent="0.3">
      <c r="A341" s="17" t="s">
        <v>143</v>
      </c>
      <c r="C341">
        <v>55</v>
      </c>
      <c r="D341">
        <f t="shared" si="10"/>
        <v>69</v>
      </c>
      <c r="G341">
        <v>2633.5590669676499</v>
      </c>
      <c r="H341" s="13">
        <f t="shared" si="11"/>
        <v>0.80361173814898679</v>
      </c>
    </row>
    <row r="342" spans="1:8" x14ac:dyDescent="0.3">
      <c r="A342" s="17" t="s">
        <v>143</v>
      </c>
      <c r="C342">
        <v>56</v>
      </c>
      <c r="D342">
        <f t="shared" si="10"/>
        <v>70</v>
      </c>
      <c r="G342">
        <v>2631.5789473684199</v>
      </c>
      <c r="H342" s="13">
        <f t="shared" si="11"/>
        <v>0.80300751879699317</v>
      </c>
    </row>
    <row r="343" spans="1:8" x14ac:dyDescent="0.3">
      <c r="A343" s="17" t="s">
        <v>143</v>
      </c>
      <c r="C343">
        <v>57</v>
      </c>
      <c r="D343">
        <f t="shared" si="10"/>
        <v>71</v>
      </c>
      <c r="G343">
        <v>2627.6276276276299</v>
      </c>
      <c r="H343" s="13">
        <f t="shared" si="11"/>
        <v>0.8018018018018036</v>
      </c>
    </row>
    <row r="344" spans="1:8" x14ac:dyDescent="0.3">
      <c r="A344" s="17" t="s">
        <v>143</v>
      </c>
      <c r="C344">
        <v>58</v>
      </c>
      <c r="D344">
        <f t="shared" si="10"/>
        <v>72</v>
      </c>
      <c r="G344">
        <v>2621.72284644195</v>
      </c>
      <c r="H344" s="13">
        <f t="shared" si="11"/>
        <v>0.80000000000000182</v>
      </c>
    </row>
    <row r="345" spans="1:8" x14ac:dyDescent="0.3">
      <c r="A345" s="17" t="s">
        <v>143</v>
      </c>
      <c r="C345">
        <v>59</v>
      </c>
      <c r="D345">
        <f t="shared" si="10"/>
        <v>73</v>
      </c>
      <c r="G345">
        <v>2613.8909634055299</v>
      </c>
      <c r="H345" s="13">
        <f t="shared" si="11"/>
        <v>0.79761015683345993</v>
      </c>
    </row>
    <row r="346" spans="1:8" x14ac:dyDescent="0.3">
      <c r="A346" s="17" t="s">
        <v>143</v>
      </c>
      <c r="C346">
        <v>60</v>
      </c>
      <c r="D346">
        <f t="shared" si="10"/>
        <v>74</v>
      </c>
      <c r="G346">
        <v>2604.1666666666702</v>
      </c>
      <c r="H346" s="13">
        <f t="shared" si="11"/>
        <v>0.79464285714285932</v>
      </c>
    </row>
    <row r="347" spans="1:8" x14ac:dyDescent="0.3">
      <c r="A347" s="17" t="s">
        <v>143</v>
      </c>
      <c r="C347">
        <v>61</v>
      </c>
      <c r="D347">
        <f t="shared" si="10"/>
        <v>75</v>
      </c>
      <c r="G347">
        <v>2594.5144551519602</v>
      </c>
      <c r="H347" s="13">
        <f t="shared" si="11"/>
        <v>0.79169755374351347</v>
      </c>
    </row>
    <row r="348" spans="1:8" x14ac:dyDescent="0.3">
      <c r="A348" s="17" t="s">
        <v>143</v>
      </c>
      <c r="C348">
        <v>62</v>
      </c>
      <c r="D348">
        <f t="shared" si="10"/>
        <v>76</v>
      </c>
      <c r="G348">
        <v>2584.9335302806498</v>
      </c>
      <c r="H348" s="13">
        <f t="shared" si="11"/>
        <v>0.78877400295421074</v>
      </c>
    </row>
    <row r="349" spans="1:8" x14ac:dyDescent="0.3">
      <c r="A349" s="17" t="s">
        <v>143</v>
      </c>
      <c r="C349">
        <v>63</v>
      </c>
      <c r="D349">
        <f t="shared" si="10"/>
        <v>77</v>
      </c>
      <c r="G349">
        <v>2573.5294117647099</v>
      </c>
      <c r="H349" s="13">
        <f t="shared" si="11"/>
        <v>0.78529411764706114</v>
      </c>
    </row>
    <row r="350" spans="1:8" x14ac:dyDescent="0.3">
      <c r="A350" s="17" t="s">
        <v>143</v>
      </c>
      <c r="C350">
        <v>64</v>
      </c>
      <c r="D350">
        <f t="shared" si="10"/>
        <v>78</v>
      </c>
      <c r="G350">
        <v>2562.2254758418699</v>
      </c>
      <c r="H350" s="13">
        <f t="shared" si="11"/>
        <v>0.78184480234260589</v>
      </c>
    </row>
    <row r="351" spans="1:8" x14ac:dyDescent="0.3">
      <c r="A351" s="17" t="s">
        <v>143</v>
      </c>
      <c r="C351">
        <v>65</v>
      </c>
      <c r="D351">
        <f t="shared" ref="D351:D414" si="12">C351+14</f>
        <v>79</v>
      </c>
      <c r="G351">
        <v>2549.16241806264</v>
      </c>
      <c r="H351" s="13">
        <f t="shared" ref="H351:H414" si="13">G351/MAX($G$286:$G$1009)</f>
        <v>0.77785870356882947</v>
      </c>
    </row>
    <row r="352" spans="1:8" x14ac:dyDescent="0.3">
      <c r="A352" s="17" t="s">
        <v>143</v>
      </c>
      <c r="C352">
        <v>66</v>
      </c>
      <c r="D352">
        <f t="shared" si="12"/>
        <v>80</v>
      </c>
      <c r="G352">
        <v>2538.07106598985</v>
      </c>
      <c r="H352" s="13">
        <f t="shared" si="13"/>
        <v>0.77447425670776093</v>
      </c>
    </row>
    <row r="353" spans="1:8" x14ac:dyDescent="0.3">
      <c r="A353" s="17" t="s">
        <v>143</v>
      </c>
      <c r="C353">
        <v>67</v>
      </c>
      <c r="D353">
        <f t="shared" si="12"/>
        <v>81</v>
      </c>
      <c r="G353">
        <v>2527.07581227437</v>
      </c>
      <c r="H353" s="13">
        <f t="shared" si="13"/>
        <v>0.77111913357400885</v>
      </c>
    </row>
    <row r="354" spans="1:8" x14ac:dyDescent="0.3">
      <c r="A354" s="17" t="s">
        <v>143</v>
      </c>
      <c r="C354">
        <v>68</v>
      </c>
      <c r="D354">
        <f t="shared" si="12"/>
        <v>82</v>
      </c>
      <c r="G354">
        <v>2516.17541337168</v>
      </c>
      <c r="H354" s="13">
        <f t="shared" si="13"/>
        <v>0.76779295470884512</v>
      </c>
    </row>
    <row r="355" spans="1:8" x14ac:dyDescent="0.3">
      <c r="A355" s="17" t="s">
        <v>143</v>
      </c>
      <c r="C355">
        <v>69</v>
      </c>
      <c r="D355">
        <f t="shared" si="12"/>
        <v>83</v>
      </c>
      <c r="G355">
        <v>2507.1633237822398</v>
      </c>
      <c r="H355" s="13">
        <f t="shared" si="13"/>
        <v>0.76504297994269588</v>
      </c>
    </row>
    <row r="356" spans="1:8" x14ac:dyDescent="0.3">
      <c r="A356" s="17" t="s">
        <v>143</v>
      </c>
      <c r="C356">
        <v>70</v>
      </c>
      <c r="D356">
        <f t="shared" si="12"/>
        <v>84</v>
      </c>
      <c r="H356" s="13"/>
    </row>
    <row r="357" spans="1:8" x14ac:dyDescent="0.3">
      <c r="A357" s="17" t="s">
        <v>143</v>
      </c>
      <c r="C357">
        <v>71</v>
      </c>
      <c r="D357">
        <f t="shared" si="12"/>
        <v>85</v>
      </c>
      <c r="H357" s="13"/>
    </row>
    <row r="358" spans="1:8" x14ac:dyDescent="0.3">
      <c r="A358" s="17" t="s">
        <v>143</v>
      </c>
      <c r="C358">
        <v>72</v>
      </c>
      <c r="D358">
        <f t="shared" si="12"/>
        <v>86</v>
      </c>
      <c r="H358" s="13"/>
    </row>
    <row r="359" spans="1:8" x14ac:dyDescent="0.3">
      <c r="A359" s="17" t="s">
        <v>143</v>
      </c>
      <c r="C359">
        <v>73</v>
      </c>
      <c r="D359">
        <f t="shared" si="12"/>
        <v>87</v>
      </c>
      <c r="H359" s="13"/>
    </row>
    <row r="360" spans="1:8" x14ac:dyDescent="0.3">
      <c r="A360" s="17" t="s">
        <v>143</v>
      </c>
      <c r="C360">
        <v>74</v>
      </c>
      <c r="D360">
        <f t="shared" si="12"/>
        <v>88</v>
      </c>
      <c r="H360" s="13"/>
    </row>
    <row r="361" spans="1:8" x14ac:dyDescent="0.3">
      <c r="A361" s="17" t="s">
        <v>143</v>
      </c>
      <c r="C361">
        <v>75</v>
      </c>
      <c r="D361">
        <f t="shared" si="12"/>
        <v>89</v>
      </c>
      <c r="H361" s="13"/>
    </row>
    <row r="362" spans="1:8" x14ac:dyDescent="0.3">
      <c r="A362" s="17" t="s">
        <v>143</v>
      </c>
      <c r="C362">
        <v>76</v>
      </c>
      <c r="D362">
        <f t="shared" si="12"/>
        <v>90</v>
      </c>
      <c r="H362" s="13"/>
    </row>
    <row r="363" spans="1:8" x14ac:dyDescent="0.3">
      <c r="A363" s="17" t="s">
        <v>143</v>
      </c>
      <c r="C363">
        <v>77</v>
      </c>
      <c r="D363">
        <f t="shared" si="12"/>
        <v>91</v>
      </c>
      <c r="H363" s="13"/>
    </row>
    <row r="364" spans="1:8" x14ac:dyDescent="0.3">
      <c r="A364" s="17" t="s">
        <v>143</v>
      </c>
      <c r="C364">
        <v>78</v>
      </c>
      <c r="D364">
        <f t="shared" si="12"/>
        <v>92</v>
      </c>
      <c r="H364" s="13"/>
    </row>
    <row r="365" spans="1:8" x14ac:dyDescent="0.3">
      <c r="A365" s="17" t="s">
        <v>143</v>
      </c>
      <c r="C365">
        <v>79</v>
      </c>
      <c r="D365">
        <f t="shared" si="12"/>
        <v>93</v>
      </c>
      <c r="H365" s="13"/>
    </row>
    <row r="366" spans="1:8" x14ac:dyDescent="0.3">
      <c r="A366" s="17" t="s">
        <v>143</v>
      </c>
      <c r="C366">
        <v>80</v>
      </c>
      <c r="D366">
        <f t="shared" si="12"/>
        <v>94</v>
      </c>
      <c r="H366" s="13"/>
    </row>
    <row r="367" spans="1:8" x14ac:dyDescent="0.3">
      <c r="A367" s="17" t="s">
        <v>143</v>
      </c>
      <c r="C367">
        <v>81</v>
      </c>
      <c r="D367">
        <f t="shared" si="12"/>
        <v>95</v>
      </c>
      <c r="H367" s="13"/>
    </row>
    <row r="368" spans="1:8" x14ac:dyDescent="0.3">
      <c r="A368" s="17" t="s">
        <v>143</v>
      </c>
      <c r="C368">
        <v>82</v>
      </c>
      <c r="D368">
        <f t="shared" si="12"/>
        <v>96</v>
      </c>
      <c r="H368" s="13"/>
    </row>
    <row r="369" spans="1:8" x14ac:dyDescent="0.3">
      <c r="A369" s="17" t="s">
        <v>143</v>
      </c>
      <c r="C369">
        <v>83</v>
      </c>
      <c r="D369">
        <f t="shared" si="12"/>
        <v>97</v>
      </c>
      <c r="H369" s="13"/>
    </row>
    <row r="370" spans="1:8" x14ac:dyDescent="0.3">
      <c r="A370" s="17" t="s">
        <v>143</v>
      </c>
      <c r="C370">
        <v>84</v>
      </c>
      <c r="D370">
        <f t="shared" si="12"/>
        <v>98</v>
      </c>
      <c r="H370" s="13"/>
    </row>
    <row r="371" spans="1:8" x14ac:dyDescent="0.3">
      <c r="A371" s="17" t="s">
        <v>143</v>
      </c>
      <c r="C371">
        <v>85</v>
      </c>
      <c r="D371">
        <f t="shared" si="12"/>
        <v>99</v>
      </c>
      <c r="H371" s="13"/>
    </row>
    <row r="372" spans="1:8" x14ac:dyDescent="0.3">
      <c r="A372" s="17" t="s">
        <v>143</v>
      </c>
      <c r="C372">
        <v>86</v>
      </c>
      <c r="D372">
        <f t="shared" si="12"/>
        <v>100</v>
      </c>
      <c r="H372" s="13"/>
    </row>
    <row r="373" spans="1:8" x14ac:dyDescent="0.3">
      <c r="A373" s="17" t="s">
        <v>143</v>
      </c>
      <c r="C373">
        <v>87</v>
      </c>
      <c r="D373">
        <f t="shared" si="12"/>
        <v>101</v>
      </c>
      <c r="H373" s="13"/>
    </row>
    <row r="374" spans="1:8" x14ac:dyDescent="0.3">
      <c r="A374" s="17" t="s">
        <v>143</v>
      </c>
      <c r="C374">
        <v>88</v>
      </c>
      <c r="D374">
        <f t="shared" si="12"/>
        <v>102</v>
      </c>
      <c r="H374" s="13"/>
    </row>
    <row r="375" spans="1:8" x14ac:dyDescent="0.3">
      <c r="A375" s="17" t="s">
        <v>143</v>
      </c>
      <c r="C375">
        <v>89</v>
      </c>
      <c r="D375">
        <f t="shared" si="12"/>
        <v>103</v>
      </c>
      <c r="H375" s="13"/>
    </row>
    <row r="376" spans="1:8" x14ac:dyDescent="0.3">
      <c r="A376" s="17" t="s">
        <v>143</v>
      </c>
      <c r="C376">
        <v>90</v>
      </c>
      <c r="D376">
        <f t="shared" si="12"/>
        <v>104</v>
      </c>
      <c r="H376" s="13"/>
    </row>
    <row r="377" spans="1:8" x14ac:dyDescent="0.3">
      <c r="A377" s="17" t="s">
        <v>143</v>
      </c>
      <c r="C377">
        <v>91</v>
      </c>
      <c r="D377">
        <f t="shared" si="12"/>
        <v>105</v>
      </c>
      <c r="G377">
        <v>2517.98561151079</v>
      </c>
      <c r="H377" s="13">
        <f t="shared" si="13"/>
        <v>0.76834532374100784</v>
      </c>
    </row>
    <row r="378" spans="1:8" x14ac:dyDescent="0.3">
      <c r="A378" s="17" t="s">
        <v>143</v>
      </c>
      <c r="C378">
        <v>92</v>
      </c>
      <c r="D378">
        <f t="shared" si="12"/>
        <v>106</v>
      </c>
      <c r="G378">
        <v>2528.9017341040499</v>
      </c>
      <c r="H378" s="13">
        <f t="shared" si="13"/>
        <v>0.77167630057803682</v>
      </c>
    </row>
    <row r="379" spans="1:8" x14ac:dyDescent="0.3">
      <c r="A379" s="17" t="s">
        <v>143</v>
      </c>
      <c r="C379">
        <v>93</v>
      </c>
      <c r="D379">
        <f t="shared" si="12"/>
        <v>107</v>
      </c>
      <c r="G379">
        <v>2539.9129172714102</v>
      </c>
      <c r="H379" s="13">
        <f t="shared" si="13"/>
        <v>0.77503628447024853</v>
      </c>
    </row>
    <row r="380" spans="1:8" x14ac:dyDescent="0.3">
      <c r="A380" s="17" t="s">
        <v>143</v>
      </c>
      <c r="C380">
        <v>94</v>
      </c>
      <c r="D380">
        <f t="shared" si="12"/>
        <v>108</v>
      </c>
      <c r="G380">
        <v>2552.8811086798</v>
      </c>
      <c r="H380" s="13">
        <f t="shared" si="13"/>
        <v>0.77899343544858002</v>
      </c>
    </row>
    <row r="381" spans="1:8" x14ac:dyDescent="0.3">
      <c r="A381" s="17" t="s">
        <v>143</v>
      </c>
      <c r="C381">
        <v>95</v>
      </c>
      <c r="D381">
        <f t="shared" si="12"/>
        <v>109</v>
      </c>
      <c r="G381">
        <v>2565.9824046920799</v>
      </c>
      <c r="H381" s="13">
        <f t="shared" si="13"/>
        <v>0.78299120234604136</v>
      </c>
    </row>
    <row r="382" spans="1:8" x14ac:dyDescent="0.3">
      <c r="A382" s="17" t="s">
        <v>143</v>
      </c>
      <c r="C382">
        <v>96</v>
      </c>
      <c r="D382">
        <f t="shared" si="12"/>
        <v>110</v>
      </c>
      <c r="G382">
        <v>2579.2188651437</v>
      </c>
      <c r="H382" s="13">
        <f t="shared" si="13"/>
        <v>0.78703021370670723</v>
      </c>
    </row>
    <row r="383" spans="1:8" x14ac:dyDescent="0.3">
      <c r="A383" s="17" t="s">
        <v>143</v>
      </c>
      <c r="C383">
        <v>97</v>
      </c>
      <c r="D383">
        <f t="shared" si="12"/>
        <v>111</v>
      </c>
      <c r="G383">
        <v>2592.5925925925899</v>
      </c>
      <c r="H383" s="13">
        <f t="shared" si="13"/>
        <v>0.79111111111111132</v>
      </c>
    </row>
    <row r="384" spans="1:8" x14ac:dyDescent="0.3">
      <c r="A384" s="17" t="s">
        <v>143</v>
      </c>
      <c r="C384">
        <v>98</v>
      </c>
      <c r="D384">
        <f t="shared" si="12"/>
        <v>112</v>
      </c>
      <c r="G384">
        <v>2604.1666666666702</v>
      </c>
      <c r="H384" s="13">
        <f t="shared" si="13"/>
        <v>0.79464285714285932</v>
      </c>
    </row>
    <row r="385" spans="1:8" x14ac:dyDescent="0.3">
      <c r="A385" s="17" t="s">
        <v>143</v>
      </c>
      <c r="C385">
        <v>99</v>
      </c>
      <c r="D385">
        <f t="shared" si="12"/>
        <v>113</v>
      </c>
      <c r="G385">
        <v>2617.8010471204202</v>
      </c>
      <c r="H385" s="13">
        <f t="shared" si="13"/>
        <v>0.79880329094988933</v>
      </c>
    </row>
    <row r="386" spans="1:8" x14ac:dyDescent="0.3">
      <c r="A386" s="17" t="s">
        <v>143</v>
      </c>
      <c r="C386">
        <v>100</v>
      </c>
      <c r="D386">
        <f t="shared" si="12"/>
        <v>114</v>
      </c>
      <c r="G386">
        <v>2631.5789473684199</v>
      </c>
      <c r="H386" s="13">
        <f t="shared" si="13"/>
        <v>0.80300751879699317</v>
      </c>
    </row>
    <row r="387" spans="1:8" x14ac:dyDescent="0.3">
      <c r="A387" s="17" t="s">
        <v>143</v>
      </c>
      <c r="C387">
        <v>101</v>
      </c>
      <c r="D387">
        <f t="shared" si="12"/>
        <v>115</v>
      </c>
      <c r="G387">
        <v>2643.5045317220502</v>
      </c>
      <c r="H387" s="13">
        <f t="shared" si="13"/>
        <v>0.80664652567975814</v>
      </c>
    </row>
    <row r="388" spans="1:8" x14ac:dyDescent="0.3">
      <c r="A388" s="17" t="s">
        <v>143</v>
      </c>
      <c r="C388">
        <v>102</v>
      </c>
      <c r="D388">
        <f t="shared" si="12"/>
        <v>116</v>
      </c>
      <c r="G388">
        <v>2655.53869499241</v>
      </c>
      <c r="H388" s="13">
        <f t="shared" si="13"/>
        <v>0.8103186646433993</v>
      </c>
    </row>
    <row r="389" spans="1:8" x14ac:dyDescent="0.3">
      <c r="A389" s="17" t="s">
        <v>143</v>
      </c>
      <c r="C389">
        <v>103</v>
      </c>
      <c r="D389">
        <f t="shared" si="12"/>
        <v>117</v>
      </c>
      <c r="G389">
        <v>2667.6829268292699</v>
      </c>
      <c r="H389" s="13">
        <f t="shared" si="13"/>
        <v>0.81402439024390405</v>
      </c>
    </row>
    <row r="390" spans="1:8" x14ac:dyDescent="0.3">
      <c r="A390" s="17" t="s">
        <v>143</v>
      </c>
      <c r="C390">
        <v>104</v>
      </c>
      <c r="D390">
        <f t="shared" si="12"/>
        <v>118</v>
      </c>
      <c r="G390">
        <v>2677.8882938025999</v>
      </c>
      <c r="H390" s="13">
        <f t="shared" si="13"/>
        <v>0.81713848508033726</v>
      </c>
    </row>
    <row r="391" spans="1:8" x14ac:dyDescent="0.3">
      <c r="A391" s="17" t="s">
        <v>143</v>
      </c>
      <c r="C391">
        <v>105</v>
      </c>
      <c r="D391">
        <f t="shared" si="12"/>
        <v>119</v>
      </c>
      <c r="G391">
        <v>2688.1720430107498</v>
      </c>
      <c r="H391" s="13">
        <f t="shared" si="13"/>
        <v>0.82027649769585276</v>
      </c>
    </row>
    <row r="392" spans="1:8" x14ac:dyDescent="0.3">
      <c r="A392" s="17" t="s">
        <v>143</v>
      </c>
      <c r="C392">
        <v>106</v>
      </c>
      <c r="D392">
        <f t="shared" si="12"/>
        <v>120</v>
      </c>
      <c r="G392">
        <v>2696.4560862865901</v>
      </c>
      <c r="H392" s="13">
        <f t="shared" si="13"/>
        <v>0.82280431432973777</v>
      </c>
    </row>
    <row r="393" spans="1:8" x14ac:dyDescent="0.3">
      <c r="A393" s="17" t="s">
        <v>143</v>
      </c>
      <c r="C393">
        <v>107</v>
      </c>
      <c r="D393">
        <f t="shared" si="12"/>
        <v>121</v>
      </c>
      <c r="G393">
        <v>2704.7913446676998</v>
      </c>
      <c r="H393" s="13">
        <f t="shared" si="13"/>
        <v>0.82534775888717349</v>
      </c>
    </row>
    <row r="394" spans="1:8" x14ac:dyDescent="0.3">
      <c r="A394" s="17" t="s">
        <v>143</v>
      </c>
      <c r="C394">
        <v>108</v>
      </c>
      <c r="D394">
        <f t="shared" si="12"/>
        <v>122</v>
      </c>
      <c r="G394">
        <v>2711.0766847405098</v>
      </c>
      <c r="H394" s="13">
        <f t="shared" si="13"/>
        <v>0.82726568551510526</v>
      </c>
    </row>
    <row r="395" spans="1:8" x14ac:dyDescent="0.3">
      <c r="A395" s="17" t="s">
        <v>143</v>
      </c>
      <c r="C395">
        <v>109</v>
      </c>
      <c r="D395">
        <f t="shared" si="12"/>
        <v>123</v>
      </c>
      <c r="G395">
        <v>2715.2831652443801</v>
      </c>
      <c r="H395" s="13">
        <f t="shared" si="13"/>
        <v>0.82854926299457199</v>
      </c>
    </row>
    <row r="396" spans="1:8" x14ac:dyDescent="0.3">
      <c r="A396" s="17" t="s">
        <v>143</v>
      </c>
      <c r="C396">
        <v>110</v>
      </c>
      <c r="D396">
        <f t="shared" si="12"/>
        <v>124</v>
      </c>
      <c r="G396">
        <v>2719.5027195027201</v>
      </c>
      <c r="H396" s="13">
        <f t="shared" si="13"/>
        <v>0.82983682983683116</v>
      </c>
    </row>
    <row r="397" spans="1:8" x14ac:dyDescent="0.3">
      <c r="A397" s="17" t="s">
        <v>143</v>
      </c>
      <c r="C397">
        <v>111</v>
      </c>
      <c r="D397">
        <f t="shared" si="12"/>
        <v>125</v>
      </c>
      <c r="G397">
        <v>2721.61741835148</v>
      </c>
      <c r="H397" s="13">
        <f t="shared" si="13"/>
        <v>0.83048211508553837</v>
      </c>
    </row>
    <row r="398" spans="1:8" x14ac:dyDescent="0.3">
      <c r="A398" s="17" t="s">
        <v>143</v>
      </c>
      <c r="C398">
        <v>112</v>
      </c>
      <c r="D398">
        <f t="shared" si="12"/>
        <v>126</v>
      </c>
      <c r="G398">
        <v>2721.61741835148</v>
      </c>
      <c r="H398" s="13">
        <f t="shared" si="13"/>
        <v>0.83048211508553837</v>
      </c>
    </row>
    <row r="399" spans="1:8" x14ac:dyDescent="0.3">
      <c r="A399" s="17" t="s">
        <v>143</v>
      </c>
      <c r="C399">
        <v>113</v>
      </c>
      <c r="D399">
        <f t="shared" si="12"/>
        <v>127</v>
      </c>
      <c r="G399">
        <v>2719.5027195027201</v>
      </c>
      <c r="H399" s="13">
        <f t="shared" si="13"/>
        <v>0.82983682983683116</v>
      </c>
    </row>
    <row r="400" spans="1:8" x14ac:dyDescent="0.3">
      <c r="A400" s="17" t="s">
        <v>143</v>
      </c>
      <c r="C400">
        <v>114</v>
      </c>
      <c r="D400">
        <f t="shared" si="12"/>
        <v>128</v>
      </c>
      <c r="G400">
        <v>2717.3913043478301</v>
      </c>
      <c r="H400" s="13">
        <f t="shared" si="13"/>
        <v>0.82919254658385322</v>
      </c>
    </row>
    <row r="401" spans="1:8" x14ac:dyDescent="0.3">
      <c r="A401" s="17" t="s">
        <v>143</v>
      </c>
      <c r="C401">
        <v>115</v>
      </c>
      <c r="D401">
        <f t="shared" si="12"/>
        <v>129</v>
      </c>
      <c r="G401">
        <v>2711.0766847405098</v>
      </c>
      <c r="H401" s="13">
        <f t="shared" si="13"/>
        <v>0.82726568551510526</v>
      </c>
    </row>
    <row r="402" spans="1:8" x14ac:dyDescent="0.3">
      <c r="A402" s="17" t="s">
        <v>143</v>
      </c>
      <c r="C402">
        <v>116</v>
      </c>
      <c r="D402">
        <f t="shared" si="12"/>
        <v>130</v>
      </c>
      <c r="G402">
        <v>2706.8832173240498</v>
      </c>
      <c r="H402" s="13">
        <f t="shared" si="13"/>
        <v>0.82598607888631115</v>
      </c>
    </row>
    <row r="403" spans="1:8" x14ac:dyDescent="0.3">
      <c r="A403" s="17" t="s">
        <v>143</v>
      </c>
      <c r="C403">
        <v>117</v>
      </c>
      <c r="D403">
        <f t="shared" si="12"/>
        <v>131</v>
      </c>
      <c r="G403">
        <v>2698.53508095605</v>
      </c>
      <c r="H403" s="13">
        <f t="shared" si="13"/>
        <v>0.82343870470316149</v>
      </c>
    </row>
    <row r="404" spans="1:8" x14ac:dyDescent="0.3">
      <c r="A404" s="17" t="s">
        <v>143</v>
      </c>
      <c r="C404">
        <v>118</v>
      </c>
      <c r="D404">
        <f t="shared" si="12"/>
        <v>132</v>
      </c>
      <c r="G404">
        <v>2690.2382782475001</v>
      </c>
      <c r="H404" s="13">
        <f t="shared" si="13"/>
        <v>0.82090699461952399</v>
      </c>
    </row>
    <row r="405" spans="1:8" x14ac:dyDescent="0.3">
      <c r="A405" s="17" t="s">
        <v>143</v>
      </c>
      <c r="C405">
        <v>119</v>
      </c>
      <c r="D405">
        <f t="shared" si="12"/>
        <v>133</v>
      </c>
      <c r="G405">
        <v>2681.9923371647501</v>
      </c>
      <c r="H405" s="13">
        <f t="shared" si="13"/>
        <v>0.81839080459770197</v>
      </c>
    </row>
    <row r="406" spans="1:8" x14ac:dyDescent="0.3">
      <c r="A406" s="17" t="s">
        <v>143</v>
      </c>
      <c r="C406">
        <v>120</v>
      </c>
      <c r="D406">
        <f t="shared" si="12"/>
        <v>134</v>
      </c>
      <c r="G406">
        <v>2671.7557251908402</v>
      </c>
      <c r="H406" s="13">
        <f t="shared" si="13"/>
        <v>0.81526717557252026</v>
      </c>
    </row>
    <row r="407" spans="1:8" x14ac:dyDescent="0.3">
      <c r="A407" s="17" t="s">
        <v>143</v>
      </c>
      <c r="C407">
        <v>121</v>
      </c>
      <c r="D407">
        <f t="shared" si="12"/>
        <v>135</v>
      </c>
      <c r="G407">
        <v>2661.59695817491</v>
      </c>
      <c r="H407" s="13">
        <f t="shared" si="13"/>
        <v>0.81216730038023077</v>
      </c>
    </row>
    <row r="408" spans="1:8" x14ac:dyDescent="0.3">
      <c r="A408" s="17" t="s">
        <v>143</v>
      </c>
      <c r="C408">
        <v>122</v>
      </c>
      <c r="D408">
        <f t="shared" si="12"/>
        <v>136</v>
      </c>
      <c r="G408">
        <v>2649.5079485238498</v>
      </c>
      <c r="H408" s="13">
        <f t="shared" si="13"/>
        <v>0.8084784254352787</v>
      </c>
    </row>
    <row r="409" spans="1:8" x14ac:dyDescent="0.3">
      <c r="A409" s="17" t="s">
        <v>143</v>
      </c>
      <c r="C409">
        <v>123</v>
      </c>
      <c r="D409">
        <f t="shared" si="12"/>
        <v>137</v>
      </c>
      <c r="G409">
        <v>2639.5173453996999</v>
      </c>
      <c r="H409" s="13">
        <f t="shared" si="13"/>
        <v>0.80542986425339524</v>
      </c>
    </row>
    <row r="410" spans="1:8" x14ac:dyDescent="0.3">
      <c r="A410" s="17" t="s">
        <v>143</v>
      </c>
      <c r="C410">
        <v>124</v>
      </c>
      <c r="D410">
        <f t="shared" si="12"/>
        <v>138</v>
      </c>
      <c r="G410">
        <v>2627.6276276276299</v>
      </c>
      <c r="H410" s="13">
        <f t="shared" si="13"/>
        <v>0.8018018018018036</v>
      </c>
    </row>
    <row r="411" spans="1:8" x14ac:dyDescent="0.3">
      <c r="A411" s="17" t="s">
        <v>143</v>
      </c>
      <c r="C411">
        <v>125</v>
      </c>
      <c r="D411">
        <f t="shared" si="12"/>
        <v>139</v>
      </c>
      <c r="G411">
        <v>2615.8445440956698</v>
      </c>
      <c r="H411" s="13">
        <f t="shared" si="13"/>
        <v>0.79820627802690836</v>
      </c>
    </row>
    <row r="412" spans="1:8" x14ac:dyDescent="0.3">
      <c r="A412" s="17" t="s">
        <v>143</v>
      </c>
      <c r="C412">
        <v>126</v>
      </c>
      <c r="D412">
        <f t="shared" si="12"/>
        <v>140</v>
      </c>
      <c r="G412">
        <v>2602.2304832713799</v>
      </c>
      <c r="H412" s="13">
        <f t="shared" si="13"/>
        <v>0.79405204460966783</v>
      </c>
    </row>
    <row r="413" spans="1:8" x14ac:dyDescent="0.3">
      <c r="A413" s="17" t="s">
        <v>143</v>
      </c>
      <c r="C413">
        <v>127</v>
      </c>
      <c r="D413">
        <f t="shared" si="12"/>
        <v>141</v>
      </c>
      <c r="G413">
        <v>2590.67357512953</v>
      </c>
      <c r="H413" s="13">
        <f t="shared" si="13"/>
        <v>0.79052553663952618</v>
      </c>
    </row>
    <row r="414" spans="1:8" x14ac:dyDescent="0.3">
      <c r="A414" s="17" t="s">
        <v>143</v>
      </c>
      <c r="C414">
        <v>128</v>
      </c>
      <c r="D414">
        <f t="shared" si="12"/>
        <v>142</v>
      </c>
      <c r="G414">
        <v>2579.2188651437</v>
      </c>
      <c r="H414" s="13">
        <f t="shared" si="13"/>
        <v>0.78703021370670723</v>
      </c>
    </row>
    <row r="415" spans="1:8" x14ac:dyDescent="0.3">
      <c r="A415" s="17" t="s">
        <v>143</v>
      </c>
      <c r="C415">
        <v>129</v>
      </c>
      <c r="D415">
        <f t="shared" ref="D415:D452" si="14">C415+14</f>
        <v>143</v>
      </c>
      <c r="G415">
        <v>2567.8650036683798</v>
      </c>
      <c r="H415" s="13">
        <f t="shared" ref="H415:H452" si="15">G415/MAX($G$286:$G$1009)</f>
        <v>0.78356566397652383</v>
      </c>
    </row>
    <row r="416" spans="1:8" x14ac:dyDescent="0.3">
      <c r="A416" s="17" t="s">
        <v>143</v>
      </c>
      <c r="C416">
        <v>130</v>
      </c>
      <c r="D416">
        <f t="shared" si="14"/>
        <v>144</v>
      </c>
      <c r="G416">
        <v>2556.6106647187698</v>
      </c>
      <c r="H416" s="13">
        <f t="shared" si="15"/>
        <v>0.78013148283418565</v>
      </c>
    </row>
    <row r="417" spans="1:8" x14ac:dyDescent="0.3">
      <c r="A417" s="17" t="s">
        <v>143</v>
      </c>
      <c r="C417">
        <v>131</v>
      </c>
      <c r="D417">
        <f t="shared" si="14"/>
        <v>145</v>
      </c>
      <c r="G417">
        <v>2545.45454545455</v>
      </c>
      <c r="H417" s="13">
        <f t="shared" si="15"/>
        <v>0.77672727272727515</v>
      </c>
    </row>
    <row r="418" spans="1:8" x14ac:dyDescent="0.3">
      <c r="A418" s="17" t="s">
        <v>143</v>
      </c>
      <c r="C418">
        <v>132</v>
      </c>
      <c r="D418">
        <f t="shared" si="14"/>
        <v>146</v>
      </c>
      <c r="G418">
        <v>2534.39536567705</v>
      </c>
      <c r="H418" s="13">
        <f t="shared" si="15"/>
        <v>0.77335264301231232</v>
      </c>
    </row>
    <row r="419" spans="1:8" x14ac:dyDescent="0.3">
      <c r="A419" s="17" t="s">
        <v>143</v>
      </c>
      <c r="C419">
        <v>133</v>
      </c>
      <c r="D419">
        <f t="shared" si="14"/>
        <v>147</v>
      </c>
      <c r="G419">
        <v>2523.4318673395801</v>
      </c>
      <c r="H419" s="13">
        <f t="shared" si="15"/>
        <v>0.77000720980533577</v>
      </c>
    </row>
    <row r="420" spans="1:8" x14ac:dyDescent="0.3">
      <c r="A420" s="17" t="s">
        <v>143</v>
      </c>
      <c r="C420">
        <v>134</v>
      </c>
      <c r="D420">
        <f t="shared" si="14"/>
        <v>148</v>
      </c>
      <c r="G420">
        <v>2514.3678160919499</v>
      </c>
      <c r="H420" s="13">
        <f t="shared" si="15"/>
        <v>0.76724137931034464</v>
      </c>
    </row>
    <row r="421" spans="1:8" x14ac:dyDescent="0.3">
      <c r="A421" s="17" t="s">
        <v>143</v>
      </c>
      <c r="C421">
        <v>135</v>
      </c>
      <c r="D421">
        <f t="shared" si="14"/>
        <v>149</v>
      </c>
      <c r="G421">
        <v>2505.36864710093</v>
      </c>
      <c r="H421" s="13">
        <f t="shared" si="15"/>
        <v>0.76449534717251344</v>
      </c>
    </row>
    <row r="422" spans="1:8" x14ac:dyDescent="0.3">
      <c r="A422" s="17" t="s">
        <v>143</v>
      </c>
      <c r="C422">
        <v>136</v>
      </c>
      <c r="D422">
        <f t="shared" si="14"/>
        <v>150</v>
      </c>
      <c r="G422">
        <v>2498.21556031406</v>
      </c>
      <c r="H422" s="13">
        <f t="shared" si="15"/>
        <v>0.76231263383297709</v>
      </c>
    </row>
    <row r="423" spans="1:8" x14ac:dyDescent="0.3">
      <c r="A423" s="17" t="s">
        <v>143</v>
      </c>
      <c r="C423">
        <v>137</v>
      </c>
      <c r="D423">
        <f t="shared" si="14"/>
        <v>151</v>
      </c>
      <c r="G423">
        <v>2491.1032028469799</v>
      </c>
      <c r="H423" s="13">
        <f t="shared" si="15"/>
        <v>0.76014234875445086</v>
      </c>
    </row>
    <row r="424" spans="1:8" x14ac:dyDescent="0.3">
      <c r="A424" s="17" t="s">
        <v>143</v>
      </c>
      <c r="C424">
        <v>138</v>
      </c>
      <c r="D424">
        <f t="shared" si="14"/>
        <v>152</v>
      </c>
      <c r="G424">
        <v>2484.03122782115</v>
      </c>
      <c r="H424" s="13">
        <f t="shared" si="15"/>
        <v>0.7579843860894262</v>
      </c>
    </row>
    <row r="425" spans="1:8" x14ac:dyDescent="0.3">
      <c r="A425" s="17" t="s">
        <v>143</v>
      </c>
      <c r="C425">
        <v>139</v>
      </c>
      <c r="D425">
        <f t="shared" si="14"/>
        <v>153</v>
      </c>
      <c r="G425">
        <v>2476.9992922859201</v>
      </c>
      <c r="H425" s="13">
        <f t="shared" si="15"/>
        <v>0.75583864118896182</v>
      </c>
    </row>
    <row r="426" spans="1:8" x14ac:dyDescent="0.3">
      <c r="A426" s="17" t="s">
        <v>143</v>
      </c>
      <c r="C426">
        <v>140</v>
      </c>
      <c r="D426">
        <f t="shared" si="14"/>
        <v>154</v>
      </c>
      <c r="G426">
        <v>2473.49823321555</v>
      </c>
      <c r="H426" s="13">
        <f t="shared" si="15"/>
        <v>0.75477031802120309</v>
      </c>
    </row>
    <row r="427" spans="1:8" x14ac:dyDescent="0.3">
      <c r="A427" s="17" t="s">
        <v>143</v>
      </c>
      <c r="C427">
        <v>141</v>
      </c>
      <c r="D427">
        <f t="shared" si="14"/>
        <v>155</v>
      </c>
      <c r="G427">
        <v>2468.26516220028</v>
      </c>
      <c r="H427" s="13">
        <f t="shared" si="15"/>
        <v>0.75317348377997217</v>
      </c>
    </row>
    <row r="428" spans="1:8" x14ac:dyDescent="0.3">
      <c r="A428" s="17" t="s">
        <v>143</v>
      </c>
      <c r="C428">
        <v>142</v>
      </c>
      <c r="D428">
        <f t="shared" si="14"/>
        <v>156</v>
      </c>
      <c r="G428">
        <v>2464.7887323943701</v>
      </c>
      <c r="H428" s="13">
        <f t="shared" si="15"/>
        <v>0.75211267605634025</v>
      </c>
    </row>
    <row r="429" spans="1:8" x14ac:dyDescent="0.3">
      <c r="A429" s="17" t="s">
        <v>143</v>
      </c>
      <c r="C429">
        <v>143</v>
      </c>
      <c r="D429">
        <f t="shared" si="14"/>
        <v>157</v>
      </c>
      <c r="G429">
        <v>2463.05418719212</v>
      </c>
      <c r="H429" s="13">
        <f t="shared" si="15"/>
        <v>0.75158339197748225</v>
      </c>
    </row>
    <row r="430" spans="1:8" x14ac:dyDescent="0.3">
      <c r="A430" s="17" t="s">
        <v>143</v>
      </c>
      <c r="C430">
        <v>144</v>
      </c>
      <c r="D430">
        <f t="shared" si="14"/>
        <v>158</v>
      </c>
      <c r="G430">
        <v>2461.3220815752502</v>
      </c>
      <c r="H430" s="13">
        <f t="shared" si="15"/>
        <v>0.75105485232067737</v>
      </c>
    </row>
    <row r="431" spans="1:8" x14ac:dyDescent="0.3">
      <c r="A431" s="17" t="s">
        <v>143</v>
      </c>
      <c r="C431">
        <v>145</v>
      </c>
      <c r="D431">
        <f t="shared" si="14"/>
        <v>159</v>
      </c>
      <c r="G431">
        <v>2461.3220815752502</v>
      </c>
      <c r="H431" s="13">
        <f t="shared" si="15"/>
        <v>0.75105485232067737</v>
      </c>
    </row>
    <row r="432" spans="1:8" x14ac:dyDescent="0.3">
      <c r="A432" s="17" t="s">
        <v>143</v>
      </c>
      <c r="C432">
        <v>146</v>
      </c>
      <c r="D432">
        <f t="shared" si="14"/>
        <v>160</v>
      </c>
      <c r="G432">
        <v>2461.3220815752502</v>
      </c>
      <c r="H432" s="13">
        <f t="shared" si="15"/>
        <v>0.75105485232067737</v>
      </c>
    </row>
    <row r="433" spans="1:8" x14ac:dyDescent="0.3">
      <c r="A433" s="17" t="s">
        <v>143</v>
      </c>
      <c r="C433">
        <v>147</v>
      </c>
      <c r="D433">
        <f t="shared" si="14"/>
        <v>161</v>
      </c>
      <c r="G433">
        <v>2463.05418719212</v>
      </c>
      <c r="H433" s="13">
        <f t="shared" si="15"/>
        <v>0.75158339197748225</v>
      </c>
    </row>
    <row r="434" spans="1:8" x14ac:dyDescent="0.3">
      <c r="A434" s="17" t="s">
        <v>143</v>
      </c>
      <c r="C434">
        <v>148</v>
      </c>
      <c r="D434">
        <f t="shared" si="14"/>
        <v>162</v>
      </c>
      <c r="G434">
        <v>2464.7887323943701</v>
      </c>
      <c r="H434" s="13">
        <f t="shared" si="15"/>
        <v>0.75211267605634025</v>
      </c>
    </row>
    <row r="435" spans="1:8" x14ac:dyDescent="0.3">
      <c r="A435" s="17" t="s">
        <v>143</v>
      </c>
      <c r="C435">
        <v>149</v>
      </c>
      <c r="D435">
        <f t="shared" si="14"/>
        <v>163</v>
      </c>
      <c r="G435">
        <v>2468.26516220028</v>
      </c>
      <c r="H435" s="13">
        <f t="shared" si="15"/>
        <v>0.75317348377997217</v>
      </c>
    </row>
    <row r="436" spans="1:8" x14ac:dyDescent="0.3">
      <c r="A436" s="17" t="s">
        <v>143</v>
      </c>
      <c r="C436">
        <v>150</v>
      </c>
      <c r="D436">
        <f t="shared" si="14"/>
        <v>164</v>
      </c>
      <c r="G436">
        <v>2471.7514124293798</v>
      </c>
      <c r="H436" s="13">
        <f t="shared" si="15"/>
        <v>0.75423728813559465</v>
      </c>
    </row>
    <row r="437" spans="1:8" x14ac:dyDescent="0.3">
      <c r="A437" s="17" t="s">
        <v>143</v>
      </c>
      <c r="C437">
        <v>151</v>
      </c>
      <c r="D437">
        <f t="shared" si="14"/>
        <v>165</v>
      </c>
      <c r="G437">
        <v>2476.9992922859201</v>
      </c>
      <c r="H437" s="13">
        <f t="shared" si="15"/>
        <v>0.75583864118896182</v>
      </c>
    </row>
    <row r="438" spans="1:8" x14ac:dyDescent="0.3">
      <c r="A438" s="17" t="s">
        <v>143</v>
      </c>
      <c r="C438">
        <v>152</v>
      </c>
      <c r="D438">
        <f t="shared" si="14"/>
        <v>166</v>
      </c>
      <c r="G438">
        <v>2484.03122782115</v>
      </c>
      <c r="H438" s="13">
        <f t="shared" si="15"/>
        <v>0.7579843860894262</v>
      </c>
    </row>
    <row r="439" spans="1:8" x14ac:dyDescent="0.3">
      <c r="A439" s="17" t="s">
        <v>143</v>
      </c>
      <c r="C439">
        <v>153</v>
      </c>
      <c r="D439">
        <f t="shared" si="14"/>
        <v>167</v>
      </c>
      <c r="G439">
        <v>2489.3314366998602</v>
      </c>
      <c r="H439" s="13">
        <f t="shared" si="15"/>
        <v>0.75960170697012974</v>
      </c>
    </row>
    <row r="440" spans="1:8" x14ac:dyDescent="0.3">
      <c r="A440" s="17" t="s">
        <v>143</v>
      </c>
      <c r="C440">
        <v>154</v>
      </c>
      <c r="D440">
        <f t="shared" si="14"/>
        <v>168</v>
      </c>
      <c r="G440">
        <v>2498.21556031406</v>
      </c>
      <c r="H440" s="13">
        <f t="shared" si="15"/>
        <v>0.76231263383297709</v>
      </c>
    </row>
    <row r="441" spans="1:8" x14ac:dyDescent="0.3">
      <c r="A441" s="17" t="s">
        <v>143</v>
      </c>
      <c r="C441">
        <v>155</v>
      </c>
      <c r="D441">
        <f t="shared" si="14"/>
        <v>169</v>
      </c>
      <c r="G441">
        <v>2505.36864710093</v>
      </c>
      <c r="H441" s="13">
        <f t="shared" si="15"/>
        <v>0.76449534717251344</v>
      </c>
    </row>
    <row r="442" spans="1:8" x14ac:dyDescent="0.3">
      <c r="A442" s="17" t="s">
        <v>143</v>
      </c>
      <c r="C442">
        <v>156</v>
      </c>
      <c r="D442">
        <f t="shared" si="14"/>
        <v>170</v>
      </c>
      <c r="G442">
        <v>2514.3678160919499</v>
      </c>
      <c r="H442" s="13">
        <f t="shared" si="15"/>
        <v>0.76724137931034464</v>
      </c>
    </row>
    <row r="443" spans="1:8" x14ac:dyDescent="0.3">
      <c r="A443" s="17" t="s">
        <v>143</v>
      </c>
      <c r="C443">
        <v>157</v>
      </c>
      <c r="D443">
        <f t="shared" si="14"/>
        <v>171</v>
      </c>
      <c r="G443">
        <v>2523.4318673395801</v>
      </c>
      <c r="H443" s="13">
        <f t="shared" si="15"/>
        <v>0.77000720980533577</v>
      </c>
    </row>
    <row r="444" spans="1:8" x14ac:dyDescent="0.3">
      <c r="A444" s="17" t="s">
        <v>143</v>
      </c>
      <c r="C444">
        <v>158</v>
      </c>
      <c r="D444">
        <f t="shared" si="14"/>
        <v>172</v>
      </c>
      <c r="G444">
        <v>2534.39536567705</v>
      </c>
      <c r="H444" s="13">
        <f t="shared" si="15"/>
        <v>0.77335264301231232</v>
      </c>
    </row>
    <row r="445" spans="1:8" x14ac:dyDescent="0.3">
      <c r="A445" s="17" t="s">
        <v>143</v>
      </c>
      <c r="C445">
        <v>159</v>
      </c>
      <c r="D445">
        <f t="shared" si="14"/>
        <v>173</v>
      </c>
      <c r="G445">
        <v>2543.6046511627901</v>
      </c>
      <c r="H445" s="13">
        <f t="shared" si="15"/>
        <v>0.77616279069767524</v>
      </c>
    </row>
    <row r="446" spans="1:8" x14ac:dyDescent="0.3">
      <c r="A446" s="17" t="s">
        <v>143</v>
      </c>
      <c r="C446">
        <v>160</v>
      </c>
      <c r="D446">
        <f t="shared" si="14"/>
        <v>174</v>
      </c>
      <c r="G446">
        <v>2554.7445255474499</v>
      </c>
      <c r="H446" s="13">
        <f t="shared" si="15"/>
        <v>0.77956204379562288</v>
      </c>
    </row>
    <row r="447" spans="1:8" x14ac:dyDescent="0.3">
      <c r="A447" s="17" t="s">
        <v>143</v>
      </c>
      <c r="C447">
        <v>161</v>
      </c>
      <c r="D447">
        <f t="shared" si="14"/>
        <v>175</v>
      </c>
      <c r="G447">
        <v>2565.9824046920799</v>
      </c>
      <c r="H447" s="13">
        <f t="shared" si="15"/>
        <v>0.78299120234604136</v>
      </c>
    </row>
    <row r="448" spans="1:8" x14ac:dyDescent="0.3">
      <c r="A448" s="17" t="s">
        <v>143</v>
      </c>
      <c r="C448">
        <v>162</v>
      </c>
      <c r="D448">
        <f t="shared" si="14"/>
        <v>176</v>
      </c>
      <c r="G448">
        <v>2575.4231052244299</v>
      </c>
      <c r="H448" s="13">
        <f t="shared" si="15"/>
        <v>0.78587196467991283</v>
      </c>
    </row>
    <row r="449" spans="1:8" x14ac:dyDescent="0.3">
      <c r="A449" s="17" t="s">
        <v>143</v>
      </c>
      <c r="C449">
        <v>163</v>
      </c>
      <c r="D449">
        <f t="shared" si="14"/>
        <v>177</v>
      </c>
      <c r="G449">
        <v>2586.84405025868</v>
      </c>
      <c r="H449" s="13">
        <f t="shared" si="15"/>
        <v>0.78935698447893543</v>
      </c>
    </row>
    <row r="450" spans="1:8" x14ac:dyDescent="0.3">
      <c r="A450" s="17" t="s">
        <v>143</v>
      </c>
      <c r="C450">
        <v>164</v>
      </c>
      <c r="D450">
        <f t="shared" si="14"/>
        <v>178</v>
      </c>
      <c r="G450">
        <v>2596.4391691394699</v>
      </c>
      <c r="H450" s="13">
        <f t="shared" si="15"/>
        <v>0.79228486646884499</v>
      </c>
    </row>
    <row r="451" spans="1:8" x14ac:dyDescent="0.3">
      <c r="A451" s="17" t="s">
        <v>143</v>
      </c>
      <c r="C451">
        <v>165</v>
      </c>
      <c r="D451">
        <f t="shared" si="14"/>
        <v>179</v>
      </c>
      <c r="G451">
        <v>2606.1057334326101</v>
      </c>
      <c r="H451" s="13">
        <f t="shared" si="15"/>
        <v>0.79523454951600892</v>
      </c>
    </row>
    <row r="452" spans="1:8" x14ac:dyDescent="0.3">
      <c r="A452" s="17" t="s">
        <v>143</v>
      </c>
      <c r="C452">
        <v>166</v>
      </c>
      <c r="D452">
        <f t="shared" si="14"/>
        <v>180</v>
      </c>
      <c r="G452">
        <v>2613.8909634055299</v>
      </c>
      <c r="H452" s="13">
        <f t="shared" si="15"/>
        <v>0.79761015683345993</v>
      </c>
    </row>
    <row r="453" spans="1:8" x14ac:dyDescent="0.3">
      <c r="A453" s="17" t="s">
        <v>143</v>
      </c>
      <c r="C453">
        <v>167</v>
      </c>
      <c r="D453">
        <v>0</v>
      </c>
      <c r="H453" s="13"/>
    </row>
    <row r="454" spans="1:8" x14ac:dyDescent="0.3">
      <c r="A454" s="17" t="s">
        <v>143</v>
      </c>
      <c r="C454">
        <v>168</v>
      </c>
      <c r="D454">
        <f>D453+1</f>
        <v>1</v>
      </c>
      <c r="H454" s="13"/>
    </row>
    <row r="455" spans="1:8" x14ac:dyDescent="0.3">
      <c r="A455" s="17" t="s">
        <v>143</v>
      </c>
      <c r="C455">
        <v>169</v>
      </c>
      <c r="D455">
        <f t="shared" ref="D455:D466" si="16">D454+1</f>
        <v>2</v>
      </c>
      <c r="H455" s="13"/>
    </row>
    <row r="456" spans="1:8" x14ac:dyDescent="0.3">
      <c r="A456" s="17" t="s">
        <v>143</v>
      </c>
      <c r="C456">
        <v>170</v>
      </c>
      <c r="D456">
        <f t="shared" si="16"/>
        <v>3</v>
      </c>
      <c r="H456" s="13"/>
    </row>
    <row r="457" spans="1:8" x14ac:dyDescent="0.3">
      <c r="A457" s="17" t="s">
        <v>143</v>
      </c>
      <c r="C457">
        <v>171</v>
      </c>
      <c r="D457">
        <f t="shared" si="16"/>
        <v>4</v>
      </c>
      <c r="H457" s="13"/>
    </row>
    <row r="458" spans="1:8" x14ac:dyDescent="0.3">
      <c r="A458" s="17" t="s">
        <v>143</v>
      </c>
      <c r="C458">
        <v>172</v>
      </c>
      <c r="D458">
        <f t="shared" si="16"/>
        <v>5</v>
      </c>
      <c r="H458" s="13"/>
    </row>
    <row r="459" spans="1:8" x14ac:dyDescent="0.3">
      <c r="A459" s="17" t="s">
        <v>143</v>
      </c>
      <c r="C459">
        <v>173</v>
      </c>
      <c r="D459">
        <f t="shared" si="16"/>
        <v>6</v>
      </c>
      <c r="H459" s="13"/>
    </row>
    <row r="460" spans="1:8" x14ac:dyDescent="0.3">
      <c r="A460" s="17" t="s">
        <v>143</v>
      </c>
      <c r="C460">
        <v>174</v>
      </c>
      <c r="D460">
        <f t="shared" si="16"/>
        <v>7</v>
      </c>
      <c r="H460" s="13"/>
    </row>
    <row r="461" spans="1:8" x14ac:dyDescent="0.3">
      <c r="A461" s="17" t="s">
        <v>143</v>
      </c>
      <c r="C461">
        <v>175</v>
      </c>
      <c r="D461">
        <f t="shared" si="16"/>
        <v>8</v>
      </c>
      <c r="H461" s="13"/>
    </row>
    <row r="462" spans="1:8" x14ac:dyDescent="0.3">
      <c r="A462" s="17" t="s">
        <v>143</v>
      </c>
      <c r="C462">
        <v>176</v>
      </c>
      <c r="D462">
        <f t="shared" si="16"/>
        <v>9</v>
      </c>
      <c r="H462" s="13"/>
    </row>
    <row r="463" spans="1:8" x14ac:dyDescent="0.3">
      <c r="A463" s="17" t="s">
        <v>143</v>
      </c>
      <c r="C463">
        <v>177</v>
      </c>
      <c r="D463">
        <f t="shared" si="16"/>
        <v>10</v>
      </c>
      <c r="H463" s="13"/>
    </row>
    <row r="464" spans="1:8" x14ac:dyDescent="0.3">
      <c r="A464" s="17" t="s">
        <v>143</v>
      </c>
      <c r="C464">
        <v>178</v>
      </c>
      <c r="D464">
        <f t="shared" si="16"/>
        <v>11</v>
      </c>
      <c r="H464" s="13"/>
    </row>
    <row r="465" spans="1:8" x14ac:dyDescent="0.3">
      <c r="A465" s="17" t="s">
        <v>143</v>
      </c>
      <c r="C465">
        <v>179</v>
      </c>
      <c r="D465">
        <f t="shared" si="16"/>
        <v>12</v>
      </c>
      <c r="H465" s="13"/>
    </row>
    <row r="466" spans="1:8" x14ac:dyDescent="0.3">
      <c r="A466" s="17" t="s">
        <v>143</v>
      </c>
      <c r="C466">
        <v>180</v>
      </c>
      <c r="D466">
        <f t="shared" si="16"/>
        <v>13</v>
      </c>
      <c r="H466" s="13"/>
    </row>
    <row r="467" spans="1:8" x14ac:dyDescent="0.3">
      <c r="A467" s="17" t="s">
        <v>142</v>
      </c>
      <c r="C467">
        <v>0</v>
      </c>
      <c r="D467">
        <v>14</v>
      </c>
      <c r="H467" s="13"/>
    </row>
    <row r="468" spans="1:8" x14ac:dyDescent="0.3">
      <c r="A468" s="17" t="s">
        <v>142</v>
      </c>
      <c r="C468">
        <v>1</v>
      </c>
      <c r="D468">
        <v>15</v>
      </c>
      <c r="H468" s="13"/>
    </row>
    <row r="469" spans="1:8" x14ac:dyDescent="0.3">
      <c r="A469" s="17" t="s">
        <v>142</v>
      </c>
      <c r="C469">
        <v>2</v>
      </c>
      <c r="D469">
        <v>16</v>
      </c>
      <c r="H469" s="13"/>
    </row>
    <row r="470" spans="1:8" x14ac:dyDescent="0.3">
      <c r="A470" s="17" t="s">
        <v>142</v>
      </c>
      <c r="C470">
        <v>3</v>
      </c>
      <c r="D470">
        <v>17</v>
      </c>
      <c r="H470" s="13"/>
    </row>
    <row r="471" spans="1:8" x14ac:dyDescent="0.3">
      <c r="A471" s="17" t="s">
        <v>142</v>
      </c>
      <c r="C471">
        <v>4</v>
      </c>
      <c r="D471">
        <v>18</v>
      </c>
      <c r="H471" s="13"/>
    </row>
    <row r="472" spans="1:8" x14ac:dyDescent="0.3">
      <c r="A472" s="17" t="s">
        <v>142</v>
      </c>
      <c r="C472">
        <v>5</v>
      </c>
      <c r="D472">
        <v>19</v>
      </c>
      <c r="H472" s="13"/>
    </row>
    <row r="473" spans="1:8" x14ac:dyDescent="0.3">
      <c r="A473" s="17" t="s">
        <v>142</v>
      </c>
      <c r="C473">
        <v>6</v>
      </c>
      <c r="D473">
        <v>20</v>
      </c>
      <c r="H473" s="13"/>
    </row>
    <row r="474" spans="1:8" x14ac:dyDescent="0.3">
      <c r="A474" s="17" t="s">
        <v>142</v>
      </c>
      <c r="C474">
        <v>7</v>
      </c>
      <c r="D474">
        <v>21</v>
      </c>
      <c r="H474" s="13"/>
    </row>
    <row r="475" spans="1:8" x14ac:dyDescent="0.3">
      <c r="A475" s="17" t="s">
        <v>142</v>
      </c>
      <c r="C475">
        <v>8</v>
      </c>
      <c r="D475">
        <v>22</v>
      </c>
      <c r="H475" s="13"/>
    </row>
    <row r="476" spans="1:8" x14ac:dyDescent="0.3">
      <c r="A476" s="17" t="s">
        <v>142</v>
      </c>
      <c r="C476">
        <v>9</v>
      </c>
      <c r="D476">
        <v>23</v>
      </c>
      <c r="H476" s="13"/>
    </row>
    <row r="477" spans="1:8" x14ac:dyDescent="0.3">
      <c r="A477" s="17" t="s">
        <v>142</v>
      </c>
      <c r="C477">
        <v>10</v>
      </c>
      <c r="D477">
        <v>24</v>
      </c>
      <c r="H477" s="13"/>
    </row>
    <row r="478" spans="1:8" x14ac:dyDescent="0.3">
      <c r="A478" s="17" t="s">
        <v>142</v>
      </c>
      <c r="C478">
        <v>11</v>
      </c>
      <c r="D478">
        <v>25</v>
      </c>
      <c r="H478" s="13"/>
    </row>
    <row r="479" spans="1:8" x14ac:dyDescent="0.3">
      <c r="A479" s="17" t="s">
        <v>142</v>
      </c>
      <c r="C479">
        <v>12</v>
      </c>
      <c r="D479">
        <v>26</v>
      </c>
      <c r="H479" s="13"/>
    </row>
    <row r="480" spans="1:8" x14ac:dyDescent="0.3">
      <c r="A480" s="17" t="s">
        <v>142</v>
      </c>
      <c r="C480">
        <v>13</v>
      </c>
      <c r="D480">
        <v>27</v>
      </c>
      <c r="H480" s="13"/>
    </row>
    <row r="481" spans="1:8" x14ac:dyDescent="0.3">
      <c r="A481" s="17" t="s">
        <v>142</v>
      </c>
      <c r="C481">
        <v>14</v>
      </c>
      <c r="D481">
        <v>28</v>
      </c>
      <c r="H481" s="13"/>
    </row>
    <row r="482" spans="1:8" x14ac:dyDescent="0.3">
      <c r="A482" s="17" t="s">
        <v>142</v>
      </c>
      <c r="C482">
        <v>15</v>
      </c>
      <c r="D482">
        <v>29</v>
      </c>
      <c r="H482" s="13"/>
    </row>
    <row r="483" spans="1:8" x14ac:dyDescent="0.3">
      <c r="A483" s="17" t="s">
        <v>142</v>
      </c>
      <c r="C483">
        <v>16</v>
      </c>
      <c r="D483">
        <v>30</v>
      </c>
      <c r="H483" s="13"/>
    </row>
    <row r="484" spans="1:8" x14ac:dyDescent="0.3">
      <c r="A484" s="17" t="s">
        <v>142</v>
      </c>
      <c r="C484">
        <v>17</v>
      </c>
      <c r="D484">
        <v>31</v>
      </c>
      <c r="H484" s="13"/>
    </row>
    <row r="485" spans="1:8" x14ac:dyDescent="0.3">
      <c r="A485" s="17" t="s">
        <v>142</v>
      </c>
      <c r="C485">
        <v>18</v>
      </c>
      <c r="D485">
        <v>32</v>
      </c>
      <c r="H485" s="13"/>
    </row>
    <row r="486" spans="1:8" x14ac:dyDescent="0.3">
      <c r="A486" s="17" t="s">
        <v>142</v>
      </c>
      <c r="C486">
        <v>19</v>
      </c>
      <c r="D486">
        <v>33</v>
      </c>
      <c r="H486" s="13"/>
    </row>
    <row r="487" spans="1:8" x14ac:dyDescent="0.3">
      <c r="A487" s="17" t="s">
        <v>142</v>
      </c>
      <c r="C487">
        <v>20</v>
      </c>
      <c r="D487">
        <v>34</v>
      </c>
      <c r="H487" s="13"/>
    </row>
    <row r="488" spans="1:8" x14ac:dyDescent="0.3">
      <c r="A488" s="17" t="s">
        <v>142</v>
      </c>
      <c r="C488">
        <v>21</v>
      </c>
      <c r="D488">
        <v>35</v>
      </c>
      <c r="H488" s="13"/>
    </row>
    <row r="489" spans="1:8" x14ac:dyDescent="0.3">
      <c r="A489" s="17" t="s">
        <v>142</v>
      </c>
      <c r="C489">
        <v>22</v>
      </c>
      <c r="D489">
        <v>36</v>
      </c>
      <c r="H489" s="13"/>
    </row>
    <row r="490" spans="1:8" x14ac:dyDescent="0.3">
      <c r="A490" s="17" t="s">
        <v>142</v>
      </c>
      <c r="C490">
        <v>23</v>
      </c>
      <c r="D490">
        <v>37</v>
      </c>
      <c r="H490" s="13"/>
    </row>
    <row r="491" spans="1:8" x14ac:dyDescent="0.3">
      <c r="A491" s="17" t="s">
        <v>142</v>
      </c>
      <c r="C491">
        <v>24</v>
      </c>
      <c r="D491">
        <v>38</v>
      </c>
      <c r="H491" s="13"/>
    </row>
    <row r="492" spans="1:8" x14ac:dyDescent="0.3">
      <c r="A492" s="17" t="s">
        <v>142</v>
      </c>
      <c r="C492">
        <v>25</v>
      </c>
      <c r="D492">
        <v>39</v>
      </c>
      <c r="H492" s="13"/>
    </row>
    <row r="493" spans="1:8" x14ac:dyDescent="0.3">
      <c r="A493" s="17" t="s">
        <v>142</v>
      </c>
      <c r="C493">
        <v>26</v>
      </c>
      <c r="D493">
        <v>40</v>
      </c>
      <c r="H493" s="13"/>
    </row>
    <row r="494" spans="1:8" x14ac:dyDescent="0.3">
      <c r="A494" s="17" t="s">
        <v>142</v>
      </c>
      <c r="C494">
        <v>27</v>
      </c>
      <c r="D494">
        <v>41</v>
      </c>
      <c r="H494" s="13"/>
    </row>
    <row r="495" spans="1:8" x14ac:dyDescent="0.3">
      <c r="A495" s="17" t="s">
        <v>142</v>
      </c>
      <c r="C495">
        <v>28</v>
      </c>
      <c r="D495">
        <v>42</v>
      </c>
      <c r="H495" s="13"/>
    </row>
    <row r="496" spans="1:8" x14ac:dyDescent="0.3">
      <c r="A496" s="17" t="s">
        <v>142</v>
      </c>
      <c r="C496">
        <v>29</v>
      </c>
      <c r="D496">
        <v>43</v>
      </c>
      <c r="H496" s="13"/>
    </row>
    <row r="497" spans="1:8" x14ac:dyDescent="0.3">
      <c r="A497" s="17" t="s">
        <v>142</v>
      </c>
      <c r="C497">
        <v>30</v>
      </c>
      <c r="D497">
        <v>44</v>
      </c>
      <c r="H497" s="13"/>
    </row>
    <row r="498" spans="1:8" x14ac:dyDescent="0.3">
      <c r="A498" s="17" t="s">
        <v>142</v>
      </c>
      <c r="C498">
        <v>31</v>
      </c>
      <c r="D498">
        <v>45</v>
      </c>
      <c r="H498" s="13"/>
    </row>
    <row r="499" spans="1:8" x14ac:dyDescent="0.3">
      <c r="A499" s="17" t="s">
        <v>142</v>
      </c>
      <c r="C499">
        <v>32</v>
      </c>
      <c r="D499">
        <v>46</v>
      </c>
      <c r="H499" s="13"/>
    </row>
    <row r="500" spans="1:8" x14ac:dyDescent="0.3">
      <c r="A500" s="17" t="s">
        <v>142</v>
      </c>
      <c r="C500">
        <v>33</v>
      </c>
      <c r="D500">
        <v>47</v>
      </c>
      <c r="H500" s="13"/>
    </row>
    <row r="501" spans="1:8" x14ac:dyDescent="0.3">
      <c r="A501" s="17" t="s">
        <v>142</v>
      </c>
      <c r="C501">
        <v>34</v>
      </c>
      <c r="D501">
        <v>48</v>
      </c>
      <c r="H501" s="13"/>
    </row>
    <row r="502" spans="1:8" x14ac:dyDescent="0.3">
      <c r="A502" s="17" t="s">
        <v>142</v>
      </c>
      <c r="C502">
        <v>35</v>
      </c>
      <c r="D502">
        <v>49</v>
      </c>
      <c r="H502" s="13"/>
    </row>
    <row r="503" spans="1:8" x14ac:dyDescent="0.3">
      <c r="A503" s="17" t="s">
        <v>142</v>
      </c>
      <c r="C503">
        <v>36</v>
      </c>
      <c r="D503">
        <v>50</v>
      </c>
      <c r="H503" s="13"/>
    </row>
    <row r="504" spans="1:8" x14ac:dyDescent="0.3">
      <c r="A504" s="17" t="s">
        <v>142</v>
      </c>
      <c r="C504">
        <v>37</v>
      </c>
      <c r="D504">
        <v>51</v>
      </c>
      <c r="H504" s="13"/>
    </row>
    <row r="505" spans="1:8" x14ac:dyDescent="0.3">
      <c r="A505" s="17" t="s">
        <v>142</v>
      </c>
      <c r="C505">
        <v>38</v>
      </c>
      <c r="D505">
        <v>52</v>
      </c>
      <c r="H505" s="13"/>
    </row>
    <row r="506" spans="1:8" x14ac:dyDescent="0.3">
      <c r="A506" s="17" t="s">
        <v>142</v>
      </c>
      <c r="C506">
        <v>39</v>
      </c>
      <c r="D506">
        <v>53</v>
      </c>
      <c r="H506" s="13"/>
    </row>
    <row r="507" spans="1:8" x14ac:dyDescent="0.3">
      <c r="A507" s="17" t="s">
        <v>142</v>
      </c>
      <c r="C507">
        <v>40</v>
      </c>
      <c r="D507">
        <v>54</v>
      </c>
      <c r="H507" s="13"/>
    </row>
    <row r="508" spans="1:8" x14ac:dyDescent="0.3">
      <c r="A508" s="17" t="s">
        <v>142</v>
      </c>
      <c r="C508">
        <v>41</v>
      </c>
      <c r="D508">
        <v>55</v>
      </c>
      <c r="H508" s="13"/>
    </row>
    <row r="509" spans="1:8" x14ac:dyDescent="0.3">
      <c r="A509" s="17" t="s">
        <v>142</v>
      </c>
      <c r="C509">
        <v>42</v>
      </c>
      <c r="D509">
        <v>56</v>
      </c>
      <c r="H509" s="13"/>
    </row>
    <row r="510" spans="1:8" x14ac:dyDescent="0.3">
      <c r="A510" s="17" t="s">
        <v>142</v>
      </c>
      <c r="C510">
        <v>43</v>
      </c>
      <c r="D510">
        <v>57</v>
      </c>
      <c r="H510" s="13"/>
    </row>
    <row r="511" spans="1:8" x14ac:dyDescent="0.3">
      <c r="A511" s="17" t="s">
        <v>142</v>
      </c>
      <c r="C511">
        <v>44</v>
      </c>
      <c r="D511">
        <v>58</v>
      </c>
      <c r="H511" s="13"/>
    </row>
    <row r="512" spans="1:8" x14ac:dyDescent="0.3">
      <c r="A512" s="17" t="s">
        <v>142</v>
      </c>
      <c r="C512">
        <v>45</v>
      </c>
      <c r="D512">
        <v>59</v>
      </c>
      <c r="H512" s="13"/>
    </row>
    <row r="513" spans="1:8" x14ac:dyDescent="0.3">
      <c r="A513" s="17" t="s">
        <v>142</v>
      </c>
      <c r="C513">
        <v>46</v>
      </c>
      <c r="D513">
        <v>60</v>
      </c>
      <c r="H513" s="13"/>
    </row>
    <row r="514" spans="1:8" x14ac:dyDescent="0.3">
      <c r="A514" s="17" t="s">
        <v>142</v>
      </c>
      <c r="C514">
        <v>47</v>
      </c>
      <c r="D514">
        <v>61</v>
      </c>
      <c r="H514" s="13"/>
    </row>
    <row r="515" spans="1:8" x14ac:dyDescent="0.3">
      <c r="A515" s="17" t="s">
        <v>142</v>
      </c>
      <c r="C515">
        <v>48</v>
      </c>
      <c r="D515">
        <v>62</v>
      </c>
      <c r="H515" s="13"/>
    </row>
    <row r="516" spans="1:8" x14ac:dyDescent="0.3">
      <c r="A516" s="17" t="s">
        <v>142</v>
      </c>
      <c r="C516">
        <v>49</v>
      </c>
      <c r="D516">
        <v>63</v>
      </c>
      <c r="H516" s="13"/>
    </row>
    <row r="517" spans="1:8" x14ac:dyDescent="0.3">
      <c r="A517" s="17" t="s">
        <v>142</v>
      </c>
      <c r="C517">
        <v>50</v>
      </c>
      <c r="D517">
        <v>64</v>
      </c>
      <c r="H517" s="13"/>
    </row>
    <row r="518" spans="1:8" x14ac:dyDescent="0.3">
      <c r="A518" s="17" t="s">
        <v>142</v>
      </c>
      <c r="C518">
        <v>51</v>
      </c>
      <c r="D518">
        <v>65</v>
      </c>
      <c r="H518" s="13"/>
    </row>
    <row r="519" spans="1:8" x14ac:dyDescent="0.3">
      <c r="A519" s="17" t="s">
        <v>142</v>
      </c>
      <c r="C519">
        <v>52</v>
      </c>
      <c r="D519">
        <v>66</v>
      </c>
      <c r="H519" s="13"/>
    </row>
    <row r="520" spans="1:8" x14ac:dyDescent="0.3">
      <c r="A520" s="17" t="s">
        <v>142</v>
      </c>
      <c r="C520">
        <v>53</v>
      </c>
      <c r="D520">
        <v>67</v>
      </c>
      <c r="H520" s="13"/>
    </row>
    <row r="521" spans="1:8" x14ac:dyDescent="0.3">
      <c r="A521" s="17" t="s">
        <v>142</v>
      </c>
      <c r="C521">
        <v>54</v>
      </c>
      <c r="D521">
        <v>68</v>
      </c>
      <c r="H521" s="13"/>
    </row>
    <row r="522" spans="1:8" x14ac:dyDescent="0.3">
      <c r="A522" s="17" t="s">
        <v>142</v>
      </c>
      <c r="C522">
        <v>55</v>
      </c>
      <c r="D522">
        <v>69</v>
      </c>
      <c r="H522" s="13"/>
    </row>
    <row r="523" spans="1:8" x14ac:dyDescent="0.3">
      <c r="A523" s="17" t="s">
        <v>142</v>
      </c>
      <c r="C523">
        <v>56</v>
      </c>
      <c r="D523">
        <v>70</v>
      </c>
      <c r="H523" s="13"/>
    </row>
    <row r="524" spans="1:8" x14ac:dyDescent="0.3">
      <c r="A524" s="17" t="s">
        <v>142</v>
      </c>
      <c r="C524">
        <v>57</v>
      </c>
      <c r="D524">
        <v>71</v>
      </c>
      <c r="H524" s="13"/>
    </row>
    <row r="525" spans="1:8" x14ac:dyDescent="0.3">
      <c r="A525" s="17" t="s">
        <v>142</v>
      </c>
      <c r="C525">
        <v>58</v>
      </c>
      <c r="D525">
        <v>72</v>
      </c>
      <c r="H525" s="13"/>
    </row>
    <row r="526" spans="1:8" x14ac:dyDescent="0.3">
      <c r="A526" s="17" t="s">
        <v>142</v>
      </c>
      <c r="C526">
        <v>59</v>
      </c>
      <c r="D526">
        <v>73</v>
      </c>
      <c r="H526" s="13"/>
    </row>
    <row r="527" spans="1:8" x14ac:dyDescent="0.3">
      <c r="A527" s="17" t="s">
        <v>142</v>
      </c>
      <c r="C527">
        <v>60</v>
      </c>
      <c r="D527">
        <v>74</v>
      </c>
      <c r="H527" s="13"/>
    </row>
    <row r="528" spans="1:8" x14ac:dyDescent="0.3">
      <c r="A528" s="17" t="s">
        <v>142</v>
      </c>
      <c r="C528">
        <v>61</v>
      </c>
      <c r="D528">
        <v>75</v>
      </c>
      <c r="H528" s="13"/>
    </row>
    <row r="529" spans="1:8" x14ac:dyDescent="0.3">
      <c r="A529" s="17" t="s">
        <v>142</v>
      </c>
      <c r="C529">
        <v>62</v>
      </c>
      <c r="D529">
        <v>76</v>
      </c>
      <c r="H529" s="13"/>
    </row>
    <row r="530" spans="1:8" x14ac:dyDescent="0.3">
      <c r="A530" s="17" t="s">
        <v>142</v>
      </c>
      <c r="C530">
        <v>63</v>
      </c>
      <c r="D530">
        <v>77</v>
      </c>
      <c r="H530" s="13"/>
    </row>
    <row r="531" spans="1:8" x14ac:dyDescent="0.3">
      <c r="A531" s="17" t="s">
        <v>142</v>
      </c>
      <c r="C531">
        <v>64</v>
      </c>
      <c r="D531">
        <v>78</v>
      </c>
      <c r="H531" s="13"/>
    </row>
    <row r="532" spans="1:8" x14ac:dyDescent="0.3">
      <c r="A532" s="17" t="s">
        <v>142</v>
      </c>
      <c r="C532">
        <v>65</v>
      </c>
      <c r="D532">
        <v>79</v>
      </c>
      <c r="H532" s="13"/>
    </row>
    <row r="533" spans="1:8" x14ac:dyDescent="0.3">
      <c r="A533" s="17" t="s">
        <v>142</v>
      </c>
      <c r="C533">
        <v>66</v>
      </c>
      <c r="D533">
        <v>80</v>
      </c>
      <c r="H533" s="13"/>
    </row>
    <row r="534" spans="1:8" x14ac:dyDescent="0.3">
      <c r="A534" s="17" t="s">
        <v>142</v>
      </c>
      <c r="C534">
        <v>67</v>
      </c>
      <c r="D534">
        <v>81</v>
      </c>
      <c r="H534" s="13"/>
    </row>
    <row r="535" spans="1:8" x14ac:dyDescent="0.3">
      <c r="A535" s="17" t="s">
        <v>142</v>
      </c>
      <c r="C535">
        <v>68</v>
      </c>
      <c r="D535">
        <v>82</v>
      </c>
      <c r="H535" s="13"/>
    </row>
    <row r="536" spans="1:8" x14ac:dyDescent="0.3">
      <c r="A536" s="17" t="s">
        <v>142</v>
      </c>
      <c r="C536">
        <v>69</v>
      </c>
      <c r="D536">
        <v>83</v>
      </c>
      <c r="H536" s="13"/>
    </row>
    <row r="537" spans="1:8" x14ac:dyDescent="0.3">
      <c r="A537" s="17" t="s">
        <v>142</v>
      </c>
      <c r="C537">
        <v>70</v>
      </c>
      <c r="D537">
        <v>84</v>
      </c>
      <c r="G537">
        <v>3012.0481927710798</v>
      </c>
      <c r="H537" s="13">
        <f t="shared" ref="H537:H561" si="17">G537/MAX($G$286:$G$1009)</f>
        <v>0.91910499139414792</v>
      </c>
    </row>
    <row r="538" spans="1:8" x14ac:dyDescent="0.3">
      <c r="A538" s="17" t="s">
        <v>142</v>
      </c>
      <c r="C538">
        <v>71</v>
      </c>
      <c r="D538">
        <v>85</v>
      </c>
      <c r="G538">
        <v>3025.0648228176301</v>
      </c>
      <c r="H538" s="13">
        <f t="shared" si="17"/>
        <v>0.92307692307692379</v>
      </c>
    </row>
    <row r="539" spans="1:8" x14ac:dyDescent="0.3">
      <c r="A539" s="17" t="s">
        <v>142</v>
      </c>
      <c r="C539">
        <v>72</v>
      </c>
      <c r="D539">
        <v>86</v>
      </c>
      <c r="G539">
        <v>3038.1944444444398</v>
      </c>
      <c r="H539" s="13">
        <f t="shared" si="17"/>
        <v>0.92708333333333315</v>
      </c>
    </row>
    <row r="540" spans="1:8" x14ac:dyDescent="0.3">
      <c r="A540" s="17" t="s">
        <v>142</v>
      </c>
      <c r="C540">
        <v>73</v>
      </c>
      <c r="D540">
        <v>87</v>
      </c>
      <c r="G540">
        <v>3048.7804878048801</v>
      </c>
      <c r="H540" s="13">
        <f t="shared" si="17"/>
        <v>0.93031358885017612</v>
      </c>
    </row>
    <row r="541" spans="1:8" x14ac:dyDescent="0.3">
      <c r="A541" s="17" t="s">
        <v>142</v>
      </c>
      <c r="C541">
        <v>74</v>
      </c>
      <c r="D541">
        <v>88</v>
      </c>
      <c r="G541">
        <v>3062.11723534558</v>
      </c>
      <c r="H541" s="13">
        <f t="shared" si="17"/>
        <v>0.93438320209973824</v>
      </c>
    </row>
    <row r="542" spans="1:8" x14ac:dyDescent="0.3">
      <c r="A542" s="17" t="s">
        <v>142</v>
      </c>
      <c r="C542">
        <v>75</v>
      </c>
      <c r="D542">
        <v>89</v>
      </c>
      <c r="G542">
        <v>3075.5711775043901</v>
      </c>
      <c r="H542" s="13">
        <f t="shared" si="17"/>
        <v>0.93848857644991235</v>
      </c>
    </row>
    <row r="543" spans="1:8" x14ac:dyDescent="0.3">
      <c r="A543" s="17" t="s">
        <v>142</v>
      </c>
      <c r="C543">
        <v>76</v>
      </c>
      <c r="D543">
        <v>90</v>
      </c>
      <c r="G543">
        <v>3089.1438658428901</v>
      </c>
      <c r="H543" s="13">
        <f t="shared" si="17"/>
        <v>0.94263018534863174</v>
      </c>
    </row>
    <row r="544" spans="1:8" x14ac:dyDescent="0.3">
      <c r="A544" s="17" t="s">
        <v>142</v>
      </c>
      <c r="C544">
        <v>77</v>
      </c>
      <c r="D544">
        <v>91</v>
      </c>
      <c r="G544">
        <v>3102.8368794326202</v>
      </c>
      <c r="H544" s="13">
        <f t="shared" si="17"/>
        <v>0.94680851063829796</v>
      </c>
    </row>
    <row r="545" spans="1:8" x14ac:dyDescent="0.3">
      <c r="A545" s="17" t="s">
        <v>142</v>
      </c>
      <c r="C545">
        <v>78</v>
      </c>
      <c r="D545">
        <v>92</v>
      </c>
      <c r="G545">
        <v>3116.6518254675002</v>
      </c>
      <c r="H545" s="13">
        <f t="shared" si="17"/>
        <v>0.95102404274265562</v>
      </c>
    </row>
    <row r="546" spans="1:8" x14ac:dyDescent="0.3">
      <c r="A546" s="17" t="s">
        <v>142</v>
      </c>
      <c r="C546">
        <v>79</v>
      </c>
      <c r="D546">
        <v>93</v>
      </c>
      <c r="G546">
        <v>3130.5903398926698</v>
      </c>
      <c r="H546" s="13">
        <f t="shared" si="17"/>
        <v>0.9552772808586788</v>
      </c>
    </row>
    <row r="547" spans="1:8" x14ac:dyDescent="0.3">
      <c r="A547" s="17" t="s">
        <v>142</v>
      </c>
      <c r="C547">
        <v>80</v>
      </c>
      <c r="D547">
        <v>94</v>
      </c>
      <c r="G547">
        <v>3144.6540880503098</v>
      </c>
      <c r="H547" s="13">
        <f t="shared" si="17"/>
        <v>0.95956873315363866</v>
      </c>
    </row>
    <row r="548" spans="1:8" x14ac:dyDescent="0.3">
      <c r="A548" s="17" t="s">
        <v>142</v>
      </c>
      <c r="C548">
        <v>81</v>
      </c>
      <c r="D548">
        <v>95</v>
      </c>
      <c r="G548">
        <v>3158.8447653429598</v>
      </c>
      <c r="H548" s="13">
        <f t="shared" si="17"/>
        <v>0.96389891696751018</v>
      </c>
    </row>
    <row r="549" spans="1:8" x14ac:dyDescent="0.3">
      <c r="A549" s="17" t="s">
        <v>142</v>
      </c>
      <c r="C549">
        <v>82</v>
      </c>
      <c r="D549">
        <v>96</v>
      </c>
      <c r="G549">
        <v>3173.1640979147801</v>
      </c>
      <c r="H549" s="13">
        <f t="shared" si="17"/>
        <v>0.96826835902085417</v>
      </c>
    </row>
    <row r="550" spans="1:8" x14ac:dyDescent="0.3">
      <c r="A550" s="17" t="s">
        <v>142</v>
      </c>
      <c r="C550">
        <v>83</v>
      </c>
      <c r="D550">
        <v>97</v>
      </c>
      <c r="G550">
        <v>3184.7133757961801</v>
      </c>
      <c r="H550" s="13">
        <f t="shared" si="17"/>
        <v>0.97179253867152138</v>
      </c>
    </row>
    <row r="551" spans="1:8" x14ac:dyDescent="0.3">
      <c r="A551" s="17" t="s">
        <v>142</v>
      </c>
      <c r="C551">
        <v>84</v>
      </c>
      <c r="D551">
        <v>98</v>
      </c>
      <c r="G551">
        <v>3199.2687385740401</v>
      </c>
      <c r="H551" s="13">
        <f t="shared" si="17"/>
        <v>0.97623400365630841</v>
      </c>
    </row>
    <row r="552" spans="1:8" x14ac:dyDescent="0.3">
      <c r="A552" s="17" t="s">
        <v>142</v>
      </c>
      <c r="C552">
        <v>85</v>
      </c>
      <c r="D552">
        <v>99</v>
      </c>
      <c r="G552">
        <v>3211.0091743119301</v>
      </c>
      <c r="H552" s="13">
        <f t="shared" si="17"/>
        <v>0.97981651376147028</v>
      </c>
    </row>
    <row r="553" spans="1:8" x14ac:dyDescent="0.3">
      <c r="A553" s="17" t="s">
        <v>142</v>
      </c>
      <c r="C553">
        <v>86</v>
      </c>
      <c r="D553">
        <v>100</v>
      </c>
      <c r="G553">
        <v>3222.8360957642699</v>
      </c>
      <c r="H553" s="13">
        <f t="shared" si="17"/>
        <v>0.98342541436464137</v>
      </c>
    </row>
    <row r="554" spans="1:8" x14ac:dyDescent="0.3">
      <c r="A554" s="17" t="s">
        <v>142</v>
      </c>
      <c r="C554">
        <v>87</v>
      </c>
      <c r="D554">
        <v>101</v>
      </c>
      <c r="G554">
        <v>3234.7504621072098</v>
      </c>
      <c r="H554" s="13">
        <f t="shared" si="17"/>
        <v>0.98706099815157278</v>
      </c>
    </row>
    <row r="555" spans="1:8" x14ac:dyDescent="0.3">
      <c r="A555" s="17" t="s">
        <v>142</v>
      </c>
      <c r="C555">
        <v>88</v>
      </c>
      <c r="D555">
        <v>102</v>
      </c>
      <c r="G555">
        <v>3243.74420759963</v>
      </c>
      <c r="H555" s="13">
        <f t="shared" si="17"/>
        <v>0.98980537534754554</v>
      </c>
    </row>
    <row r="556" spans="1:8" x14ac:dyDescent="0.3">
      <c r="A556" s="17" t="s">
        <v>142</v>
      </c>
      <c r="C556">
        <v>89</v>
      </c>
      <c r="D556">
        <v>103</v>
      </c>
      <c r="G556">
        <v>3252.7881040892198</v>
      </c>
      <c r="H556" s="13">
        <f t="shared" si="17"/>
        <v>0.99256505576208331</v>
      </c>
    </row>
    <row r="557" spans="1:8" x14ac:dyDescent="0.3">
      <c r="A557" s="17" t="s">
        <v>142</v>
      </c>
      <c r="C557">
        <v>90</v>
      </c>
      <c r="D557">
        <v>104</v>
      </c>
      <c r="G557">
        <v>3258.84543761639</v>
      </c>
      <c r="H557" s="13">
        <f t="shared" si="17"/>
        <v>0.99441340782123122</v>
      </c>
    </row>
    <row r="558" spans="1:8" x14ac:dyDescent="0.3">
      <c r="A558" s="17" t="s">
        <v>142</v>
      </c>
      <c r="C558">
        <v>91</v>
      </c>
      <c r="D558">
        <v>105</v>
      </c>
      <c r="G558">
        <v>3264.9253731343301</v>
      </c>
      <c r="H558" s="13">
        <f t="shared" si="17"/>
        <v>0.99626865671641973</v>
      </c>
    </row>
    <row r="559" spans="1:8" x14ac:dyDescent="0.3">
      <c r="A559" s="17" t="s">
        <v>142</v>
      </c>
      <c r="C559">
        <v>92</v>
      </c>
      <c r="D559">
        <v>106</v>
      </c>
      <c r="G559">
        <v>3271.0280373831802</v>
      </c>
      <c r="H559" s="13">
        <f t="shared" si="17"/>
        <v>0.99813084112149741</v>
      </c>
    </row>
    <row r="560" spans="1:8" x14ac:dyDescent="0.3">
      <c r="A560" s="17" t="s">
        <v>142</v>
      </c>
      <c r="C560">
        <v>93</v>
      </c>
      <c r="D560">
        <v>107</v>
      </c>
      <c r="G560">
        <v>3274.08793264733</v>
      </c>
      <c r="H560" s="13">
        <f t="shared" si="17"/>
        <v>0.999064546304958</v>
      </c>
    </row>
    <row r="561" spans="1:8" x14ac:dyDescent="0.3">
      <c r="A561" s="17" t="s">
        <v>142</v>
      </c>
      <c r="C561">
        <v>94</v>
      </c>
      <c r="D561">
        <v>108</v>
      </c>
      <c r="G561">
        <v>3277.1535580524301</v>
      </c>
      <c r="H561" s="13">
        <f t="shared" si="17"/>
        <v>1</v>
      </c>
    </row>
    <row r="562" spans="1:8" x14ac:dyDescent="0.3">
      <c r="A562" s="17" t="s">
        <v>142</v>
      </c>
      <c r="C562">
        <v>95</v>
      </c>
      <c r="D562">
        <v>109</v>
      </c>
      <c r="H562" s="13"/>
    </row>
    <row r="563" spans="1:8" x14ac:dyDescent="0.3">
      <c r="A563" s="17" t="s">
        <v>142</v>
      </c>
      <c r="C563">
        <v>96</v>
      </c>
      <c r="D563">
        <v>110</v>
      </c>
      <c r="H563" s="13"/>
    </row>
    <row r="564" spans="1:8" x14ac:dyDescent="0.3">
      <c r="A564" s="17" t="s">
        <v>142</v>
      </c>
      <c r="C564">
        <v>97</v>
      </c>
      <c r="D564">
        <v>111</v>
      </c>
      <c r="H564" s="13"/>
    </row>
    <row r="565" spans="1:8" x14ac:dyDescent="0.3">
      <c r="A565" s="17" t="s">
        <v>142</v>
      </c>
      <c r="C565">
        <v>98</v>
      </c>
      <c r="D565">
        <v>112</v>
      </c>
      <c r="H565" s="13"/>
    </row>
    <row r="566" spans="1:8" x14ac:dyDescent="0.3">
      <c r="A566" s="17" t="s">
        <v>142</v>
      </c>
      <c r="C566">
        <v>99</v>
      </c>
      <c r="D566">
        <v>113</v>
      </c>
      <c r="H566" s="13"/>
    </row>
    <row r="567" spans="1:8" x14ac:dyDescent="0.3">
      <c r="A567" s="17" t="s">
        <v>142</v>
      </c>
      <c r="C567">
        <v>100</v>
      </c>
      <c r="D567">
        <v>114</v>
      </c>
      <c r="H567" s="13"/>
    </row>
    <row r="568" spans="1:8" x14ac:dyDescent="0.3">
      <c r="A568" s="17" t="s">
        <v>142</v>
      </c>
      <c r="C568">
        <v>101</v>
      </c>
      <c r="D568">
        <v>115</v>
      </c>
      <c r="H568" s="13"/>
    </row>
    <row r="569" spans="1:8" x14ac:dyDescent="0.3">
      <c r="A569" s="17" t="s">
        <v>142</v>
      </c>
      <c r="C569">
        <v>102</v>
      </c>
      <c r="D569">
        <v>116</v>
      </c>
      <c r="H569" s="13"/>
    </row>
    <row r="570" spans="1:8" x14ac:dyDescent="0.3">
      <c r="A570" s="17" t="s">
        <v>142</v>
      </c>
      <c r="C570">
        <v>103</v>
      </c>
      <c r="D570">
        <v>117</v>
      </c>
      <c r="H570" s="13"/>
    </row>
    <row r="571" spans="1:8" x14ac:dyDescent="0.3">
      <c r="A571" s="17" t="s">
        <v>142</v>
      </c>
      <c r="C571">
        <v>104</v>
      </c>
      <c r="D571">
        <v>118</v>
      </c>
      <c r="H571" s="13"/>
    </row>
    <row r="572" spans="1:8" x14ac:dyDescent="0.3">
      <c r="A572" s="17" t="s">
        <v>142</v>
      </c>
      <c r="C572">
        <v>105</v>
      </c>
      <c r="D572">
        <v>119</v>
      </c>
      <c r="H572" s="13"/>
    </row>
    <row r="573" spans="1:8" x14ac:dyDescent="0.3">
      <c r="A573" s="17" t="s">
        <v>142</v>
      </c>
      <c r="C573">
        <v>106</v>
      </c>
      <c r="D573">
        <v>120</v>
      </c>
      <c r="H573" s="13"/>
    </row>
    <row r="574" spans="1:8" x14ac:dyDescent="0.3">
      <c r="A574" s="17" t="s">
        <v>142</v>
      </c>
      <c r="C574">
        <v>107</v>
      </c>
      <c r="D574">
        <v>121</v>
      </c>
      <c r="H574" s="13"/>
    </row>
    <row r="575" spans="1:8" x14ac:dyDescent="0.3">
      <c r="A575" s="17" t="s">
        <v>142</v>
      </c>
      <c r="C575">
        <v>108</v>
      </c>
      <c r="D575">
        <v>122</v>
      </c>
      <c r="H575" s="13"/>
    </row>
    <row r="576" spans="1:8" x14ac:dyDescent="0.3">
      <c r="A576" s="17" t="s">
        <v>142</v>
      </c>
      <c r="C576">
        <v>109</v>
      </c>
      <c r="D576">
        <v>123</v>
      </c>
      <c r="H576" s="13"/>
    </row>
    <row r="577" spans="1:8" x14ac:dyDescent="0.3">
      <c r="A577" s="17" t="s">
        <v>142</v>
      </c>
      <c r="C577">
        <v>110</v>
      </c>
      <c r="D577">
        <v>124</v>
      </c>
      <c r="H577" s="13"/>
    </row>
    <row r="578" spans="1:8" x14ac:dyDescent="0.3">
      <c r="A578" s="17" t="s">
        <v>142</v>
      </c>
      <c r="C578">
        <v>111</v>
      </c>
      <c r="D578">
        <v>125</v>
      </c>
      <c r="H578" s="13"/>
    </row>
    <row r="579" spans="1:8" x14ac:dyDescent="0.3">
      <c r="A579" s="17" t="s">
        <v>142</v>
      </c>
      <c r="C579">
        <v>112</v>
      </c>
      <c r="D579">
        <v>126</v>
      </c>
      <c r="H579" s="13"/>
    </row>
    <row r="580" spans="1:8" x14ac:dyDescent="0.3">
      <c r="A580" s="17" t="s">
        <v>142</v>
      </c>
      <c r="C580">
        <v>113</v>
      </c>
      <c r="D580">
        <v>127</v>
      </c>
      <c r="H580" s="13"/>
    </row>
    <row r="581" spans="1:8" x14ac:dyDescent="0.3">
      <c r="A581" s="17" t="s">
        <v>142</v>
      </c>
      <c r="C581">
        <v>114</v>
      </c>
      <c r="D581">
        <v>128</v>
      </c>
      <c r="H581" s="13"/>
    </row>
    <row r="582" spans="1:8" x14ac:dyDescent="0.3">
      <c r="A582" s="17" t="s">
        <v>142</v>
      </c>
      <c r="C582">
        <v>115</v>
      </c>
      <c r="D582">
        <v>129</v>
      </c>
      <c r="H582" s="13"/>
    </row>
    <row r="583" spans="1:8" x14ac:dyDescent="0.3">
      <c r="A583" s="17" t="s">
        <v>142</v>
      </c>
      <c r="C583">
        <v>116</v>
      </c>
      <c r="D583">
        <v>130</v>
      </c>
      <c r="H583" s="13"/>
    </row>
    <row r="584" spans="1:8" x14ac:dyDescent="0.3">
      <c r="A584" s="17" t="s">
        <v>142</v>
      </c>
      <c r="C584">
        <v>117</v>
      </c>
      <c r="D584">
        <v>131</v>
      </c>
      <c r="H584" s="13"/>
    </row>
    <row r="585" spans="1:8" x14ac:dyDescent="0.3">
      <c r="A585" s="17" t="s">
        <v>142</v>
      </c>
      <c r="C585">
        <v>118</v>
      </c>
      <c r="D585">
        <v>132</v>
      </c>
      <c r="H585" s="13"/>
    </row>
    <row r="586" spans="1:8" x14ac:dyDescent="0.3">
      <c r="A586" s="17" t="s">
        <v>142</v>
      </c>
      <c r="C586">
        <v>119</v>
      </c>
      <c r="D586">
        <v>133</v>
      </c>
      <c r="H586" s="13"/>
    </row>
    <row r="587" spans="1:8" x14ac:dyDescent="0.3">
      <c r="A587" s="17" t="s">
        <v>142</v>
      </c>
      <c r="C587">
        <v>120</v>
      </c>
      <c r="D587">
        <v>134</v>
      </c>
      <c r="H587" s="13"/>
    </row>
    <row r="588" spans="1:8" x14ac:dyDescent="0.3">
      <c r="A588" s="17" t="s">
        <v>142</v>
      </c>
      <c r="C588">
        <v>121</v>
      </c>
      <c r="D588">
        <v>135</v>
      </c>
      <c r="H588" s="13"/>
    </row>
    <row r="589" spans="1:8" x14ac:dyDescent="0.3">
      <c r="A589" s="17" t="s">
        <v>142</v>
      </c>
      <c r="C589">
        <v>122</v>
      </c>
      <c r="D589">
        <v>136</v>
      </c>
      <c r="H589" s="13"/>
    </row>
    <row r="590" spans="1:8" x14ac:dyDescent="0.3">
      <c r="A590" s="17" t="s">
        <v>142</v>
      </c>
      <c r="C590">
        <v>123</v>
      </c>
      <c r="D590">
        <v>137</v>
      </c>
      <c r="H590" s="13"/>
    </row>
    <row r="591" spans="1:8" x14ac:dyDescent="0.3">
      <c r="A591" s="17" t="s">
        <v>142</v>
      </c>
      <c r="C591">
        <v>124</v>
      </c>
      <c r="D591">
        <v>138</v>
      </c>
      <c r="H591" s="13"/>
    </row>
    <row r="592" spans="1:8" x14ac:dyDescent="0.3">
      <c r="A592" s="17" t="s">
        <v>142</v>
      </c>
      <c r="C592">
        <v>125</v>
      </c>
      <c r="D592">
        <v>139</v>
      </c>
      <c r="H592" s="13"/>
    </row>
    <row r="593" spans="1:8" x14ac:dyDescent="0.3">
      <c r="A593" s="17" t="s">
        <v>142</v>
      </c>
      <c r="C593">
        <v>126</v>
      </c>
      <c r="D593">
        <v>140</v>
      </c>
      <c r="H593" s="13"/>
    </row>
    <row r="594" spans="1:8" x14ac:dyDescent="0.3">
      <c r="A594" s="17" t="s">
        <v>142</v>
      </c>
      <c r="C594">
        <v>127</v>
      </c>
      <c r="D594">
        <v>141</v>
      </c>
      <c r="H594" s="13"/>
    </row>
    <row r="595" spans="1:8" x14ac:dyDescent="0.3">
      <c r="A595" s="17" t="s">
        <v>142</v>
      </c>
      <c r="C595">
        <v>128</v>
      </c>
      <c r="D595">
        <v>142</v>
      </c>
      <c r="H595" s="13"/>
    </row>
    <row r="596" spans="1:8" x14ac:dyDescent="0.3">
      <c r="A596" s="17" t="s">
        <v>142</v>
      </c>
      <c r="C596">
        <v>129</v>
      </c>
      <c r="D596">
        <v>143</v>
      </c>
      <c r="H596" s="13"/>
    </row>
    <row r="597" spans="1:8" x14ac:dyDescent="0.3">
      <c r="A597" s="17" t="s">
        <v>142</v>
      </c>
      <c r="C597">
        <v>130</v>
      </c>
      <c r="D597">
        <v>144</v>
      </c>
      <c r="H597" s="13"/>
    </row>
    <row r="598" spans="1:8" x14ac:dyDescent="0.3">
      <c r="A598" s="17" t="s">
        <v>142</v>
      </c>
      <c r="C598">
        <v>131</v>
      </c>
      <c r="D598">
        <v>145</v>
      </c>
      <c r="H598" s="13"/>
    </row>
    <row r="599" spans="1:8" x14ac:dyDescent="0.3">
      <c r="A599" s="17" t="s">
        <v>142</v>
      </c>
      <c r="C599">
        <v>132</v>
      </c>
      <c r="D599">
        <v>146</v>
      </c>
      <c r="H599" s="13"/>
    </row>
    <row r="600" spans="1:8" x14ac:dyDescent="0.3">
      <c r="A600" s="17" t="s">
        <v>142</v>
      </c>
      <c r="C600">
        <v>133</v>
      </c>
      <c r="D600">
        <v>147</v>
      </c>
      <c r="H600" s="13"/>
    </row>
    <row r="601" spans="1:8" x14ac:dyDescent="0.3">
      <c r="A601" s="17" t="s">
        <v>142</v>
      </c>
      <c r="C601">
        <v>134</v>
      </c>
      <c r="D601">
        <v>148</v>
      </c>
      <c r="H601" s="13"/>
    </row>
    <row r="602" spans="1:8" x14ac:dyDescent="0.3">
      <c r="A602" s="17" t="s">
        <v>142</v>
      </c>
      <c r="C602">
        <v>135</v>
      </c>
      <c r="D602">
        <v>149</v>
      </c>
      <c r="H602" s="13"/>
    </row>
    <row r="603" spans="1:8" x14ac:dyDescent="0.3">
      <c r="A603" s="17" t="s">
        <v>142</v>
      </c>
      <c r="C603">
        <v>136</v>
      </c>
      <c r="D603">
        <v>150</v>
      </c>
      <c r="H603" s="13"/>
    </row>
    <row r="604" spans="1:8" x14ac:dyDescent="0.3">
      <c r="A604" s="17" t="s">
        <v>142</v>
      </c>
      <c r="C604">
        <v>137</v>
      </c>
      <c r="D604">
        <v>151</v>
      </c>
      <c r="H604" s="13"/>
    </row>
    <row r="605" spans="1:8" x14ac:dyDescent="0.3">
      <c r="A605" s="17" t="s">
        <v>142</v>
      </c>
      <c r="C605">
        <v>138</v>
      </c>
      <c r="D605">
        <v>152</v>
      </c>
      <c r="H605" s="13"/>
    </row>
    <row r="606" spans="1:8" x14ac:dyDescent="0.3">
      <c r="A606" s="17" t="s">
        <v>142</v>
      </c>
      <c r="C606">
        <v>139</v>
      </c>
      <c r="D606">
        <v>153</v>
      </c>
      <c r="H606" s="13"/>
    </row>
    <row r="607" spans="1:8" x14ac:dyDescent="0.3">
      <c r="A607" s="17" t="s">
        <v>142</v>
      </c>
      <c r="C607">
        <v>140</v>
      </c>
      <c r="D607">
        <v>154</v>
      </c>
      <c r="H607" s="13"/>
    </row>
    <row r="608" spans="1:8" x14ac:dyDescent="0.3">
      <c r="A608" s="17" t="s">
        <v>142</v>
      </c>
      <c r="C608">
        <v>141</v>
      </c>
      <c r="D608">
        <v>155</v>
      </c>
      <c r="H608" s="13"/>
    </row>
    <row r="609" spans="1:8" x14ac:dyDescent="0.3">
      <c r="A609" s="17" t="s">
        <v>142</v>
      </c>
      <c r="C609">
        <v>142</v>
      </c>
      <c r="D609">
        <v>156</v>
      </c>
      <c r="H609" s="13"/>
    </row>
    <row r="610" spans="1:8" x14ac:dyDescent="0.3">
      <c r="A610" s="17" t="s">
        <v>142</v>
      </c>
      <c r="C610">
        <v>143</v>
      </c>
      <c r="D610">
        <v>157</v>
      </c>
      <c r="H610" s="13"/>
    </row>
    <row r="611" spans="1:8" x14ac:dyDescent="0.3">
      <c r="A611" s="17" t="s">
        <v>142</v>
      </c>
      <c r="C611">
        <v>144</v>
      </c>
      <c r="D611">
        <v>158</v>
      </c>
      <c r="H611" s="13"/>
    </row>
    <row r="612" spans="1:8" x14ac:dyDescent="0.3">
      <c r="A612" s="17" t="s">
        <v>142</v>
      </c>
      <c r="C612">
        <v>145</v>
      </c>
      <c r="D612">
        <v>159</v>
      </c>
      <c r="H612" s="13"/>
    </row>
    <row r="613" spans="1:8" x14ac:dyDescent="0.3">
      <c r="A613" s="17" t="s">
        <v>142</v>
      </c>
      <c r="C613">
        <v>146</v>
      </c>
      <c r="D613">
        <v>160</v>
      </c>
      <c r="H613" s="13"/>
    </row>
    <row r="614" spans="1:8" x14ac:dyDescent="0.3">
      <c r="A614" s="17" t="s">
        <v>142</v>
      </c>
      <c r="C614">
        <v>147</v>
      </c>
      <c r="D614">
        <v>161</v>
      </c>
      <c r="H614" s="13"/>
    </row>
    <row r="615" spans="1:8" x14ac:dyDescent="0.3">
      <c r="A615" s="17" t="s">
        <v>142</v>
      </c>
      <c r="C615">
        <v>148</v>
      </c>
      <c r="D615">
        <v>162</v>
      </c>
      <c r="H615" s="13"/>
    </row>
    <row r="616" spans="1:8" x14ac:dyDescent="0.3">
      <c r="A616" s="17" t="s">
        <v>142</v>
      </c>
      <c r="C616">
        <v>149</v>
      </c>
      <c r="D616">
        <v>163</v>
      </c>
      <c r="H616" s="13"/>
    </row>
    <row r="617" spans="1:8" x14ac:dyDescent="0.3">
      <c r="A617" s="17" t="s">
        <v>142</v>
      </c>
      <c r="C617">
        <v>150</v>
      </c>
      <c r="D617">
        <v>164</v>
      </c>
      <c r="H617" s="13"/>
    </row>
    <row r="618" spans="1:8" x14ac:dyDescent="0.3">
      <c r="A618" s="17" t="s">
        <v>142</v>
      </c>
      <c r="C618">
        <v>151</v>
      </c>
      <c r="D618">
        <v>165</v>
      </c>
      <c r="H618" s="13"/>
    </row>
    <row r="619" spans="1:8" x14ac:dyDescent="0.3">
      <c r="A619" s="17" t="s">
        <v>142</v>
      </c>
      <c r="C619">
        <v>152</v>
      </c>
      <c r="D619">
        <v>166</v>
      </c>
      <c r="H619" s="13"/>
    </row>
    <row r="620" spans="1:8" x14ac:dyDescent="0.3">
      <c r="A620" s="17" t="s">
        <v>142</v>
      </c>
      <c r="C620">
        <v>153</v>
      </c>
      <c r="D620">
        <v>167</v>
      </c>
      <c r="H620" s="13"/>
    </row>
    <row r="621" spans="1:8" x14ac:dyDescent="0.3">
      <c r="A621" s="17" t="s">
        <v>142</v>
      </c>
      <c r="C621">
        <v>154</v>
      </c>
      <c r="D621">
        <v>168</v>
      </c>
      <c r="H621" s="13"/>
    </row>
    <row r="622" spans="1:8" x14ac:dyDescent="0.3">
      <c r="A622" s="17" t="s">
        <v>142</v>
      </c>
      <c r="C622">
        <v>155</v>
      </c>
      <c r="D622">
        <v>169</v>
      </c>
      <c r="H622" s="13"/>
    </row>
    <row r="623" spans="1:8" x14ac:dyDescent="0.3">
      <c r="A623" s="17" t="s">
        <v>142</v>
      </c>
      <c r="C623">
        <v>156</v>
      </c>
      <c r="D623">
        <v>170</v>
      </c>
      <c r="H623" s="13"/>
    </row>
    <row r="624" spans="1:8" x14ac:dyDescent="0.3">
      <c r="A624" s="17" t="s">
        <v>142</v>
      </c>
      <c r="C624">
        <v>157</v>
      </c>
      <c r="D624">
        <v>171</v>
      </c>
      <c r="H624" s="13"/>
    </row>
    <row r="625" spans="1:8" x14ac:dyDescent="0.3">
      <c r="A625" s="17" t="s">
        <v>142</v>
      </c>
      <c r="C625">
        <v>158</v>
      </c>
      <c r="D625">
        <v>172</v>
      </c>
      <c r="H625" s="13"/>
    </row>
    <row r="626" spans="1:8" x14ac:dyDescent="0.3">
      <c r="A626" s="17" t="s">
        <v>142</v>
      </c>
      <c r="C626">
        <v>159</v>
      </c>
      <c r="D626">
        <v>173</v>
      </c>
      <c r="H626" s="13"/>
    </row>
    <row r="627" spans="1:8" x14ac:dyDescent="0.3">
      <c r="A627" s="17" t="s">
        <v>142</v>
      </c>
      <c r="C627">
        <v>160</v>
      </c>
      <c r="D627">
        <v>174</v>
      </c>
      <c r="H627" s="13"/>
    </row>
    <row r="628" spans="1:8" x14ac:dyDescent="0.3">
      <c r="A628" s="17" t="s">
        <v>142</v>
      </c>
      <c r="C628">
        <v>161</v>
      </c>
      <c r="D628">
        <v>175</v>
      </c>
      <c r="H628" s="13"/>
    </row>
    <row r="629" spans="1:8" x14ac:dyDescent="0.3">
      <c r="A629" s="17" t="s">
        <v>142</v>
      </c>
      <c r="C629">
        <v>162</v>
      </c>
      <c r="D629">
        <v>176</v>
      </c>
      <c r="H629" s="13"/>
    </row>
    <row r="630" spans="1:8" x14ac:dyDescent="0.3">
      <c r="A630" s="17" t="s">
        <v>142</v>
      </c>
      <c r="C630">
        <v>163</v>
      </c>
      <c r="D630">
        <v>177</v>
      </c>
      <c r="H630" s="13"/>
    </row>
    <row r="631" spans="1:8" x14ac:dyDescent="0.3">
      <c r="A631" s="17" t="s">
        <v>142</v>
      </c>
      <c r="C631">
        <v>164</v>
      </c>
      <c r="D631">
        <v>178</v>
      </c>
      <c r="H631" s="13"/>
    </row>
    <row r="632" spans="1:8" x14ac:dyDescent="0.3">
      <c r="A632" s="17" t="s">
        <v>142</v>
      </c>
      <c r="C632">
        <v>165</v>
      </c>
      <c r="D632">
        <v>179</v>
      </c>
      <c r="H632" s="13"/>
    </row>
    <row r="633" spans="1:8" x14ac:dyDescent="0.3">
      <c r="A633" s="17" t="s">
        <v>142</v>
      </c>
      <c r="C633">
        <v>166</v>
      </c>
      <c r="D633">
        <v>180</v>
      </c>
      <c r="H633" s="13"/>
    </row>
    <row r="634" spans="1:8" x14ac:dyDescent="0.3">
      <c r="A634" s="17" t="s">
        <v>142</v>
      </c>
      <c r="C634">
        <v>167</v>
      </c>
      <c r="D634">
        <v>0</v>
      </c>
      <c r="H634" s="13"/>
    </row>
    <row r="635" spans="1:8" x14ac:dyDescent="0.3">
      <c r="A635" s="17" t="s">
        <v>142</v>
      </c>
      <c r="C635">
        <v>168</v>
      </c>
      <c r="D635">
        <v>1</v>
      </c>
      <c r="H635" s="13"/>
    </row>
    <row r="636" spans="1:8" x14ac:dyDescent="0.3">
      <c r="A636" s="17" t="s">
        <v>142</v>
      </c>
      <c r="C636">
        <v>169</v>
      </c>
      <c r="D636">
        <v>2</v>
      </c>
      <c r="H636" s="13"/>
    </row>
    <row r="637" spans="1:8" x14ac:dyDescent="0.3">
      <c r="A637" s="17" t="s">
        <v>142</v>
      </c>
      <c r="C637">
        <v>170</v>
      </c>
      <c r="D637">
        <v>3</v>
      </c>
      <c r="H637" s="13"/>
    </row>
    <row r="638" spans="1:8" x14ac:dyDescent="0.3">
      <c r="A638" s="17" t="s">
        <v>142</v>
      </c>
      <c r="C638">
        <v>171</v>
      </c>
      <c r="D638">
        <v>4</v>
      </c>
      <c r="H638" s="13"/>
    </row>
    <row r="639" spans="1:8" x14ac:dyDescent="0.3">
      <c r="A639" s="17" t="s">
        <v>142</v>
      </c>
      <c r="C639">
        <v>172</v>
      </c>
      <c r="D639">
        <v>5</v>
      </c>
      <c r="H639" s="13"/>
    </row>
    <row r="640" spans="1:8" x14ac:dyDescent="0.3">
      <c r="A640" s="17" t="s">
        <v>142</v>
      </c>
      <c r="C640">
        <v>173</v>
      </c>
      <c r="D640">
        <v>6</v>
      </c>
      <c r="H640" s="13"/>
    </row>
    <row r="641" spans="1:8" x14ac:dyDescent="0.3">
      <c r="A641" s="17" t="s">
        <v>142</v>
      </c>
      <c r="C641">
        <v>174</v>
      </c>
      <c r="D641">
        <v>7</v>
      </c>
      <c r="H641" s="13"/>
    </row>
    <row r="642" spans="1:8" x14ac:dyDescent="0.3">
      <c r="A642" s="17" t="s">
        <v>142</v>
      </c>
      <c r="C642">
        <v>175</v>
      </c>
      <c r="D642">
        <v>8</v>
      </c>
      <c r="H642" s="13"/>
    </row>
    <row r="643" spans="1:8" x14ac:dyDescent="0.3">
      <c r="A643" s="17" t="s">
        <v>142</v>
      </c>
      <c r="C643">
        <v>176</v>
      </c>
      <c r="D643">
        <v>9</v>
      </c>
      <c r="H643" s="13"/>
    </row>
    <row r="644" spans="1:8" x14ac:dyDescent="0.3">
      <c r="A644" s="17" t="s">
        <v>142</v>
      </c>
      <c r="C644">
        <v>177</v>
      </c>
      <c r="D644">
        <v>10</v>
      </c>
      <c r="H644" s="13"/>
    </row>
    <row r="645" spans="1:8" x14ac:dyDescent="0.3">
      <c r="A645" s="17" t="s">
        <v>142</v>
      </c>
      <c r="C645">
        <v>178</v>
      </c>
      <c r="D645">
        <v>11</v>
      </c>
      <c r="H645" s="13"/>
    </row>
    <row r="646" spans="1:8" x14ac:dyDescent="0.3">
      <c r="A646" s="17" t="s">
        <v>142</v>
      </c>
      <c r="C646">
        <v>179</v>
      </c>
      <c r="D646">
        <v>12</v>
      </c>
      <c r="H646" s="13"/>
    </row>
    <row r="647" spans="1:8" x14ac:dyDescent="0.3">
      <c r="A647" s="17" t="s">
        <v>142</v>
      </c>
      <c r="C647">
        <v>180</v>
      </c>
      <c r="D647">
        <v>13</v>
      </c>
      <c r="H647" s="13"/>
    </row>
    <row r="648" spans="1:8" x14ac:dyDescent="0.3">
      <c r="A648" s="17" t="s">
        <v>144</v>
      </c>
      <c r="C648">
        <v>0</v>
      </c>
      <c r="D648">
        <v>14</v>
      </c>
      <c r="G648">
        <v>2482.2695035461002</v>
      </c>
      <c r="H648" s="13">
        <f t="shared" ref="H648:H711" si="18">G648/MAX($G$286:$G$1009)</f>
        <v>0.75744680851063961</v>
      </c>
    </row>
    <row r="649" spans="1:8" x14ac:dyDescent="0.3">
      <c r="A649" s="17" t="s">
        <v>144</v>
      </c>
      <c r="C649">
        <v>1</v>
      </c>
      <c r="D649">
        <v>15</v>
      </c>
      <c r="G649">
        <v>2471.7514124293798</v>
      </c>
      <c r="H649" s="13">
        <f t="shared" si="18"/>
        <v>0.75423728813559465</v>
      </c>
    </row>
    <row r="650" spans="1:8" x14ac:dyDescent="0.3">
      <c r="A650" s="17" t="s">
        <v>144</v>
      </c>
      <c r="C650">
        <v>2</v>
      </c>
      <c r="D650">
        <v>16</v>
      </c>
      <c r="G650">
        <v>2459.5924104005599</v>
      </c>
      <c r="H650" s="13">
        <f t="shared" si="18"/>
        <v>0.75052705551651466</v>
      </c>
    </row>
    <row r="651" spans="1:8" x14ac:dyDescent="0.3">
      <c r="A651" s="17" t="s">
        <v>144</v>
      </c>
      <c r="C651">
        <v>3</v>
      </c>
      <c r="D651">
        <v>17</v>
      </c>
      <c r="G651">
        <v>2449.2652204338701</v>
      </c>
      <c r="H651" s="13">
        <f t="shared" si="18"/>
        <v>0.74737578726382192</v>
      </c>
    </row>
    <row r="652" spans="1:8" x14ac:dyDescent="0.3">
      <c r="A652" s="17" t="s">
        <v>144</v>
      </c>
      <c r="C652">
        <v>4</v>
      </c>
      <c r="D652">
        <v>18</v>
      </c>
      <c r="G652">
        <v>2439.0243902439001</v>
      </c>
      <c r="H652" s="13">
        <f t="shared" si="18"/>
        <v>0.74425087108013965</v>
      </c>
    </row>
    <row r="653" spans="1:8" x14ac:dyDescent="0.3">
      <c r="A653" s="17" t="s">
        <v>144</v>
      </c>
      <c r="C653">
        <v>5</v>
      </c>
      <c r="D653">
        <v>19</v>
      </c>
      <c r="G653">
        <v>2427.1844660194201</v>
      </c>
      <c r="H653" s="13">
        <f t="shared" si="18"/>
        <v>0.74063800277392688</v>
      </c>
    </row>
    <row r="654" spans="1:8" x14ac:dyDescent="0.3">
      <c r="A654" s="17" t="s">
        <v>144</v>
      </c>
      <c r="C654">
        <v>6</v>
      </c>
      <c r="D654">
        <v>20</v>
      </c>
      <c r="G654">
        <v>2417.1270718231999</v>
      </c>
      <c r="H654" s="13">
        <f t="shared" si="18"/>
        <v>0.73756906077348028</v>
      </c>
    </row>
    <row r="655" spans="1:8" x14ac:dyDescent="0.3">
      <c r="A655" s="17" t="s">
        <v>144</v>
      </c>
      <c r="C655">
        <v>7</v>
      </c>
      <c r="D655">
        <v>21</v>
      </c>
      <c r="G655">
        <v>2407.1526822558499</v>
      </c>
      <c r="H655" s="13">
        <f t="shared" si="18"/>
        <v>0.73452544704264322</v>
      </c>
    </row>
    <row r="656" spans="1:8" x14ac:dyDescent="0.3">
      <c r="A656" s="17" t="s">
        <v>144</v>
      </c>
      <c r="C656">
        <v>8</v>
      </c>
      <c r="D656">
        <v>22</v>
      </c>
      <c r="G656">
        <v>2397.2602739725999</v>
      </c>
      <c r="H656" s="13">
        <f t="shared" si="18"/>
        <v>0.7315068493150686</v>
      </c>
    </row>
    <row r="657" spans="1:8" x14ac:dyDescent="0.3">
      <c r="A657" s="17" t="s">
        <v>144</v>
      </c>
      <c r="C657">
        <v>9</v>
      </c>
      <c r="D657">
        <v>23</v>
      </c>
      <c r="G657">
        <v>2387.4488403819901</v>
      </c>
      <c r="H657" s="13">
        <f t="shared" si="18"/>
        <v>0.72851296043656255</v>
      </c>
    </row>
    <row r="658" spans="1:8" x14ac:dyDescent="0.3">
      <c r="A658" s="17" t="s">
        <v>144</v>
      </c>
      <c r="C658">
        <v>10</v>
      </c>
      <c r="D658">
        <v>24</v>
      </c>
      <c r="G658">
        <v>2379.3337865397698</v>
      </c>
      <c r="H658" s="13">
        <f t="shared" si="18"/>
        <v>0.72603670972127932</v>
      </c>
    </row>
    <row r="659" spans="1:8" x14ac:dyDescent="0.3">
      <c r="A659" s="17" t="s">
        <v>144</v>
      </c>
      <c r="C659">
        <v>11</v>
      </c>
      <c r="D659">
        <v>25</v>
      </c>
      <c r="G659">
        <v>2371.2737127371302</v>
      </c>
      <c r="H659" s="13">
        <f t="shared" si="18"/>
        <v>0.72357723577235955</v>
      </c>
    </row>
    <row r="660" spans="1:8" x14ac:dyDescent="0.3">
      <c r="A660" s="17" t="s">
        <v>144</v>
      </c>
      <c r="C660">
        <v>12</v>
      </c>
      <c r="D660">
        <v>26</v>
      </c>
      <c r="G660">
        <v>2363.2680621201898</v>
      </c>
      <c r="H660" s="13">
        <f t="shared" si="18"/>
        <v>0.72113436866981884</v>
      </c>
    </row>
    <row r="661" spans="1:8" x14ac:dyDescent="0.3">
      <c r="A661" s="17" t="s">
        <v>144</v>
      </c>
      <c r="C661">
        <v>13</v>
      </c>
      <c r="D661">
        <v>27</v>
      </c>
      <c r="G661">
        <v>2356.9023569023602</v>
      </c>
      <c r="H661" s="13">
        <f t="shared" si="18"/>
        <v>0.71919191919192116</v>
      </c>
    </row>
    <row r="662" spans="1:8" x14ac:dyDescent="0.3">
      <c r="A662" s="17" t="s">
        <v>144</v>
      </c>
      <c r="C662">
        <v>14</v>
      </c>
      <c r="D662">
        <v>28</v>
      </c>
      <c r="G662">
        <v>2350.5708529214198</v>
      </c>
      <c r="H662" s="13">
        <f t="shared" si="18"/>
        <v>0.7172599059771656</v>
      </c>
    </row>
    <row r="663" spans="1:8" x14ac:dyDescent="0.3">
      <c r="A663" s="17" t="s">
        <v>144</v>
      </c>
      <c r="C663">
        <v>15</v>
      </c>
      <c r="D663">
        <v>29</v>
      </c>
      <c r="G663">
        <v>2345.8445040214501</v>
      </c>
      <c r="H663" s="13">
        <f t="shared" si="18"/>
        <v>0.71581769436997489</v>
      </c>
    </row>
    <row r="664" spans="1:8" x14ac:dyDescent="0.3">
      <c r="A664" s="17" t="s">
        <v>144</v>
      </c>
      <c r="C664">
        <v>16</v>
      </c>
      <c r="D664">
        <v>30</v>
      </c>
      <c r="G664">
        <v>2341.1371237458202</v>
      </c>
      <c r="H664" s="13">
        <f t="shared" si="18"/>
        <v>0.71438127090301118</v>
      </c>
    </row>
    <row r="665" spans="1:8" x14ac:dyDescent="0.3">
      <c r="A665" s="17" t="s">
        <v>144</v>
      </c>
      <c r="C665">
        <v>17</v>
      </c>
      <c r="D665">
        <v>31</v>
      </c>
      <c r="G665">
        <v>2336.4485981308399</v>
      </c>
      <c r="H665" s="13">
        <f t="shared" si="18"/>
        <v>0.71295060080106865</v>
      </c>
    </row>
    <row r="666" spans="1:8" x14ac:dyDescent="0.3">
      <c r="A666" s="17" t="s">
        <v>144</v>
      </c>
      <c r="C666">
        <v>18</v>
      </c>
      <c r="D666">
        <v>32</v>
      </c>
      <c r="G666">
        <v>2333.3333333333298</v>
      </c>
      <c r="H666" s="13">
        <f t="shared" si="18"/>
        <v>0.71199999999999986</v>
      </c>
    </row>
    <row r="667" spans="1:8" x14ac:dyDescent="0.3">
      <c r="A667" s="17" t="s">
        <v>144</v>
      </c>
      <c r="C667">
        <v>19</v>
      </c>
      <c r="D667">
        <v>33</v>
      </c>
      <c r="G667">
        <v>2330.2263648468702</v>
      </c>
      <c r="H667" s="13">
        <f t="shared" si="18"/>
        <v>0.71105193075898876</v>
      </c>
    </row>
    <row r="668" spans="1:8" x14ac:dyDescent="0.3">
      <c r="A668" s="17" t="s">
        <v>144</v>
      </c>
      <c r="C668">
        <v>20</v>
      </c>
      <c r="D668">
        <v>34</v>
      </c>
      <c r="G668">
        <v>2328.6759813705899</v>
      </c>
      <c r="H668" s="13">
        <f t="shared" si="18"/>
        <v>0.7105788423153695</v>
      </c>
    </row>
    <row r="669" spans="1:8" x14ac:dyDescent="0.3">
      <c r="A669" s="17" t="s">
        <v>144</v>
      </c>
      <c r="C669">
        <v>21</v>
      </c>
      <c r="D669">
        <v>35</v>
      </c>
      <c r="G669">
        <v>2327.1276595744698</v>
      </c>
      <c r="H669" s="13">
        <f t="shared" si="18"/>
        <v>0.71010638297872486</v>
      </c>
    </row>
    <row r="670" spans="1:8" x14ac:dyDescent="0.3">
      <c r="A670" s="17" t="s">
        <v>144</v>
      </c>
      <c r="C670">
        <v>22</v>
      </c>
      <c r="D670">
        <v>36</v>
      </c>
      <c r="G670">
        <v>2327.1276595744698</v>
      </c>
      <c r="H670" s="13">
        <f t="shared" si="18"/>
        <v>0.71010638297872486</v>
      </c>
    </row>
    <row r="671" spans="1:8" x14ac:dyDescent="0.3">
      <c r="A671" s="17" t="s">
        <v>144</v>
      </c>
      <c r="C671">
        <v>23</v>
      </c>
      <c r="D671">
        <v>37</v>
      </c>
      <c r="G671">
        <v>2327.1276595744698</v>
      </c>
      <c r="H671" s="13">
        <f t="shared" si="18"/>
        <v>0.71010638297872486</v>
      </c>
    </row>
    <row r="672" spans="1:8" x14ac:dyDescent="0.3">
      <c r="A672" s="17" t="s">
        <v>144</v>
      </c>
      <c r="C672">
        <v>24</v>
      </c>
      <c r="D672">
        <v>38</v>
      </c>
      <c r="G672">
        <v>2328.6759813705899</v>
      </c>
      <c r="H672" s="13">
        <f t="shared" si="18"/>
        <v>0.7105788423153695</v>
      </c>
    </row>
    <row r="673" spans="1:8" x14ac:dyDescent="0.3">
      <c r="A673" s="17" t="s">
        <v>144</v>
      </c>
      <c r="C673">
        <v>25</v>
      </c>
      <c r="D673">
        <v>39</v>
      </c>
      <c r="G673">
        <v>2330.2263648468702</v>
      </c>
      <c r="H673" s="13">
        <f t="shared" si="18"/>
        <v>0.71105193075898876</v>
      </c>
    </row>
    <row r="674" spans="1:8" x14ac:dyDescent="0.3">
      <c r="A674" s="17" t="s">
        <v>144</v>
      </c>
      <c r="C674">
        <v>26</v>
      </c>
      <c r="D674">
        <v>40</v>
      </c>
      <c r="G674">
        <v>2333.3333333333298</v>
      </c>
      <c r="H674" s="13">
        <f t="shared" si="18"/>
        <v>0.71199999999999986</v>
      </c>
    </row>
    <row r="675" spans="1:8" x14ac:dyDescent="0.3">
      <c r="A675" s="17" t="s">
        <v>144</v>
      </c>
      <c r="C675">
        <v>27</v>
      </c>
      <c r="D675">
        <v>41</v>
      </c>
      <c r="G675">
        <v>2336.4485981308399</v>
      </c>
      <c r="H675" s="13">
        <f t="shared" si="18"/>
        <v>0.71295060080106865</v>
      </c>
    </row>
    <row r="676" spans="1:8" x14ac:dyDescent="0.3">
      <c r="A676" s="17" t="s">
        <v>144</v>
      </c>
      <c r="C676">
        <v>28</v>
      </c>
      <c r="D676">
        <v>42</v>
      </c>
      <c r="G676">
        <v>2341.1371237458202</v>
      </c>
      <c r="H676" s="13">
        <f t="shared" si="18"/>
        <v>0.71438127090301118</v>
      </c>
    </row>
    <row r="677" spans="1:8" x14ac:dyDescent="0.3">
      <c r="A677" s="17" t="s">
        <v>144</v>
      </c>
      <c r="C677">
        <v>29</v>
      </c>
      <c r="D677">
        <v>43</v>
      </c>
      <c r="G677">
        <v>2345.8445040214501</v>
      </c>
      <c r="H677" s="13">
        <f t="shared" si="18"/>
        <v>0.71581769436997489</v>
      </c>
    </row>
    <row r="678" spans="1:8" x14ac:dyDescent="0.3">
      <c r="A678" s="17" t="s">
        <v>144</v>
      </c>
      <c r="C678">
        <v>30</v>
      </c>
      <c r="D678">
        <v>44</v>
      </c>
      <c r="G678">
        <v>2352.1505376344098</v>
      </c>
      <c r="H678" s="13">
        <f t="shared" si="18"/>
        <v>0.71774193548387233</v>
      </c>
    </row>
    <row r="679" spans="1:8" x14ac:dyDescent="0.3">
      <c r="A679" s="17" t="s">
        <v>144</v>
      </c>
      <c r="C679">
        <v>31</v>
      </c>
      <c r="D679">
        <v>45</v>
      </c>
      <c r="G679">
        <v>2358.4905660377399</v>
      </c>
      <c r="H679" s="13">
        <f t="shared" si="18"/>
        <v>0.71967654986523133</v>
      </c>
    </row>
    <row r="680" spans="1:8" x14ac:dyDescent="0.3">
      <c r="A680" s="17" t="s">
        <v>144</v>
      </c>
      <c r="C680">
        <v>32</v>
      </c>
      <c r="D680">
        <v>46</v>
      </c>
      <c r="G680">
        <v>2364.86486486487</v>
      </c>
      <c r="H680" s="13">
        <f t="shared" si="18"/>
        <v>0.72162162162162413</v>
      </c>
    </row>
    <row r="681" spans="1:8" x14ac:dyDescent="0.3">
      <c r="A681" s="17" t="s">
        <v>144</v>
      </c>
      <c r="C681">
        <v>33</v>
      </c>
      <c r="D681">
        <v>47</v>
      </c>
      <c r="G681">
        <v>2372.8813559322002</v>
      </c>
      <c r="H681" s="13">
        <f t="shared" si="18"/>
        <v>0.72406779661016951</v>
      </c>
    </row>
    <row r="682" spans="1:8" x14ac:dyDescent="0.3">
      <c r="A682" s="17" t="s">
        <v>144</v>
      </c>
      <c r="C682">
        <v>34</v>
      </c>
      <c r="D682">
        <v>48</v>
      </c>
      <c r="G682">
        <v>2380.9523809523798</v>
      </c>
      <c r="H682" s="13">
        <f t="shared" si="18"/>
        <v>0.72653061224489857</v>
      </c>
    </row>
    <row r="683" spans="1:8" x14ac:dyDescent="0.3">
      <c r="A683" s="17" t="s">
        <v>144</v>
      </c>
      <c r="C683">
        <v>35</v>
      </c>
      <c r="D683">
        <v>49</v>
      </c>
      <c r="G683">
        <v>2389.0784982935202</v>
      </c>
      <c r="H683" s="13">
        <f t="shared" si="18"/>
        <v>0.72901023890785233</v>
      </c>
    </row>
    <row r="684" spans="1:8" x14ac:dyDescent="0.3">
      <c r="A684" s="17" t="s">
        <v>144</v>
      </c>
      <c r="C684">
        <v>36</v>
      </c>
      <c r="D684">
        <v>50</v>
      </c>
      <c r="G684">
        <v>2398.9033584647</v>
      </c>
      <c r="H684" s="13">
        <f t="shared" si="18"/>
        <v>0.73200822481151517</v>
      </c>
    </row>
    <row r="685" spans="1:8" x14ac:dyDescent="0.3">
      <c r="A685" s="17" t="s">
        <v>144</v>
      </c>
      <c r="C685">
        <v>37</v>
      </c>
      <c r="D685">
        <v>51</v>
      </c>
      <c r="G685">
        <v>2408.8093599449398</v>
      </c>
      <c r="H685" s="13">
        <f t="shared" si="18"/>
        <v>0.73503097040605692</v>
      </c>
    </row>
    <row r="686" spans="1:8" x14ac:dyDescent="0.3">
      <c r="A686" s="17" t="s">
        <v>144</v>
      </c>
      <c r="C686">
        <v>38</v>
      </c>
      <c r="D686">
        <v>52</v>
      </c>
      <c r="G686">
        <v>2418.79751209399</v>
      </c>
      <c r="H686" s="13">
        <f t="shared" si="18"/>
        <v>0.7380787836903957</v>
      </c>
    </row>
    <row r="687" spans="1:8" x14ac:dyDescent="0.3">
      <c r="A687" s="17" t="s">
        <v>144</v>
      </c>
      <c r="C687">
        <v>39</v>
      </c>
      <c r="D687">
        <v>53</v>
      </c>
      <c r="G687">
        <v>2428.8688410825798</v>
      </c>
      <c r="H687" s="13">
        <f t="shared" si="18"/>
        <v>0.74115197779319963</v>
      </c>
    </row>
    <row r="688" spans="1:8" x14ac:dyDescent="0.3">
      <c r="A688" s="17" t="s">
        <v>144</v>
      </c>
      <c r="C688">
        <v>40</v>
      </c>
      <c r="D688">
        <v>54</v>
      </c>
      <c r="G688">
        <v>2439.0243902439001</v>
      </c>
      <c r="H688" s="13">
        <f t="shared" si="18"/>
        <v>0.74425087108013965</v>
      </c>
    </row>
    <row r="689" spans="1:8" x14ac:dyDescent="0.3">
      <c r="A689" s="17" t="s">
        <v>144</v>
      </c>
      <c r="C689">
        <v>41</v>
      </c>
      <c r="D689">
        <v>55</v>
      </c>
      <c r="G689">
        <v>2450.98039215686</v>
      </c>
      <c r="H689" s="13">
        <f t="shared" si="18"/>
        <v>0.74789915966386566</v>
      </c>
    </row>
    <row r="690" spans="1:8" x14ac:dyDescent="0.3">
      <c r="A690" s="17" t="s">
        <v>144</v>
      </c>
      <c r="C690">
        <v>42</v>
      </c>
      <c r="D690">
        <v>56</v>
      </c>
      <c r="G690">
        <v>2461.3220815752502</v>
      </c>
      <c r="H690" s="13">
        <f t="shared" si="18"/>
        <v>0.75105485232067737</v>
      </c>
    </row>
    <row r="691" spans="1:8" x14ac:dyDescent="0.3">
      <c r="A691" s="17" t="s">
        <v>144</v>
      </c>
      <c r="C691">
        <v>43</v>
      </c>
      <c r="D691">
        <v>57</v>
      </c>
      <c r="G691">
        <v>2473.49823321555</v>
      </c>
      <c r="H691" s="13">
        <f t="shared" si="18"/>
        <v>0.75477031802120309</v>
      </c>
    </row>
    <row r="692" spans="1:8" x14ac:dyDescent="0.3">
      <c r="A692" s="17" t="s">
        <v>144</v>
      </c>
      <c r="C692">
        <v>44</v>
      </c>
      <c r="D692">
        <v>58</v>
      </c>
      <c r="G692">
        <v>2484.03122782115</v>
      </c>
      <c r="H692" s="13">
        <f t="shared" si="18"/>
        <v>0.7579843860894262</v>
      </c>
    </row>
    <row r="693" spans="1:8" x14ac:dyDescent="0.3">
      <c r="A693" s="17" t="s">
        <v>144</v>
      </c>
      <c r="C693">
        <v>45</v>
      </c>
      <c r="D693">
        <v>59</v>
      </c>
      <c r="G693">
        <v>2494.65431218817</v>
      </c>
      <c r="H693" s="13">
        <f t="shared" si="18"/>
        <v>0.76122594440484836</v>
      </c>
    </row>
    <row r="694" spans="1:8" x14ac:dyDescent="0.3">
      <c r="A694" s="17" t="s">
        <v>144</v>
      </c>
      <c r="C694">
        <v>46</v>
      </c>
      <c r="D694">
        <v>60</v>
      </c>
      <c r="G694">
        <v>2505.36864710093</v>
      </c>
      <c r="H694" s="13">
        <f t="shared" si="18"/>
        <v>0.76449534717251344</v>
      </c>
    </row>
    <row r="695" spans="1:8" x14ac:dyDescent="0.3">
      <c r="A695" s="17" t="s">
        <v>144</v>
      </c>
      <c r="C695">
        <v>47</v>
      </c>
      <c r="D695">
        <v>61</v>
      </c>
      <c r="G695">
        <v>2516.17541337168</v>
      </c>
      <c r="H695" s="13">
        <f t="shared" si="18"/>
        <v>0.76779295470884512</v>
      </c>
    </row>
    <row r="696" spans="1:8" x14ac:dyDescent="0.3">
      <c r="A696" s="17" t="s">
        <v>144</v>
      </c>
      <c r="C696">
        <v>48</v>
      </c>
      <c r="D696">
        <v>62</v>
      </c>
      <c r="G696">
        <v>2525.2525252525202</v>
      </c>
      <c r="H696" s="13">
        <f t="shared" si="18"/>
        <v>0.77056277056277001</v>
      </c>
    </row>
    <row r="697" spans="1:8" x14ac:dyDescent="0.3">
      <c r="A697" s="17" t="s">
        <v>144</v>
      </c>
      <c r="C697">
        <v>49</v>
      </c>
      <c r="D697">
        <v>63</v>
      </c>
      <c r="G697">
        <v>2534.39536567705</v>
      </c>
      <c r="H697" s="13">
        <f t="shared" si="18"/>
        <v>0.77335264301231232</v>
      </c>
    </row>
    <row r="698" spans="1:8" x14ac:dyDescent="0.3">
      <c r="A698" s="17" t="s">
        <v>144</v>
      </c>
      <c r="C698">
        <v>50</v>
      </c>
      <c r="D698">
        <v>64</v>
      </c>
      <c r="G698">
        <v>2541.7574437182302</v>
      </c>
      <c r="H698" s="13">
        <f t="shared" si="18"/>
        <v>0.77559912854030666</v>
      </c>
    </row>
    <row r="699" spans="1:8" x14ac:dyDescent="0.3">
      <c r="A699" s="17" t="s">
        <v>144</v>
      </c>
      <c r="C699">
        <v>51</v>
      </c>
      <c r="D699">
        <v>65</v>
      </c>
      <c r="G699">
        <v>2549.16241806264</v>
      </c>
      <c r="H699" s="13">
        <f t="shared" si="18"/>
        <v>0.77785870356882947</v>
      </c>
    </row>
    <row r="700" spans="1:8" x14ac:dyDescent="0.3">
      <c r="A700" s="17" t="s">
        <v>144</v>
      </c>
      <c r="C700">
        <v>52</v>
      </c>
      <c r="D700">
        <v>66</v>
      </c>
      <c r="G700">
        <v>2552.8811086798</v>
      </c>
      <c r="H700" s="13">
        <f t="shared" si="18"/>
        <v>0.77899343544858002</v>
      </c>
    </row>
    <row r="701" spans="1:8" x14ac:dyDescent="0.3">
      <c r="A701" s="17" t="s">
        <v>144</v>
      </c>
      <c r="C701">
        <v>53</v>
      </c>
      <c r="D701">
        <v>67</v>
      </c>
      <c r="G701">
        <v>2556.6106647187698</v>
      </c>
      <c r="H701" s="13">
        <f t="shared" si="18"/>
        <v>0.78013148283418565</v>
      </c>
    </row>
    <row r="702" spans="1:8" x14ac:dyDescent="0.3">
      <c r="A702" s="17" t="s">
        <v>144</v>
      </c>
      <c r="C702">
        <v>54</v>
      </c>
      <c r="D702">
        <v>68</v>
      </c>
      <c r="G702">
        <v>2558.4795321637398</v>
      </c>
      <c r="H702" s="13">
        <f t="shared" si="18"/>
        <v>0.78070175438596512</v>
      </c>
    </row>
    <row r="703" spans="1:8" x14ac:dyDescent="0.3">
      <c r="A703" s="17" t="s">
        <v>144</v>
      </c>
      <c r="C703">
        <v>55</v>
      </c>
      <c r="D703">
        <v>69</v>
      </c>
      <c r="G703">
        <v>2558.4795321637398</v>
      </c>
      <c r="H703" s="13">
        <f t="shared" si="18"/>
        <v>0.78070175438596512</v>
      </c>
    </row>
    <row r="704" spans="1:8" x14ac:dyDescent="0.3">
      <c r="A704" s="17" t="s">
        <v>144</v>
      </c>
      <c r="C704">
        <v>56</v>
      </c>
      <c r="D704">
        <v>70</v>
      </c>
      <c r="G704">
        <v>2556.6106647187698</v>
      </c>
      <c r="H704" s="13">
        <f t="shared" si="18"/>
        <v>0.78013148283418565</v>
      </c>
    </row>
    <row r="705" spans="1:8" x14ac:dyDescent="0.3">
      <c r="A705" s="17" t="s">
        <v>144</v>
      </c>
      <c r="C705">
        <v>57</v>
      </c>
      <c r="D705">
        <v>71</v>
      </c>
      <c r="G705">
        <v>2551.0204081632701</v>
      </c>
      <c r="H705" s="13">
        <f t="shared" si="18"/>
        <v>0.7784256559766789</v>
      </c>
    </row>
    <row r="706" spans="1:8" x14ac:dyDescent="0.3">
      <c r="A706" s="17" t="s">
        <v>144</v>
      </c>
      <c r="C706">
        <v>58</v>
      </c>
      <c r="D706">
        <v>72</v>
      </c>
      <c r="G706">
        <v>2543.6046511627901</v>
      </c>
      <c r="H706" s="13">
        <f t="shared" si="18"/>
        <v>0.77616279069767524</v>
      </c>
    </row>
    <row r="707" spans="1:8" x14ac:dyDescent="0.3">
      <c r="A707" s="17" t="s">
        <v>144</v>
      </c>
      <c r="C707">
        <v>59</v>
      </c>
      <c r="D707">
        <v>73</v>
      </c>
      <c r="G707">
        <v>2536.2318840579701</v>
      </c>
      <c r="H707" s="13">
        <f t="shared" si="18"/>
        <v>0.77391304347826162</v>
      </c>
    </row>
    <row r="708" spans="1:8" x14ac:dyDescent="0.3">
      <c r="A708" s="17" t="s">
        <v>144</v>
      </c>
      <c r="C708">
        <v>60</v>
      </c>
      <c r="D708">
        <v>74</v>
      </c>
      <c r="G708">
        <v>2527.07581227437</v>
      </c>
      <c r="H708" s="13">
        <f t="shared" si="18"/>
        <v>0.77111913357400885</v>
      </c>
    </row>
    <row r="709" spans="1:8" x14ac:dyDescent="0.3">
      <c r="A709" s="17" t="s">
        <v>144</v>
      </c>
      <c r="C709">
        <v>61</v>
      </c>
      <c r="D709">
        <v>75</v>
      </c>
      <c r="G709">
        <v>2516.17541337168</v>
      </c>
      <c r="H709" s="13">
        <f t="shared" si="18"/>
        <v>0.76779295470884512</v>
      </c>
    </row>
    <row r="710" spans="1:8" x14ac:dyDescent="0.3">
      <c r="A710" s="17" t="s">
        <v>144</v>
      </c>
      <c r="C710">
        <v>62</v>
      </c>
      <c r="D710">
        <v>76</v>
      </c>
      <c r="G710">
        <v>2503.5765379113</v>
      </c>
      <c r="H710" s="13">
        <f t="shared" si="18"/>
        <v>0.7639484978540777</v>
      </c>
    </row>
    <row r="711" spans="1:8" x14ac:dyDescent="0.3">
      <c r="A711" s="17" t="s">
        <v>144</v>
      </c>
      <c r="C711">
        <v>63</v>
      </c>
      <c r="D711">
        <v>77</v>
      </c>
      <c r="G711">
        <v>2492.8774928774901</v>
      </c>
      <c r="H711" s="13">
        <f t="shared" si="18"/>
        <v>0.76068376068376087</v>
      </c>
    </row>
    <row r="712" spans="1:8" x14ac:dyDescent="0.3">
      <c r="A712" s="17" t="s">
        <v>144</v>
      </c>
      <c r="C712">
        <v>64</v>
      </c>
      <c r="D712">
        <v>78</v>
      </c>
      <c r="G712">
        <v>2480.5102763997202</v>
      </c>
      <c r="H712" s="13">
        <f t="shared" ref="H712:H717" si="19">G712/MAX($G$286:$G$1009)</f>
        <v>0.7569099929128299</v>
      </c>
    </row>
    <row r="713" spans="1:8" x14ac:dyDescent="0.3">
      <c r="A713" s="17" t="s">
        <v>144</v>
      </c>
      <c r="C713">
        <v>65</v>
      </c>
      <c r="D713">
        <v>79</v>
      </c>
      <c r="G713">
        <v>2466.5257223396802</v>
      </c>
      <c r="H713" s="13">
        <f t="shared" si="19"/>
        <v>0.75264270613108053</v>
      </c>
    </row>
    <row r="714" spans="1:8" x14ac:dyDescent="0.3">
      <c r="A714" s="17" t="s">
        <v>144</v>
      </c>
      <c r="C714">
        <v>66</v>
      </c>
      <c r="D714">
        <v>80</v>
      </c>
      <c r="G714">
        <v>2454.4179523141702</v>
      </c>
      <c r="H714" s="13">
        <f t="shared" si="19"/>
        <v>0.74894810659186783</v>
      </c>
    </row>
    <row r="715" spans="1:8" x14ac:dyDescent="0.3">
      <c r="A715" s="17" t="s">
        <v>144</v>
      </c>
      <c r="C715">
        <v>67</v>
      </c>
      <c r="D715">
        <v>81</v>
      </c>
      <c r="G715">
        <v>2442.4284717376099</v>
      </c>
      <c r="H715" s="13">
        <f t="shared" si="19"/>
        <v>0.74528960223307739</v>
      </c>
    </row>
    <row r="716" spans="1:8" x14ac:dyDescent="0.3">
      <c r="A716" s="17" t="s">
        <v>144</v>
      </c>
      <c r="C716">
        <v>68</v>
      </c>
      <c r="D716">
        <v>82</v>
      </c>
      <c r="G716">
        <v>2432.2446143154998</v>
      </c>
      <c r="H716" s="13">
        <f t="shared" si="19"/>
        <v>0.74218207088255916</v>
      </c>
    </row>
    <row r="717" spans="1:8" x14ac:dyDescent="0.3">
      <c r="A717" s="17" t="s">
        <v>144</v>
      </c>
      <c r="C717">
        <v>69</v>
      </c>
      <c r="D717">
        <v>83</v>
      </c>
      <c r="G717">
        <v>2420.47026279391</v>
      </c>
      <c r="H717" s="13">
        <f t="shared" si="19"/>
        <v>0.73858921161825697</v>
      </c>
    </row>
    <row r="718" spans="1:8" x14ac:dyDescent="0.3">
      <c r="A718" s="17" t="s">
        <v>144</v>
      </c>
      <c r="C718">
        <v>70</v>
      </c>
      <c r="D718">
        <v>84</v>
      </c>
      <c r="H718" s="13"/>
    </row>
    <row r="719" spans="1:8" x14ac:dyDescent="0.3">
      <c r="A719" s="17" t="s">
        <v>144</v>
      </c>
      <c r="C719">
        <v>71</v>
      </c>
      <c r="D719">
        <v>85</v>
      </c>
      <c r="H719" s="13"/>
    </row>
    <row r="720" spans="1:8" x14ac:dyDescent="0.3">
      <c r="A720" s="17" t="s">
        <v>144</v>
      </c>
      <c r="C720">
        <v>72</v>
      </c>
      <c r="D720">
        <v>86</v>
      </c>
      <c r="H720" s="13"/>
    </row>
    <row r="721" spans="1:8" x14ac:dyDescent="0.3">
      <c r="A721" s="17" t="s">
        <v>144</v>
      </c>
      <c r="C721">
        <v>73</v>
      </c>
      <c r="D721">
        <v>87</v>
      </c>
      <c r="H721" s="13"/>
    </row>
    <row r="722" spans="1:8" x14ac:dyDescent="0.3">
      <c r="A722" s="17" t="s">
        <v>144</v>
      </c>
      <c r="C722">
        <v>74</v>
      </c>
      <c r="D722">
        <v>88</v>
      </c>
      <c r="H722" s="13"/>
    </row>
    <row r="723" spans="1:8" x14ac:dyDescent="0.3">
      <c r="A723" s="17" t="s">
        <v>144</v>
      </c>
      <c r="C723">
        <v>75</v>
      </c>
      <c r="D723">
        <v>89</v>
      </c>
      <c r="H723" s="13"/>
    </row>
    <row r="724" spans="1:8" x14ac:dyDescent="0.3">
      <c r="A724" s="17" t="s">
        <v>144</v>
      </c>
      <c r="C724">
        <v>76</v>
      </c>
      <c r="D724">
        <v>90</v>
      </c>
      <c r="H724" s="13"/>
    </row>
    <row r="725" spans="1:8" x14ac:dyDescent="0.3">
      <c r="A725" s="17" t="s">
        <v>144</v>
      </c>
      <c r="C725">
        <v>77</v>
      </c>
      <c r="D725">
        <v>91</v>
      </c>
      <c r="H725" s="13"/>
    </row>
    <row r="726" spans="1:8" x14ac:dyDescent="0.3">
      <c r="A726" s="17" t="s">
        <v>144</v>
      </c>
      <c r="C726">
        <v>78</v>
      </c>
      <c r="D726">
        <v>92</v>
      </c>
      <c r="H726" s="13"/>
    </row>
    <row r="727" spans="1:8" x14ac:dyDescent="0.3">
      <c r="A727" s="17" t="s">
        <v>144</v>
      </c>
      <c r="C727">
        <v>79</v>
      </c>
      <c r="D727">
        <v>93</v>
      </c>
      <c r="H727" s="13"/>
    </row>
    <row r="728" spans="1:8" x14ac:dyDescent="0.3">
      <c r="A728" s="17" t="s">
        <v>144</v>
      </c>
      <c r="C728">
        <v>80</v>
      </c>
      <c r="D728">
        <v>94</v>
      </c>
      <c r="H728" s="13"/>
    </row>
    <row r="729" spans="1:8" x14ac:dyDescent="0.3">
      <c r="A729" s="17" t="s">
        <v>144</v>
      </c>
      <c r="C729">
        <v>81</v>
      </c>
      <c r="D729">
        <v>95</v>
      </c>
      <c r="H729" s="13"/>
    </row>
    <row r="730" spans="1:8" x14ac:dyDescent="0.3">
      <c r="A730" s="17" t="s">
        <v>144</v>
      </c>
      <c r="C730">
        <v>82</v>
      </c>
      <c r="D730">
        <v>96</v>
      </c>
      <c r="H730" s="13"/>
    </row>
    <row r="731" spans="1:8" x14ac:dyDescent="0.3">
      <c r="A731" s="17" t="s">
        <v>144</v>
      </c>
      <c r="C731">
        <v>83</v>
      </c>
      <c r="D731">
        <v>97</v>
      </c>
      <c r="H731" s="13"/>
    </row>
    <row r="732" spans="1:8" x14ac:dyDescent="0.3">
      <c r="A732" s="17" t="s">
        <v>144</v>
      </c>
      <c r="C732">
        <v>84</v>
      </c>
      <c r="D732">
        <v>98</v>
      </c>
      <c r="H732" s="13"/>
    </row>
    <row r="733" spans="1:8" x14ac:dyDescent="0.3">
      <c r="A733" s="17" t="s">
        <v>144</v>
      </c>
      <c r="C733">
        <v>85</v>
      </c>
      <c r="D733">
        <v>99</v>
      </c>
      <c r="H733" s="13"/>
    </row>
    <row r="734" spans="1:8" x14ac:dyDescent="0.3">
      <c r="A734" s="17" t="s">
        <v>144</v>
      </c>
      <c r="C734">
        <v>86</v>
      </c>
      <c r="D734">
        <v>100</v>
      </c>
      <c r="H734" s="13"/>
    </row>
    <row r="735" spans="1:8" x14ac:dyDescent="0.3">
      <c r="A735" s="17" t="s">
        <v>144</v>
      </c>
      <c r="C735">
        <v>87</v>
      </c>
      <c r="D735">
        <v>101</v>
      </c>
      <c r="H735" s="13"/>
    </row>
    <row r="736" spans="1:8" x14ac:dyDescent="0.3">
      <c r="A736" s="17" t="s">
        <v>144</v>
      </c>
      <c r="C736">
        <v>88</v>
      </c>
      <c r="D736">
        <v>102</v>
      </c>
      <c r="H736" s="13"/>
    </row>
    <row r="737" spans="1:8" x14ac:dyDescent="0.3">
      <c r="A737" s="17" t="s">
        <v>144</v>
      </c>
      <c r="C737">
        <v>89</v>
      </c>
      <c r="D737">
        <v>103</v>
      </c>
      <c r="H737" s="13"/>
    </row>
    <row r="738" spans="1:8" x14ac:dyDescent="0.3">
      <c r="A738" s="17" t="s">
        <v>144</v>
      </c>
      <c r="C738">
        <v>90</v>
      </c>
      <c r="D738">
        <v>104</v>
      </c>
      <c r="H738" s="13"/>
    </row>
    <row r="739" spans="1:8" x14ac:dyDescent="0.3">
      <c r="A739" s="17" t="s">
        <v>144</v>
      </c>
      <c r="C739">
        <v>91</v>
      </c>
      <c r="D739">
        <v>105</v>
      </c>
      <c r="G739">
        <v>2430.5555555555602</v>
      </c>
      <c r="H739" s="13">
        <f t="shared" ref="H739:H802" si="20">G739/MAX($G$286:$G$1009)</f>
        <v>0.74166666666666903</v>
      </c>
    </row>
    <row r="740" spans="1:8" x14ac:dyDescent="0.3">
      <c r="A740" s="17" t="s">
        <v>144</v>
      </c>
      <c r="C740">
        <v>92</v>
      </c>
      <c r="D740">
        <v>106</v>
      </c>
      <c r="G740">
        <v>2442.4284717376099</v>
      </c>
      <c r="H740" s="13">
        <f t="shared" si="20"/>
        <v>0.74528960223307739</v>
      </c>
    </row>
    <row r="741" spans="1:8" x14ac:dyDescent="0.3">
      <c r="A741" s="17" t="s">
        <v>144</v>
      </c>
      <c r="C741">
        <v>93</v>
      </c>
      <c r="D741">
        <v>107</v>
      </c>
      <c r="G741">
        <v>2454.4179523141702</v>
      </c>
      <c r="H741" s="13">
        <f t="shared" si="20"/>
        <v>0.74894810659186783</v>
      </c>
    </row>
    <row r="742" spans="1:8" x14ac:dyDescent="0.3">
      <c r="A742" s="17" t="s">
        <v>144</v>
      </c>
      <c r="C742">
        <v>94</v>
      </c>
      <c r="D742">
        <v>108</v>
      </c>
      <c r="G742">
        <v>2468.26516220028</v>
      </c>
      <c r="H742" s="13">
        <f t="shared" si="20"/>
        <v>0.75317348377997217</v>
      </c>
    </row>
    <row r="743" spans="1:8" x14ac:dyDescent="0.3">
      <c r="A743" s="17" t="s">
        <v>144</v>
      </c>
      <c r="C743">
        <v>95</v>
      </c>
      <c r="D743">
        <v>109</v>
      </c>
      <c r="G743">
        <v>2480.5102763997202</v>
      </c>
      <c r="H743" s="13">
        <f t="shared" si="20"/>
        <v>0.7569099929128299</v>
      </c>
    </row>
    <row r="744" spans="1:8" x14ac:dyDescent="0.3">
      <c r="A744" s="17" t="s">
        <v>144</v>
      </c>
      <c r="C744">
        <v>96</v>
      </c>
      <c r="D744">
        <v>110</v>
      </c>
      <c r="G744">
        <v>2494.65431218817</v>
      </c>
      <c r="H744" s="13">
        <f t="shared" si="20"/>
        <v>0.76122594440484836</v>
      </c>
    </row>
    <row r="745" spans="1:8" x14ac:dyDescent="0.3">
      <c r="A745" s="17" t="s">
        <v>144</v>
      </c>
      <c r="C745">
        <v>97</v>
      </c>
      <c r="D745">
        <v>111</v>
      </c>
      <c r="G745">
        <v>2508.9605734767001</v>
      </c>
      <c r="H745" s="13">
        <f t="shared" si="20"/>
        <v>0.76559139784946262</v>
      </c>
    </row>
    <row r="746" spans="1:8" x14ac:dyDescent="0.3">
      <c r="A746" s="17" t="s">
        <v>144</v>
      </c>
      <c r="C746">
        <v>98</v>
      </c>
      <c r="D746">
        <v>112</v>
      </c>
      <c r="G746">
        <v>2523.4318673395801</v>
      </c>
      <c r="H746" s="13">
        <f t="shared" si="20"/>
        <v>0.77000720980533577</v>
      </c>
    </row>
    <row r="747" spans="1:8" x14ac:dyDescent="0.3">
      <c r="A747" s="17" t="s">
        <v>144</v>
      </c>
      <c r="C747">
        <v>99</v>
      </c>
      <c r="D747">
        <v>113</v>
      </c>
      <c r="G747">
        <v>2536.2318840579701</v>
      </c>
      <c r="H747" s="13">
        <f t="shared" si="20"/>
        <v>0.77391304347826162</v>
      </c>
    </row>
    <row r="748" spans="1:8" x14ac:dyDescent="0.3">
      <c r="A748" s="17" t="s">
        <v>144</v>
      </c>
      <c r="C748">
        <v>100</v>
      </c>
      <c r="D748">
        <v>114</v>
      </c>
      <c r="G748">
        <v>2551.0204081632701</v>
      </c>
      <c r="H748" s="13">
        <f t="shared" si="20"/>
        <v>0.7784256559766789</v>
      </c>
    </row>
    <row r="749" spans="1:8" x14ac:dyDescent="0.3">
      <c r="A749" s="17" t="s">
        <v>144</v>
      </c>
      <c r="C749">
        <v>101</v>
      </c>
      <c r="D749">
        <v>115</v>
      </c>
      <c r="G749">
        <v>2564.1025641025599</v>
      </c>
      <c r="H749" s="13">
        <f t="shared" si="20"/>
        <v>0.78241758241758219</v>
      </c>
    </row>
    <row r="750" spans="1:8" x14ac:dyDescent="0.3">
      <c r="A750" s="17" t="s">
        <v>144</v>
      </c>
      <c r="C750">
        <v>102</v>
      </c>
      <c r="D750">
        <v>116</v>
      </c>
      <c r="G750">
        <v>2577.3195876288701</v>
      </c>
      <c r="H750" s="13">
        <f t="shared" si="20"/>
        <v>0.78645066273932485</v>
      </c>
    </row>
    <row r="751" spans="1:8" x14ac:dyDescent="0.3">
      <c r="A751" s="17" t="s">
        <v>144</v>
      </c>
      <c r="C751">
        <v>103</v>
      </c>
      <c r="D751">
        <v>117</v>
      </c>
      <c r="G751">
        <v>2590.67357512953</v>
      </c>
      <c r="H751" s="13">
        <f t="shared" si="20"/>
        <v>0.79052553663952618</v>
      </c>
    </row>
    <row r="752" spans="1:8" x14ac:dyDescent="0.3">
      <c r="A752" s="17" t="s">
        <v>144</v>
      </c>
      <c r="C752">
        <v>104</v>
      </c>
      <c r="D752">
        <v>118</v>
      </c>
      <c r="G752">
        <v>2602.2304832713799</v>
      </c>
      <c r="H752" s="13">
        <f t="shared" si="20"/>
        <v>0.79405204460966783</v>
      </c>
    </row>
    <row r="753" spans="1:8" x14ac:dyDescent="0.3">
      <c r="A753" s="17" t="s">
        <v>144</v>
      </c>
      <c r="C753">
        <v>105</v>
      </c>
      <c r="D753">
        <v>119</v>
      </c>
      <c r="G753">
        <v>2611.9402985074598</v>
      </c>
      <c r="H753" s="13">
        <f t="shared" si="20"/>
        <v>0.79701492537313456</v>
      </c>
    </row>
    <row r="754" spans="1:8" x14ac:dyDescent="0.3">
      <c r="A754" s="17" t="s">
        <v>144</v>
      </c>
      <c r="C754">
        <v>106</v>
      </c>
      <c r="D754">
        <v>120</v>
      </c>
      <c r="G754">
        <v>2621.72284644195</v>
      </c>
      <c r="H754" s="13">
        <f t="shared" si="20"/>
        <v>0.80000000000000182</v>
      </c>
    </row>
    <row r="755" spans="1:8" x14ac:dyDescent="0.3">
      <c r="A755" s="17" t="s">
        <v>144</v>
      </c>
      <c r="C755">
        <v>107</v>
      </c>
      <c r="D755">
        <v>121</v>
      </c>
      <c r="G755">
        <v>2629.60180315552</v>
      </c>
      <c r="H755" s="13">
        <f t="shared" si="20"/>
        <v>0.80240420736288542</v>
      </c>
    </row>
    <row r="756" spans="1:8" x14ac:dyDescent="0.3">
      <c r="A756" s="17" t="s">
        <v>144</v>
      </c>
      <c r="C756">
        <v>108</v>
      </c>
      <c r="D756">
        <v>122</v>
      </c>
      <c r="G756">
        <v>2637.5282592313501</v>
      </c>
      <c r="H756" s="13">
        <f t="shared" si="20"/>
        <v>0.80482290881688168</v>
      </c>
    </row>
    <row r="757" spans="1:8" x14ac:dyDescent="0.3">
      <c r="A757" s="17" t="s">
        <v>144</v>
      </c>
      <c r="C757">
        <v>109</v>
      </c>
      <c r="D757">
        <v>123</v>
      </c>
      <c r="G757">
        <v>2641.5094339622601</v>
      </c>
      <c r="H757" s="13">
        <f t="shared" si="20"/>
        <v>0.80603773584905647</v>
      </c>
    </row>
    <row r="758" spans="1:8" x14ac:dyDescent="0.3">
      <c r="A758" s="17" t="s">
        <v>144</v>
      </c>
      <c r="C758">
        <v>110</v>
      </c>
      <c r="D758">
        <v>124</v>
      </c>
      <c r="G758">
        <v>2645.50264550265</v>
      </c>
      <c r="H758" s="13">
        <f t="shared" si="20"/>
        <v>0.80725623582766681</v>
      </c>
    </row>
    <row r="759" spans="1:8" x14ac:dyDescent="0.3">
      <c r="A759" s="17" t="s">
        <v>144</v>
      </c>
      <c r="C759">
        <v>111</v>
      </c>
      <c r="D759">
        <v>125</v>
      </c>
      <c r="G759">
        <v>2647.5037821482601</v>
      </c>
      <c r="H759" s="13">
        <f t="shared" si="20"/>
        <v>0.80786686838124155</v>
      </c>
    </row>
    <row r="760" spans="1:8" x14ac:dyDescent="0.3">
      <c r="A760" s="17" t="s">
        <v>144</v>
      </c>
      <c r="C760">
        <v>112</v>
      </c>
      <c r="D760">
        <v>126</v>
      </c>
      <c r="G760">
        <v>2647.5037821482601</v>
      </c>
      <c r="H760" s="13">
        <f t="shared" si="20"/>
        <v>0.80786686838124155</v>
      </c>
    </row>
    <row r="761" spans="1:8" x14ac:dyDescent="0.3">
      <c r="A761" s="17" t="s">
        <v>144</v>
      </c>
      <c r="C761">
        <v>113</v>
      </c>
      <c r="D761">
        <v>127</v>
      </c>
      <c r="G761">
        <v>2645.50264550265</v>
      </c>
      <c r="H761" s="13">
        <f t="shared" si="20"/>
        <v>0.80725623582766681</v>
      </c>
    </row>
    <row r="762" spans="1:8" x14ac:dyDescent="0.3">
      <c r="A762" s="17" t="s">
        <v>144</v>
      </c>
      <c r="C762">
        <v>114</v>
      </c>
      <c r="D762">
        <v>128</v>
      </c>
      <c r="G762">
        <v>2641.5094339622601</v>
      </c>
      <c r="H762" s="13">
        <f t="shared" si="20"/>
        <v>0.80603773584905647</v>
      </c>
    </row>
    <row r="763" spans="1:8" x14ac:dyDescent="0.3">
      <c r="A763" s="17" t="s">
        <v>144</v>
      </c>
      <c r="C763">
        <v>115</v>
      </c>
      <c r="D763">
        <v>129</v>
      </c>
      <c r="G763">
        <v>2637.5282592313501</v>
      </c>
      <c r="H763" s="13">
        <f t="shared" si="20"/>
        <v>0.80482290881688168</v>
      </c>
    </row>
    <row r="764" spans="1:8" x14ac:dyDescent="0.3">
      <c r="A764" s="17" t="s">
        <v>144</v>
      </c>
      <c r="C764">
        <v>116</v>
      </c>
      <c r="D764">
        <v>130</v>
      </c>
      <c r="G764">
        <v>2631.5789473684199</v>
      </c>
      <c r="H764" s="13">
        <f t="shared" si="20"/>
        <v>0.80300751879699317</v>
      </c>
    </row>
    <row r="765" spans="1:8" x14ac:dyDescent="0.3">
      <c r="A765" s="17" t="s">
        <v>144</v>
      </c>
      <c r="C765">
        <v>117</v>
      </c>
      <c r="D765">
        <v>131</v>
      </c>
      <c r="G765">
        <v>2623.6881559220401</v>
      </c>
      <c r="H765" s="13">
        <f t="shared" si="20"/>
        <v>0.80059970014992643</v>
      </c>
    </row>
    <row r="766" spans="1:8" x14ac:dyDescent="0.3">
      <c r="A766" s="17" t="s">
        <v>144</v>
      </c>
      <c r="C766">
        <v>118</v>
      </c>
      <c r="D766">
        <v>132</v>
      </c>
      <c r="G766">
        <v>2615.8445440956698</v>
      </c>
      <c r="H766" s="13">
        <f t="shared" si="20"/>
        <v>0.79820627802690836</v>
      </c>
    </row>
    <row r="767" spans="1:8" x14ac:dyDescent="0.3">
      <c r="A767" s="17" t="s">
        <v>144</v>
      </c>
      <c r="C767">
        <v>119</v>
      </c>
      <c r="D767">
        <v>133</v>
      </c>
      <c r="G767">
        <v>2604.1666666666702</v>
      </c>
      <c r="H767" s="13">
        <f t="shared" si="20"/>
        <v>0.79464285714285932</v>
      </c>
    </row>
    <row r="768" spans="1:8" x14ac:dyDescent="0.3">
      <c r="A768" s="17" t="s">
        <v>144</v>
      </c>
      <c r="C768">
        <v>120</v>
      </c>
      <c r="D768">
        <v>134</v>
      </c>
      <c r="G768">
        <v>2594.5144551519602</v>
      </c>
      <c r="H768" s="13">
        <f t="shared" si="20"/>
        <v>0.79169755374351347</v>
      </c>
    </row>
    <row r="769" spans="1:8" x14ac:dyDescent="0.3">
      <c r="A769" s="17" t="s">
        <v>144</v>
      </c>
      <c r="C769">
        <v>121</v>
      </c>
      <c r="D769">
        <v>135</v>
      </c>
      <c r="G769">
        <v>2583.0258302583002</v>
      </c>
      <c r="H769" s="13">
        <f t="shared" si="20"/>
        <v>0.7881918819188195</v>
      </c>
    </row>
    <row r="770" spans="1:8" x14ac:dyDescent="0.3">
      <c r="A770" s="17" t="s">
        <v>144</v>
      </c>
      <c r="C770">
        <v>122</v>
      </c>
      <c r="D770">
        <v>136</v>
      </c>
      <c r="G770">
        <v>2571.6385011021298</v>
      </c>
      <c r="H770" s="13">
        <f t="shared" si="20"/>
        <v>0.78471711976487957</v>
      </c>
    </row>
    <row r="771" spans="1:8" x14ac:dyDescent="0.3">
      <c r="A771" s="17" t="s">
        <v>144</v>
      </c>
      <c r="C771">
        <v>123</v>
      </c>
      <c r="D771">
        <v>137</v>
      </c>
      <c r="G771">
        <v>2558.4795321637398</v>
      </c>
      <c r="H771" s="13">
        <f t="shared" si="20"/>
        <v>0.78070175438596512</v>
      </c>
    </row>
    <row r="772" spans="1:8" x14ac:dyDescent="0.3">
      <c r="A772" s="17" t="s">
        <v>144</v>
      </c>
      <c r="C772">
        <v>124</v>
      </c>
      <c r="D772">
        <v>138</v>
      </c>
      <c r="G772">
        <v>2545.45454545455</v>
      </c>
      <c r="H772" s="13">
        <f t="shared" si="20"/>
        <v>0.77672727272727515</v>
      </c>
    </row>
    <row r="773" spans="1:8" x14ac:dyDescent="0.3">
      <c r="A773" s="17" t="s">
        <v>144</v>
      </c>
      <c r="C773">
        <v>125</v>
      </c>
      <c r="D773">
        <v>139</v>
      </c>
      <c r="G773">
        <v>2532.5615050651199</v>
      </c>
      <c r="H773" s="13">
        <f t="shared" si="20"/>
        <v>0.77279305354558625</v>
      </c>
    </row>
    <row r="774" spans="1:8" x14ac:dyDescent="0.3">
      <c r="A774" s="17" t="s">
        <v>144</v>
      </c>
      <c r="C774">
        <v>126</v>
      </c>
      <c r="D774">
        <v>140</v>
      </c>
      <c r="G774">
        <v>2519.79841612671</v>
      </c>
      <c r="H774" s="13">
        <f t="shared" si="20"/>
        <v>0.76889848812095141</v>
      </c>
    </row>
    <row r="775" spans="1:8" x14ac:dyDescent="0.3">
      <c r="A775" s="17" t="s">
        <v>144</v>
      </c>
      <c r="C775">
        <v>127</v>
      </c>
      <c r="D775">
        <v>141</v>
      </c>
      <c r="G775">
        <v>2507.1633237822398</v>
      </c>
      <c r="H775" s="13">
        <f t="shared" si="20"/>
        <v>0.76504297994269588</v>
      </c>
    </row>
    <row r="776" spans="1:8" x14ac:dyDescent="0.3">
      <c r="A776" s="17" t="s">
        <v>144</v>
      </c>
      <c r="C776">
        <v>128</v>
      </c>
      <c r="D776">
        <v>142</v>
      </c>
      <c r="G776">
        <v>2494.65431218817</v>
      </c>
      <c r="H776" s="13">
        <f t="shared" si="20"/>
        <v>0.76122594440484836</v>
      </c>
    </row>
    <row r="777" spans="1:8" x14ac:dyDescent="0.3">
      <c r="A777" s="17" t="s">
        <v>144</v>
      </c>
      <c r="C777">
        <v>129</v>
      </c>
      <c r="D777">
        <v>143</v>
      </c>
      <c r="G777">
        <v>2482.2695035461002</v>
      </c>
      <c r="H777" s="13">
        <f t="shared" si="20"/>
        <v>0.75744680851063961</v>
      </c>
    </row>
    <row r="778" spans="1:8" x14ac:dyDescent="0.3">
      <c r="A778" s="17" t="s">
        <v>144</v>
      </c>
      <c r="C778">
        <v>130</v>
      </c>
      <c r="D778">
        <v>144</v>
      </c>
      <c r="G778">
        <v>2470.0070571630199</v>
      </c>
      <c r="H778" s="13">
        <f t="shared" si="20"/>
        <v>0.75370501058574535</v>
      </c>
    </row>
    <row r="779" spans="1:8" x14ac:dyDescent="0.3">
      <c r="A779" s="17" t="s">
        <v>144</v>
      </c>
      <c r="C779">
        <v>131</v>
      </c>
      <c r="D779">
        <v>145</v>
      </c>
      <c r="G779">
        <v>2459.5924104005599</v>
      </c>
      <c r="H779" s="13">
        <f t="shared" si="20"/>
        <v>0.75052705551651466</v>
      </c>
    </row>
    <row r="780" spans="1:8" x14ac:dyDescent="0.3">
      <c r="A780" s="17" t="s">
        <v>144</v>
      </c>
      <c r="C780">
        <v>132</v>
      </c>
      <c r="D780">
        <v>146</v>
      </c>
      <c r="G780">
        <v>2447.5524475524498</v>
      </c>
      <c r="H780" s="13">
        <f t="shared" si="20"/>
        <v>0.74685314685314852</v>
      </c>
    </row>
    <row r="781" spans="1:8" x14ac:dyDescent="0.3">
      <c r="A781" s="17" t="s">
        <v>144</v>
      </c>
      <c r="C781">
        <v>133</v>
      </c>
      <c r="D781">
        <v>147</v>
      </c>
      <c r="G781">
        <v>2437.32590529248</v>
      </c>
      <c r="H781" s="13">
        <f t="shared" si="20"/>
        <v>0.74373259052924923</v>
      </c>
    </row>
    <row r="782" spans="1:8" x14ac:dyDescent="0.3">
      <c r="A782" s="17" t="s">
        <v>144</v>
      </c>
      <c r="C782">
        <v>134</v>
      </c>
      <c r="D782">
        <v>148</v>
      </c>
      <c r="G782">
        <v>2427.1844660194201</v>
      </c>
      <c r="H782" s="13">
        <f t="shared" si="20"/>
        <v>0.74063800277392688</v>
      </c>
    </row>
    <row r="783" spans="1:8" x14ac:dyDescent="0.3">
      <c r="A783" s="17" t="s">
        <v>144</v>
      </c>
      <c r="C783">
        <v>135</v>
      </c>
      <c r="D783">
        <v>149</v>
      </c>
      <c r="G783">
        <v>2417.1270718231999</v>
      </c>
      <c r="H783" s="13">
        <f t="shared" si="20"/>
        <v>0.73756906077348028</v>
      </c>
    </row>
    <row r="784" spans="1:8" x14ac:dyDescent="0.3">
      <c r="A784" s="17" t="s">
        <v>144</v>
      </c>
      <c r="C784">
        <v>136</v>
      </c>
      <c r="D784">
        <v>150</v>
      </c>
      <c r="G784">
        <v>2408.8093599449398</v>
      </c>
      <c r="H784" s="13">
        <f t="shared" si="20"/>
        <v>0.73503097040605692</v>
      </c>
    </row>
    <row r="785" spans="1:8" x14ac:dyDescent="0.3">
      <c r="A785" s="17" t="s">
        <v>144</v>
      </c>
      <c r="C785">
        <v>137</v>
      </c>
      <c r="D785">
        <v>151</v>
      </c>
      <c r="G785">
        <v>2402.1962937542899</v>
      </c>
      <c r="H785" s="13">
        <f t="shared" si="20"/>
        <v>0.73301304049416716</v>
      </c>
    </row>
    <row r="786" spans="1:8" x14ac:dyDescent="0.3">
      <c r="A786" s="17" t="s">
        <v>144</v>
      </c>
      <c r="C786">
        <v>138</v>
      </c>
      <c r="D786">
        <v>152</v>
      </c>
      <c r="G786">
        <v>2393.98084815321</v>
      </c>
      <c r="H786" s="13">
        <f t="shared" si="20"/>
        <v>0.73050615595075186</v>
      </c>
    </row>
    <row r="787" spans="1:8" x14ac:dyDescent="0.3">
      <c r="A787" s="17" t="s">
        <v>144</v>
      </c>
      <c r="C787">
        <v>139</v>
      </c>
      <c r="D787">
        <v>153</v>
      </c>
      <c r="G787">
        <v>2389.0784982935202</v>
      </c>
      <c r="H787" s="13">
        <f t="shared" si="20"/>
        <v>0.72901023890785233</v>
      </c>
    </row>
    <row r="788" spans="1:8" x14ac:dyDescent="0.3">
      <c r="A788" s="17" t="s">
        <v>144</v>
      </c>
      <c r="C788">
        <v>140</v>
      </c>
      <c r="D788">
        <v>154</v>
      </c>
      <c r="G788">
        <v>2382.5731790333598</v>
      </c>
      <c r="H788" s="13">
        <f t="shared" si="20"/>
        <v>0.72702518720218046</v>
      </c>
    </row>
    <row r="789" spans="1:8" x14ac:dyDescent="0.3">
      <c r="A789" s="17" t="s">
        <v>144</v>
      </c>
      <c r="C789">
        <v>141</v>
      </c>
      <c r="D789">
        <v>155</v>
      </c>
      <c r="G789">
        <v>2379.3337865397698</v>
      </c>
      <c r="H789" s="13">
        <f t="shared" si="20"/>
        <v>0.72603670972127932</v>
      </c>
    </row>
    <row r="790" spans="1:8" x14ac:dyDescent="0.3">
      <c r="A790" s="17" t="s">
        <v>144</v>
      </c>
      <c r="C790">
        <v>142</v>
      </c>
      <c r="D790">
        <v>156</v>
      </c>
      <c r="G790">
        <v>2376.1031907671399</v>
      </c>
      <c r="H790" s="13">
        <f t="shared" si="20"/>
        <v>0.72505091649694542</v>
      </c>
    </row>
    <row r="791" spans="1:8" x14ac:dyDescent="0.3">
      <c r="A791" s="17" t="s">
        <v>144</v>
      </c>
      <c r="C791">
        <v>143</v>
      </c>
      <c r="D791">
        <v>157</v>
      </c>
      <c r="G791">
        <v>2372.8813559322002</v>
      </c>
      <c r="H791" s="13">
        <f t="shared" si="20"/>
        <v>0.72406779661016951</v>
      </c>
    </row>
    <row r="792" spans="1:8" x14ac:dyDescent="0.3">
      <c r="A792" s="17" t="s">
        <v>144</v>
      </c>
      <c r="C792">
        <v>144</v>
      </c>
      <c r="D792">
        <v>158</v>
      </c>
      <c r="G792">
        <v>2371.2737127371302</v>
      </c>
      <c r="H792" s="13">
        <f t="shared" si="20"/>
        <v>0.72357723577235955</v>
      </c>
    </row>
    <row r="793" spans="1:8" x14ac:dyDescent="0.3">
      <c r="A793" s="17" t="s">
        <v>144</v>
      </c>
      <c r="C793">
        <v>145</v>
      </c>
      <c r="D793">
        <v>159</v>
      </c>
      <c r="G793">
        <v>2371.2737127371302</v>
      </c>
      <c r="H793" s="13">
        <f t="shared" si="20"/>
        <v>0.72357723577235955</v>
      </c>
    </row>
    <row r="794" spans="1:8" x14ac:dyDescent="0.3">
      <c r="A794" s="17" t="s">
        <v>144</v>
      </c>
      <c r="C794">
        <v>146</v>
      </c>
      <c r="D794">
        <v>160</v>
      </c>
      <c r="G794">
        <v>2371.2737127371302</v>
      </c>
      <c r="H794" s="13">
        <f t="shared" si="20"/>
        <v>0.72357723577235955</v>
      </c>
    </row>
    <row r="795" spans="1:8" x14ac:dyDescent="0.3">
      <c r="A795" s="17" t="s">
        <v>144</v>
      </c>
      <c r="C795">
        <v>147</v>
      </c>
      <c r="D795">
        <v>161</v>
      </c>
      <c r="G795">
        <v>2372.8813559322002</v>
      </c>
      <c r="H795" s="13">
        <f t="shared" si="20"/>
        <v>0.72406779661016951</v>
      </c>
    </row>
    <row r="796" spans="1:8" x14ac:dyDescent="0.3">
      <c r="A796" s="17" t="s">
        <v>144</v>
      </c>
      <c r="C796">
        <v>148</v>
      </c>
      <c r="D796">
        <v>162</v>
      </c>
      <c r="G796">
        <v>2376.1031907671399</v>
      </c>
      <c r="H796" s="13">
        <f t="shared" si="20"/>
        <v>0.72505091649694542</v>
      </c>
    </row>
    <row r="797" spans="1:8" x14ac:dyDescent="0.3">
      <c r="A797" s="17" t="s">
        <v>144</v>
      </c>
      <c r="C797">
        <v>149</v>
      </c>
      <c r="D797">
        <v>163</v>
      </c>
      <c r="G797">
        <v>2379.3337865397698</v>
      </c>
      <c r="H797" s="13">
        <f t="shared" si="20"/>
        <v>0.72603670972127932</v>
      </c>
    </row>
    <row r="798" spans="1:8" x14ac:dyDescent="0.3">
      <c r="A798" s="17" t="s">
        <v>144</v>
      </c>
      <c r="C798">
        <v>150</v>
      </c>
      <c r="D798">
        <v>164</v>
      </c>
      <c r="G798">
        <v>2384.1961852861</v>
      </c>
      <c r="H798" s="13">
        <f t="shared" si="20"/>
        <v>0.72752043596730231</v>
      </c>
    </row>
    <row r="799" spans="1:8" x14ac:dyDescent="0.3">
      <c r="A799" s="17" t="s">
        <v>144</v>
      </c>
      <c r="C799">
        <v>151</v>
      </c>
      <c r="D799">
        <v>165</v>
      </c>
      <c r="G799">
        <v>2389.0784982935202</v>
      </c>
      <c r="H799" s="13">
        <f t="shared" si="20"/>
        <v>0.72901023890785233</v>
      </c>
    </row>
    <row r="800" spans="1:8" x14ac:dyDescent="0.3">
      <c r="A800" s="17" t="s">
        <v>144</v>
      </c>
      <c r="C800">
        <v>152</v>
      </c>
      <c r="D800">
        <v>166</v>
      </c>
      <c r="G800">
        <v>2395.6194387405899</v>
      </c>
      <c r="H800" s="13">
        <f t="shared" si="20"/>
        <v>0.73100616016427244</v>
      </c>
    </row>
    <row r="801" spans="1:8" x14ac:dyDescent="0.3">
      <c r="A801" s="17" t="s">
        <v>144</v>
      </c>
      <c r="C801">
        <v>153</v>
      </c>
      <c r="D801">
        <v>167</v>
      </c>
      <c r="G801">
        <v>2403.8461538461502</v>
      </c>
      <c r="H801" s="13">
        <f t="shared" si="20"/>
        <v>0.73351648351648335</v>
      </c>
    </row>
    <row r="802" spans="1:8" x14ac:dyDescent="0.3">
      <c r="A802" s="17" t="s">
        <v>144</v>
      </c>
      <c r="C802">
        <v>154</v>
      </c>
      <c r="D802">
        <v>168</v>
      </c>
      <c r="G802">
        <v>2412.12956581668</v>
      </c>
      <c r="H802" s="13">
        <f t="shared" si="20"/>
        <v>0.73604410751206217</v>
      </c>
    </row>
    <row r="803" spans="1:8" x14ac:dyDescent="0.3">
      <c r="A803" s="17" t="s">
        <v>144</v>
      </c>
      <c r="C803">
        <v>155</v>
      </c>
      <c r="D803">
        <v>169</v>
      </c>
      <c r="G803">
        <v>2420.47026279391</v>
      </c>
      <c r="H803" s="13">
        <f t="shared" ref="H803:H828" si="21">G803/MAX($G$286:$G$1009)</f>
        <v>0.73858921161825697</v>
      </c>
    </row>
    <row r="804" spans="1:8" x14ac:dyDescent="0.3">
      <c r="A804" s="17" t="s">
        <v>144</v>
      </c>
      <c r="C804">
        <v>156</v>
      </c>
      <c r="D804">
        <v>170</v>
      </c>
      <c r="G804">
        <v>2430.5555555555602</v>
      </c>
      <c r="H804" s="13">
        <f t="shared" si="21"/>
        <v>0.74166666666666903</v>
      </c>
    </row>
    <row r="805" spans="1:8" x14ac:dyDescent="0.3">
      <c r="A805" s="17" t="s">
        <v>144</v>
      </c>
      <c r="C805">
        <v>157</v>
      </c>
      <c r="D805">
        <v>171</v>
      </c>
      <c r="G805">
        <v>2440.7252440725201</v>
      </c>
      <c r="H805" s="13">
        <f t="shared" si="21"/>
        <v>0.74476987447698717</v>
      </c>
    </row>
    <row r="806" spans="1:8" x14ac:dyDescent="0.3">
      <c r="A806" s="17" t="s">
        <v>144</v>
      </c>
      <c r="C806">
        <v>158</v>
      </c>
      <c r="D806">
        <v>172</v>
      </c>
      <c r="G806">
        <v>2450.98039215686</v>
      </c>
      <c r="H806" s="13">
        <f t="shared" si="21"/>
        <v>0.74789915966386566</v>
      </c>
    </row>
    <row r="807" spans="1:8" x14ac:dyDescent="0.3">
      <c r="A807" s="17" t="s">
        <v>144</v>
      </c>
      <c r="C807">
        <v>159</v>
      </c>
      <c r="D807">
        <v>173</v>
      </c>
      <c r="G807">
        <v>2461.3220815752502</v>
      </c>
      <c r="H807" s="13">
        <f t="shared" si="21"/>
        <v>0.75105485232067737</v>
      </c>
    </row>
    <row r="808" spans="1:8" x14ac:dyDescent="0.3">
      <c r="A808" s="17" t="s">
        <v>144</v>
      </c>
      <c r="C808">
        <v>160</v>
      </c>
      <c r="D808">
        <v>174</v>
      </c>
      <c r="G808">
        <v>2473.49823321555</v>
      </c>
      <c r="H808" s="13">
        <f t="shared" si="21"/>
        <v>0.75477031802120309</v>
      </c>
    </row>
    <row r="809" spans="1:8" x14ac:dyDescent="0.3">
      <c r="A809" s="17" t="s">
        <v>144</v>
      </c>
      <c r="C809">
        <v>161</v>
      </c>
      <c r="D809">
        <v>175</v>
      </c>
      <c r="G809">
        <v>2484.03122782115</v>
      </c>
      <c r="H809" s="13">
        <f t="shared" si="21"/>
        <v>0.7579843860894262</v>
      </c>
    </row>
    <row r="810" spans="1:8" x14ac:dyDescent="0.3">
      <c r="A810" s="17" t="s">
        <v>144</v>
      </c>
      <c r="C810">
        <v>162</v>
      </c>
      <c r="D810">
        <v>176</v>
      </c>
      <c r="G810">
        <v>2496.4336661911598</v>
      </c>
      <c r="H810" s="13">
        <f t="shared" si="21"/>
        <v>0.76176890156918919</v>
      </c>
    </row>
    <row r="811" spans="1:8" x14ac:dyDescent="0.3">
      <c r="A811" s="17" t="s">
        <v>144</v>
      </c>
      <c r="C811">
        <v>163</v>
      </c>
      <c r="D811">
        <v>177</v>
      </c>
      <c r="G811">
        <v>2507.1633237822398</v>
      </c>
      <c r="H811" s="13">
        <f t="shared" si="21"/>
        <v>0.76504297994269588</v>
      </c>
    </row>
    <row r="812" spans="1:8" x14ac:dyDescent="0.3">
      <c r="A812" s="17" t="s">
        <v>144</v>
      </c>
      <c r="C812">
        <v>164</v>
      </c>
      <c r="D812">
        <v>178</v>
      </c>
      <c r="G812">
        <v>2517.98561151079</v>
      </c>
      <c r="H812" s="13">
        <f t="shared" si="21"/>
        <v>0.76834532374100784</v>
      </c>
    </row>
    <row r="813" spans="1:8" x14ac:dyDescent="0.3">
      <c r="A813" s="17" t="s">
        <v>144</v>
      </c>
      <c r="C813">
        <v>165</v>
      </c>
      <c r="D813">
        <v>179</v>
      </c>
      <c r="G813">
        <v>2528.9017341040499</v>
      </c>
      <c r="H813" s="13">
        <f t="shared" si="21"/>
        <v>0.77167630057803682</v>
      </c>
    </row>
    <row r="814" spans="1:8" x14ac:dyDescent="0.3">
      <c r="A814" s="17" t="s">
        <v>144</v>
      </c>
      <c r="C814">
        <v>166</v>
      </c>
      <c r="D814">
        <v>180</v>
      </c>
      <c r="G814">
        <v>2538.07106598985</v>
      </c>
      <c r="H814" s="13">
        <f t="shared" si="21"/>
        <v>0.77447425670776093</v>
      </c>
    </row>
    <row r="815" spans="1:8" x14ac:dyDescent="0.3">
      <c r="A815" s="17" t="s">
        <v>144</v>
      </c>
      <c r="C815">
        <v>167</v>
      </c>
      <c r="D815">
        <v>0</v>
      </c>
      <c r="G815">
        <v>2545.45454545455</v>
      </c>
      <c r="H815" s="13">
        <f t="shared" si="21"/>
        <v>0.77672727272727515</v>
      </c>
    </row>
    <row r="816" spans="1:8" x14ac:dyDescent="0.3">
      <c r="A816" s="17" t="s">
        <v>144</v>
      </c>
      <c r="C816">
        <v>168</v>
      </c>
      <c r="D816">
        <v>1</v>
      </c>
      <c r="G816">
        <v>2551.0204081632701</v>
      </c>
      <c r="H816" s="13">
        <f t="shared" si="21"/>
        <v>0.7784256559766789</v>
      </c>
    </row>
    <row r="817" spans="1:8" x14ac:dyDescent="0.3">
      <c r="A817" s="17" t="s">
        <v>144</v>
      </c>
      <c r="C817">
        <v>169</v>
      </c>
      <c r="D817">
        <v>2</v>
      </c>
      <c r="G817">
        <v>2554.7445255474499</v>
      </c>
      <c r="H817" s="13">
        <f t="shared" si="21"/>
        <v>0.77956204379562288</v>
      </c>
    </row>
    <row r="818" spans="1:8" x14ac:dyDescent="0.3">
      <c r="A818" s="17" t="s">
        <v>144</v>
      </c>
      <c r="C818">
        <v>170</v>
      </c>
      <c r="D818">
        <v>3</v>
      </c>
      <c r="G818">
        <v>2556.6106647187698</v>
      </c>
      <c r="H818" s="13">
        <f t="shared" si="21"/>
        <v>0.78013148283418565</v>
      </c>
    </row>
    <row r="819" spans="1:8" x14ac:dyDescent="0.3">
      <c r="A819" s="17" t="s">
        <v>144</v>
      </c>
      <c r="C819">
        <v>171</v>
      </c>
      <c r="D819">
        <v>4</v>
      </c>
      <c r="G819">
        <v>2554.7445255474499</v>
      </c>
      <c r="H819" s="13">
        <f t="shared" si="21"/>
        <v>0.77956204379562288</v>
      </c>
    </row>
    <row r="820" spans="1:8" x14ac:dyDescent="0.3">
      <c r="A820" s="17" t="s">
        <v>144</v>
      </c>
      <c r="C820">
        <v>172</v>
      </c>
      <c r="D820">
        <v>5</v>
      </c>
      <c r="G820">
        <v>2552.8811086798</v>
      </c>
      <c r="H820" s="13">
        <f t="shared" si="21"/>
        <v>0.77899343544858002</v>
      </c>
    </row>
    <row r="821" spans="1:8" x14ac:dyDescent="0.3">
      <c r="A821" s="17" t="s">
        <v>144</v>
      </c>
      <c r="C821">
        <v>173</v>
      </c>
      <c r="D821">
        <v>6</v>
      </c>
      <c r="G821">
        <v>2547.30713245997</v>
      </c>
      <c r="H821" s="13">
        <f t="shared" si="21"/>
        <v>0.77729257641921479</v>
      </c>
    </row>
    <row r="822" spans="1:8" x14ac:dyDescent="0.3">
      <c r="A822" s="17" t="s">
        <v>144</v>
      </c>
      <c r="C822">
        <v>174</v>
      </c>
      <c r="D822">
        <v>7</v>
      </c>
      <c r="G822">
        <v>2541.7574437182302</v>
      </c>
      <c r="H822" s="13">
        <f t="shared" si="21"/>
        <v>0.77559912854030666</v>
      </c>
    </row>
    <row r="823" spans="1:8" x14ac:dyDescent="0.3">
      <c r="A823" s="17" t="s">
        <v>144</v>
      </c>
      <c r="C823">
        <v>175</v>
      </c>
      <c r="D823">
        <v>8</v>
      </c>
      <c r="G823">
        <v>2532.5615050651199</v>
      </c>
      <c r="H823" s="13">
        <f t="shared" si="21"/>
        <v>0.77279305354558625</v>
      </c>
    </row>
    <row r="824" spans="1:8" x14ac:dyDescent="0.3">
      <c r="A824" s="17" t="s">
        <v>144</v>
      </c>
      <c r="C824">
        <v>176</v>
      </c>
      <c r="D824">
        <v>9</v>
      </c>
      <c r="G824">
        <v>2525.2525252525202</v>
      </c>
      <c r="H824" s="13">
        <f t="shared" si="21"/>
        <v>0.77056277056277001</v>
      </c>
    </row>
    <row r="825" spans="1:8" x14ac:dyDescent="0.3">
      <c r="A825" s="17" t="s">
        <v>144</v>
      </c>
      <c r="C825">
        <v>177</v>
      </c>
      <c r="D825">
        <v>10</v>
      </c>
      <c r="G825">
        <v>2514.3678160919499</v>
      </c>
      <c r="H825" s="13">
        <f t="shared" si="21"/>
        <v>0.76724137931034464</v>
      </c>
    </row>
    <row r="826" spans="1:8" x14ac:dyDescent="0.3">
      <c r="A826" s="17" t="s">
        <v>144</v>
      </c>
      <c r="C826">
        <v>178</v>
      </c>
      <c r="D826">
        <v>11</v>
      </c>
      <c r="G826">
        <v>2503.5765379113</v>
      </c>
      <c r="H826" s="13">
        <f t="shared" si="21"/>
        <v>0.7639484978540777</v>
      </c>
    </row>
    <row r="827" spans="1:8" x14ac:dyDescent="0.3">
      <c r="A827" s="17" t="s">
        <v>144</v>
      </c>
      <c r="C827">
        <v>179</v>
      </c>
      <c r="D827">
        <v>12</v>
      </c>
      <c r="G827">
        <v>2492.8774928774901</v>
      </c>
      <c r="H827" s="13">
        <f t="shared" si="21"/>
        <v>0.76068376068376087</v>
      </c>
    </row>
    <row r="828" spans="1:8" x14ac:dyDescent="0.3">
      <c r="A828" s="17" t="s">
        <v>144</v>
      </c>
      <c r="C828">
        <v>180</v>
      </c>
      <c r="D828">
        <v>13</v>
      </c>
      <c r="G828">
        <v>2482.2695035461002</v>
      </c>
      <c r="H828" s="13">
        <f t="shared" si="21"/>
        <v>0.75744680851063961</v>
      </c>
    </row>
    <row r="829" spans="1:8" x14ac:dyDescent="0.3">
      <c r="A829" s="17" t="s">
        <v>145</v>
      </c>
      <c r="C829">
        <v>0</v>
      </c>
      <c r="D829">
        <v>14</v>
      </c>
      <c r="H829" s="13"/>
    </row>
    <row r="830" spans="1:8" x14ac:dyDescent="0.3">
      <c r="A830" s="17" t="s">
        <v>145</v>
      </c>
      <c r="C830">
        <v>1</v>
      </c>
      <c r="D830">
        <v>15</v>
      </c>
      <c r="H830" s="13"/>
    </row>
    <row r="831" spans="1:8" x14ac:dyDescent="0.3">
      <c r="A831" s="17" t="s">
        <v>145</v>
      </c>
      <c r="C831">
        <v>2</v>
      </c>
      <c r="D831">
        <v>16</v>
      </c>
      <c r="H831" s="13"/>
    </row>
    <row r="832" spans="1:8" x14ac:dyDescent="0.3">
      <c r="A832" s="17" t="s">
        <v>145</v>
      </c>
      <c r="C832">
        <v>3</v>
      </c>
      <c r="D832">
        <v>17</v>
      </c>
      <c r="H832" s="13"/>
    </row>
    <row r="833" spans="1:8" x14ac:dyDescent="0.3">
      <c r="A833" s="17" t="s">
        <v>145</v>
      </c>
      <c r="C833">
        <v>4</v>
      </c>
      <c r="D833">
        <v>18</v>
      </c>
      <c r="H833" s="13"/>
    </row>
    <row r="834" spans="1:8" x14ac:dyDescent="0.3">
      <c r="A834" s="17" t="s">
        <v>145</v>
      </c>
      <c r="C834">
        <v>5</v>
      </c>
      <c r="D834">
        <v>19</v>
      </c>
      <c r="H834" s="13"/>
    </row>
    <row r="835" spans="1:8" x14ac:dyDescent="0.3">
      <c r="A835" s="17" t="s">
        <v>145</v>
      </c>
      <c r="C835">
        <v>6</v>
      </c>
      <c r="D835">
        <v>20</v>
      </c>
      <c r="H835" s="13"/>
    </row>
    <row r="836" spans="1:8" x14ac:dyDescent="0.3">
      <c r="A836" s="17" t="s">
        <v>145</v>
      </c>
      <c r="C836">
        <v>7</v>
      </c>
      <c r="D836">
        <v>21</v>
      </c>
      <c r="H836" s="13"/>
    </row>
    <row r="837" spans="1:8" x14ac:dyDescent="0.3">
      <c r="A837" s="17" t="s">
        <v>145</v>
      </c>
      <c r="C837">
        <v>8</v>
      </c>
      <c r="D837">
        <v>22</v>
      </c>
      <c r="H837" s="13"/>
    </row>
    <row r="838" spans="1:8" x14ac:dyDescent="0.3">
      <c r="A838" s="17" t="s">
        <v>145</v>
      </c>
      <c r="C838">
        <v>9</v>
      </c>
      <c r="D838">
        <v>23</v>
      </c>
      <c r="H838" s="13"/>
    </row>
    <row r="839" spans="1:8" x14ac:dyDescent="0.3">
      <c r="A839" s="17" t="s">
        <v>145</v>
      </c>
      <c r="C839">
        <v>10</v>
      </c>
      <c r="D839">
        <v>24</v>
      </c>
      <c r="H839" s="13"/>
    </row>
    <row r="840" spans="1:8" x14ac:dyDescent="0.3">
      <c r="A840" s="17" t="s">
        <v>145</v>
      </c>
      <c r="C840">
        <v>11</v>
      </c>
      <c r="D840">
        <v>25</v>
      </c>
      <c r="H840" s="13"/>
    </row>
    <row r="841" spans="1:8" x14ac:dyDescent="0.3">
      <c r="A841" s="17" t="s">
        <v>145</v>
      </c>
      <c r="C841">
        <v>12</v>
      </c>
      <c r="D841">
        <v>26</v>
      </c>
      <c r="H841" s="13"/>
    </row>
    <row r="842" spans="1:8" x14ac:dyDescent="0.3">
      <c r="A842" s="17" t="s">
        <v>145</v>
      </c>
      <c r="C842">
        <v>13</v>
      </c>
      <c r="D842">
        <v>27</v>
      </c>
      <c r="H842" s="13"/>
    </row>
    <row r="843" spans="1:8" x14ac:dyDescent="0.3">
      <c r="A843" s="17" t="s">
        <v>145</v>
      </c>
      <c r="C843">
        <v>14</v>
      </c>
      <c r="D843">
        <v>28</v>
      </c>
      <c r="H843" s="13"/>
    </row>
    <row r="844" spans="1:8" x14ac:dyDescent="0.3">
      <c r="A844" s="17" t="s">
        <v>145</v>
      </c>
      <c r="C844">
        <v>15</v>
      </c>
      <c r="D844">
        <v>29</v>
      </c>
      <c r="H844" s="13"/>
    </row>
    <row r="845" spans="1:8" x14ac:dyDescent="0.3">
      <c r="A845" s="17" t="s">
        <v>145</v>
      </c>
      <c r="C845">
        <v>16</v>
      </c>
      <c r="D845">
        <v>30</v>
      </c>
      <c r="H845" s="13"/>
    </row>
    <row r="846" spans="1:8" x14ac:dyDescent="0.3">
      <c r="A846" s="17" t="s">
        <v>145</v>
      </c>
      <c r="C846">
        <v>17</v>
      </c>
      <c r="D846">
        <v>31</v>
      </c>
      <c r="H846" s="13"/>
    </row>
    <row r="847" spans="1:8" x14ac:dyDescent="0.3">
      <c r="A847" s="17" t="s">
        <v>145</v>
      </c>
      <c r="C847">
        <v>18</v>
      </c>
      <c r="D847">
        <v>32</v>
      </c>
      <c r="H847" s="13"/>
    </row>
    <row r="848" spans="1:8" x14ac:dyDescent="0.3">
      <c r="A848" s="17" t="s">
        <v>145</v>
      </c>
      <c r="C848">
        <v>19</v>
      </c>
      <c r="D848">
        <v>33</v>
      </c>
      <c r="H848" s="13"/>
    </row>
    <row r="849" spans="1:8" x14ac:dyDescent="0.3">
      <c r="A849" s="17" t="s">
        <v>145</v>
      </c>
      <c r="C849">
        <v>20</v>
      </c>
      <c r="D849">
        <v>34</v>
      </c>
      <c r="H849" s="13"/>
    </row>
    <row r="850" spans="1:8" x14ac:dyDescent="0.3">
      <c r="A850" s="17" t="s">
        <v>145</v>
      </c>
      <c r="C850">
        <v>21</v>
      </c>
      <c r="D850">
        <v>35</v>
      </c>
      <c r="H850" s="13"/>
    </row>
    <row r="851" spans="1:8" x14ac:dyDescent="0.3">
      <c r="A851" s="17" t="s">
        <v>145</v>
      </c>
      <c r="C851">
        <v>22</v>
      </c>
      <c r="D851">
        <v>36</v>
      </c>
      <c r="H851" s="13"/>
    </row>
    <row r="852" spans="1:8" x14ac:dyDescent="0.3">
      <c r="A852" s="17" t="s">
        <v>145</v>
      </c>
      <c r="C852">
        <v>23</v>
      </c>
      <c r="D852">
        <v>37</v>
      </c>
      <c r="H852" s="13"/>
    </row>
    <row r="853" spans="1:8" x14ac:dyDescent="0.3">
      <c r="A853" s="17" t="s">
        <v>145</v>
      </c>
      <c r="C853">
        <v>24</v>
      </c>
      <c r="D853">
        <v>38</v>
      </c>
      <c r="H853" s="13"/>
    </row>
    <row r="854" spans="1:8" x14ac:dyDescent="0.3">
      <c r="A854" s="17" t="s">
        <v>145</v>
      </c>
      <c r="C854">
        <v>25</v>
      </c>
      <c r="D854">
        <v>39</v>
      </c>
      <c r="H854" s="13"/>
    </row>
    <row r="855" spans="1:8" x14ac:dyDescent="0.3">
      <c r="A855" s="17" t="s">
        <v>145</v>
      </c>
      <c r="C855">
        <v>26</v>
      </c>
      <c r="D855">
        <v>40</v>
      </c>
      <c r="H855" s="13"/>
    </row>
    <row r="856" spans="1:8" x14ac:dyDescent="0.3">
      <c r="A856" s="17" t="s">
        <v>145</v>
      </c>
      <c r="C856">
        <v>27</v>
      </c>
      <c r="D856">
        <v>41</v>
      </c>
      <c r="H856" s="13"/>
    </row>
    <row r="857" spans="1:8" x14ac:dyDescent="0.3">
      <c r="A857" s="17" t="s">
        <v>145</v>
      </c>
      <c r="C857">
        <v>28</v>
      </c>
      <c r="D857">
        <v>42</v>
      </c>
      <c r="H857" s="13"/>
    </row>
    <row r="858" spans="1:8" x14ac:dyDescent="0.3">
      <c r="A858" s="17" t="s">
        <v>145</v>
      </c>
      <c r="C858">
        <v>29</v>
      </c>
      <c r="D858">
        <v>43</v>
      </c>
      <c r="H858" s="13"/>
    </row>
    <row r="859" spans="1:8" x14ac:dyDescent="0.3">
      <c r="A859" s="17" t="s">
        <v>145</v>
      </c>
      <c r="C859">
        <v>30</v>
      </c>
      <c r="D859">
        <v>44</v>
      </c>
      <c r="H859" s="13"/>
    </row>
    <row r="860" spans="1:8" x14ac:dyDescent="0.3">
      <c r="A860" s="17" t="s">
        <v>145</v>
      </c>
      <c r="C860">
        <v>31</v>
      </c>
      <c r="D860">
        <v>45</v>
      </c>
      <c r="H860" s="13"/>
    </row>
    <row r="861" spans="1:8" x14ac:dyDescent="0.3">
      <c r="A861" s="17" t="s">
        <v>145</v>
      </c>
      <c r="C861">
        <v>32</v>
      </c>
      <c r="D861">
        <v>46</v>
      </c>
      <c r="H861" s="13"/>
    </row>
    <row r="862" spans="1:8" x14ac:dyDescent="0.3">
      <c r="A862" s="17" t="s">
        <v>145</v>
      </c>
      <c r="C862">
        <v>33</v>
      </c>
      <c r="D862">
        <v>47</v>
      </c>
      <c r="H862" s="13"/>
    </row>
    <row r="863" spans="1:8" x14ac:dyDescent="0.3">
      <c r="A863" s="17" t="s">
        <v>145</v>
      </c>
      <c r="C863">
        <v>34</v>
      </c>
      <c r="D863">
        <v>48</v>
      </c>
      <c r="H863" s="13"/>
    </row>
    <row r="864" spans="1:8" x14ac:dyDescent="0.3">
      <c r="A864" s="17" t="s">
        <v>145</v>
      </c>
      <c r="C864">
        <v>35</v>
      </c>
      <c r="D864">
        <v>49</v>
      </c>
      <c r="H864" s="13"/>
    </row>
    <row r="865" spans="1:8" x14ac:dyDescent="0.3">
      <c r="A865" s="17" t="s">
        <v>145</v>
      </c>
      <c r="C865">
        <v>36</v>
      </c>
      <c r="D865">
        <v>50</v>
      </c>
      <c r="H865" s="13"/>
    </row>
    <row r="866" spans="1:8" x14ac:dyDescent="0.3">
      <c r="A866" s="17" t="s">
        <v>145</v>
      </c>
      <c r="C866">
        <v>37</v>
      </c>
      <c r="D866">
        <v>51</v>
      </c>
      <c r="H866" s="13"/>
    </row>
    <row r="867" spans="1:8" x14ac:dyDescent="0.3">
      <c r="A867" s="17" t="s">
        <v>145</v>
      </c>
      <c r="C867">
        <v>38</v>
      </c>
      <c r="D867">
        <v>52</v>
      </c>
      <c r="H867" s="13"/>
    </row>
    <row r="868" spans="1:8" x14ac:dyDescent="0.3">
      <c r="A868" s="17" t="s">
        <v>145</v>
      </c>
      <c r="C868">
        <v>39</v>
      </c>
      <c r="D868">
        <v>53</v>
      </c>
      <c r="H868" s="13"/>
    </row>
    <row r="869" spans="1:8" x14ac:dyDescent="0.3">
      <c r="A869" s="17" t="s">
        <v>145</v>
      </c>
      <c r="C869">
        <v>40</v>
      </c>
      <c r="D869">
        <v>54</v>
      </c>
      <c r="H869" s="13"/>
    </row>
    <row r="870" spans="1:8" x14ac:dyDescent="0.3">
      <c r="A870" s="17" t="s">
        <v>145</v>
      </c>
      <c r="C870">
        <v>41</v>
      </c>
      <c r="D870">
        <v>55</v>
      </c>
      <c r="H870" s="13"/>
    </row>
    <row r="871" spans="1:8" x14ac:dyDescent="0.3">
      <c r="A871" s="17" t="s">
        <v>145</v>
      </c>
      <c r="C871">
        <v>42</v>
      </c>
      <c r="D871">
        <v>56</v>
      </c>
      <c r="H871" s="13"/>
    </row>
    <row r="872" spans="1:8" x14ac:dyDescent="0.3">
      <c r="A872" s="17" t="s">
        <v>145</v>
      </c>
      <c r="C872">
        <v>43</v>
      </c>
      <c r="D872">
        <v>57</v>
      </c>
      <c r="H872" s="13"/>
    </row>
    <row r="873" spans="1:8" x14ac:dyDescent="0.3">
      <c r="A873" s="17" t="s">
        <v>145</v>
      </c>
      <c r="C873">
        <v>44</v>
      </c>
      <c r="D873">
        <v>58</v>
      </c>
      <c r="H873" s="13"/>
    </row>
    <row r="874" spans="1:8" x14ac:dyDescent="0.3">
      <c r="A874" s="17" t="s">
        <v>145</v>
      </c>
      <c r="C874">
        <v>45</v>
      </c>
      <c r="D874">
        <v>59</v>
      </c>
      <c r="H874" s="13"/>
    </row>
    <row r="875" spans="1:8" x14ac:dyDescent="0.3">
      <c r="A875" s="17" t="s">
        <v>145</v>
      </c>
      <c r="C875">
        <v>46</v>
      </c>
      <c r="D875">
        <v>60</v>
      </c>
      <c r="H875" s="13"/>
    </row>
    <row r="876" spans="1:8" x14ac:dyDescent="0.3">
      <c r="A876" s="17" t="s">
        <v>145</v>
      </c>
      <c r="C876">
        <v>47</v>
      </c>
      <c r="D876">
        <v>61</v>
      </c>
      <c r="H876" s="13"/>
    </row>
    <row r="877" spans="1:8" x14ac:dyDescent="0.3">
      <c r="A877" s="17" t="s">
        <v>145</v>
      </c>
      <c r="C877">
        <v>48</v>
      </c>
      <c r="D877">
        <v>62</v>
      </c>
      <c r="H877" s="13"/>
    </row>
    <row r="878" spans="1:8" x14ac:dyDescent="0.3">
      <c r="A878" s="17" t="s">
        <v>145</v>
      </c>
      <c r="C878">
        <v>49</v>
      </c>
      <c r="D878">
        <v>63</v>
      </c>
      <c r="H878" s="13"/>
    </row>
    <row r="879" spans="1:8" x14ac:dyDescent="0.3">
      <c r="A879" s="17" t="s">
        <v>145</v>
      </c>
      <c r="C879">
        <v>50</v>
      </c>
      <c r="D879">
        <v>64</v>
      </c>
      <c r="H879" s="13"/>
    </row>
    <row r="880" spans="1:8" x14ac:dyDescent="0.3">
      <c r="A880" s="17" t="s">
        <v>145</v>
      </c>
      <c r="C880">
        <v>51</v>
      </c>
      <c r="D880">
        <v>65</v>
      </c>
      <c r="H880" s="13"/>
    </row>
    <row r="881" spans="1:8" x14ac:dyDescent="0.3">
      <c r="A881" s="17" t="s">
        <v>145</v>
      </c>
      <c r="C881">
        <v>52</v>
      </c>
      <c r="D881">
        <v>66</v>
      </c>
      <c r="H881" s="13"/>
    </row>
    <row r="882" spans="1:8" x14ac:dyDescent="0.3">
      <c r="A882" s="17" t="s">
        <v>145</v>
      </c>
      <c r="C882">
        <v>53</v>
      </c>
      <c r="D882">
        <v>67</v>
      </c>
      <c r="H882" s="13"/>
    </row>
    <row r="883" spans="1:8" x14ac:dyDescent="0.3">
      <c r="A883" s="17" t="s">
        <v>145</v>
      </c>
      <c r="C883">
        <v>54</v>
      </c>
      <c r="D883">
        <v>68</v>
      </c>
      <c r="H883" s="13"/>
    </row>
    <row r="884" spans="1:8" x14ac:dyDescent="0.3">
      <c r="A884" s="17" t="s">
        <v>145</v>
      </c>
      <c r="C884">
        <v>55</v>
      </c>
      <c r="D884">
        <v>69</v>
      </c>
      <c r="H884" s="13"/>
    </row>
    <row r="885" spans="1:8" x14ac:dyDescent="0.3">
      <c r="A885" s="17" t="s">
        <v>145</v>
      </c>
      <c r="C885">
        <v>56</v>
      </c>
      <c r="D885">
        <v>70</v>
      </c>
      <c r="H885" s="13"/>
    </row>
    <row r="886" spans="1:8" x14ac:dyDescent="0.3">
      <c r="A886" s="17" t="s">
        <v>145</v>
      </c>
      <c r="C886">
        <v>57</v>
      </c>
      <c r="D886">
        <v>71</v>
      </c>
      <c r="H886" s="13"/>
    </row>
    <row r="887" spans="1:8" x14ac:dyDescent="0.3">
      <c r="A887" s="17" t="s">
        <v>145</v>
      </c>
      <c r="C887">
        <v>58</v>
      </c>
      <c r="D887">
        <v>72</v>
      </c>
      <c r="H887" s="13"/>
    </row>
    <row r="888" spans="1:8" x14ac:dyDescent="0.3">
      <c r="A888" s="17" t="s">
        <v>145</v>
      </c>
      <c r="C888">
        <v>59</v>
      </c>
      <c r="D888">
        <v>73</v>
      </c>
      <c r="H888" s="13"/>
    </row>
    <row r="889" spans="1:8" x14ac:dyDescent="0.3">
      <c r="A889" s="17" t="s">
        <v>145</v>
      </c>
      <c r="C889">
        <v>60</v>
      </c>
      <c r="D889">
        <v>74</v>
      </c>
      <c r="H889" s="13"/>
    </row>
    <row r="890" spans="1:8" x14ac:dyDescent="0.3">
      <c r="A890" s="17" t="s">
        <v>145</v>
      </c>
      <c r="C890">
        <v>61</v>
      </c>
      <c r="D890">
        <v>75</v>
      </c>
      <c r="H890" s="13"/>
    </row>
    <row r="891" spans="1:8" x14ac:dyDescent="0.3">
      <c r="A891" s="17" t="s">
        <v>145</v>
      </c>
      <c r="C891">
        <v>62</v>
      </c>
      <c r="D891">
        <v>76</v>
      </c>
      <c r="H891" s="13"/>
    </row>
    <row r="892" spans="1:8" x14ac:dyDescent="0.3">
      <c r="A892" s="17" t="s">
        <v>145</v>
      </c>
      <c r="C892">
        <v>63</v>
      </c>
      <c r="D892">
        <v>77</v>
      </c>
      <c r="H892" s="13"/>
    </row>
    <row r="893" spans="1:8" x14ac:dyDescent="0.3">
      <c r="A893" s="17" t="s">
        <v>145</v>
      </c>
      <c r="C893">
        <v>64</v>
      </c>
      <c r="D893">
        <v>78</v>
      </c>
      <c r="H893" s="13"/>
    </row>
    <row r="894" spans="1:8" x14ac:dyDescent="0.3">
      <c r="A894" s="17" t="s">
        <v>145</v>
      </c>
      <c r="C894">
        <v>65</v>
      </c>
      <c r="D894">
        <v>79</v>
      </c>
      <c r="H894" s="13"/>
    </row>
    <row r="895" spans="1:8" x14ac:dyDescent="0.3">
      <c r="A895" s="17" t="s">
        <v>145</v>
      </c>
      <c r="C895">
        <v>66</v>
      </c>
      <c r="D895">
        <v>80</v>
      </c>
      <c r="H895" s="13"/>
    </row>
    <row r="896" spans="1:8" x14ac:dyDescent="0.3">
      <c r="A896" s="17" t="s">
        <v>145</v>
      </c>
      <c r="C896">
        <v>67</v>
      </c>
      <c r="D896">
        <v>81</v>
      </c>
      <c r="H896" s="13"/>
    </row>
    <row r="897" spans="1:8" x14ac:dyDescent="0.3">
      <c r="A897" s="17" t="s">
        <v>145</v>
      </c>
      <c r="C897">
        <v>68</v>
      </c>
      <c r="D897">
        <v>82</v>
      </c>
      <c r="H897" s="13"/>
    </row>
    <row r="898" spans="1:8" x14ac:dyDescent="0.3">
      <c r="A898" s="17" t="s">
        <v>145</v>
      </c>
      <c r="C898">
        <v>69</v>
      </c>
      <c r="D898">
        <v>83</v>
      </c>
      <c r="H898" s="13"/>
    </row>
    <row r="899" spans="1:8" x14ac:dyDescent="0.3">
      <c r="A899" s="17" t="s">
        <v>145</v>
      </c>
      <c r="C899">
        <v>70</v>
      </c>
      <c r="D899">
        <v>84</v>
      </c>
      <c r="G899">
        <v>2931.3232830820798</v>
      </c>
      <c r="H899" s="13">
        <f t="shared" ref="H899:H922" si="22">G899/MAX($G$286:$G$1009)</f>
        <v>0.89447236180904721</v>
      </c>
    </row>
    <row r="900" spans="1:8" x14ac:dyDescent="0.3">
      <c r="A900" s="17" t="s">
        <v>145</v>
      </c>
      <c r="C900">
        <v>71</v>
      </c>
      <c r="D900">
        <v>85</v>
      </c>
      <c r="G900">
        <v>2943.6501261564299</v>
      </c>
      <c r="H900" s="13">
        <f t="shared" si="22"/>
        <v>0.89823380992430613</v>
      </c>
    </row>
    <row r="901" spans="1:8" x14ac:dyDescent="0.3">
      <c r="A901" s="17" t="s">
        <v>145</v>
      </c>
      <c r="C901">
        <v>72</v>
      </c>
      <c r="D901">
        <v>86</v>
      </c>
      <c r="G901">
        <v>2956.0810810810799</v>
      </c>
      <c r="H901" s="13">
        <f t="shared" si="22"/>
        <v>0.90202702702702786</v>
      </c>
    </row>
    <row r="902" spans="1:8" x14ac:dyDescent="0.3">
      <c r="A902" s="17" t="s">
        <v>145</v>
      </c>
      <c r="C902">
        <v>73</v>
      </c>
      <c r="D902">
        <v>87</v>
      </c>
      <c r="G902">
        <v>2971.1375212224102</v>
      </c>
      <c r="H902" s="13">
        <f t="shared" si="22"/>
        <v>0.90662139219015381</v>
      </c>
    </row>
    <row r="903" spans="1:8" x14ac:dyDescent="0.3">
      <c r="A903" s="17" t="s">
        <v>145</v>
      </c>
      <c r="C903">
        <v>74</v>
      </c>
      <c r="D903">
        <v>88</v>
      </c>
      <c r="G903">
        <v>2983.8022165387902</v>
      </c>
      <c r="H903" s="13">
        <f t="shared" si="22"/>
        <v>0.91048593350383777</v>
      </c>
    </row>
    <row r="904" spans="1:8" x14ac:dyDescent="0.3">
      <c r="A904" s="17" t="s">
        <v>145</v>
      </c>
      <c r="C904">
        <v>75</v>
      </c>
      <c r="D904">
        <v>89</v>
      </c>
      <c r="G904">
        <v>2996.5753424657501</v>
      </c>
      <c r="H904" s="13">
        <f t="shared" si="22"/>
        <v>0.91438356164383583</v>
      </c>
    </row>
    <row r="905" spans="1:8" x14ac:dyDescent="0.3">
      <c r="A905" s="17" t="s">
        <v>145</v>
      </c>
      <c r="C905">
        <v>76</v>
      </c>
      <c r="D905">
        <v>90</v>
      </c>
      <c r="G905">
        <v>3012.0481927710798</v>
      </c>
      <c r="H905" s="13">
        <f t="shared" si="22"/>
        <v>0.91910499139414792</v>
      </c>
    </row>
    <row r="906" spans="1:8" x14ac:dyDescent="0.3">
      <c r="A906" s="17" t="s">
        <v>145</v>
      </c>
      <c r="C906">
        <v>77</v>
      </c>
      <c r="D906">
        <v>91</v>
      </c>
      <c r="G906">
        <v>3025.0648228176301</v>
      </c>
      <c r="H906" s="13">
        <f t="shared" si="22"/>
        <v>0.92307692307692379</v>
      </c>
    </row>
    <row r="907" spans="1:8" x14ac:dyDescent="0.3">
      <c r="A907" s="17" t="s">
        <v>145</v>
      </c>
      <c r="C907">
        <v>78</v>
      </c>
      <c r="D907">
        <v>92</v>
      </c>
      <c r="G907">
        <v>3040.8340573414398</v>
      </c>
      <c r="H907" s="13">
        <f t="shared" si="22"/>
        <v>0.92788879235447486</v>
      </c>
    </row>
    <row r="908" spans="1:8" x14ac:dyDescent="0.3">
      <c r="A908" s="17" t="s">
        <v>145</v>
      </c>
      <c r="C908">
        <v>79</v>
      </c>
      <c r="D908">
        <v>93</v>
      </c>
      <c r="G908">
        <v>3054.1012216404902</v>
      </c>
      <c r="H908" s="13">
        <f t="shared" si="22"/>
        <v>0.93193717277487087</v>
      </c>
    </row>
    <row r="909" spans="1:8" x14ac:dyDescent="0.3">
      <c r="A909" s="17" t="s">
        <v>145</v>
      </c>
      <c r="C909">
        <v>80</v>
      </c>
      <c r="D909">
        <v>94</v>
      </c>
      <c r="G909">
        <v>3070.17543859649</v>
      </c>
      <c r="H909" s="13">
        <f t="shared" si="22"/>
        <v>0.93684210526315881</v>
      </c>
    </row>
    <row r="910" spans="1:8" x14ac:dyDescent="0.3">
      <c r="A910" s="17" t="s">
        <v>145</v>
      </c>
      <c r="C910">
        <v>81</v>
      </c>
      <c r="D910">
        <v>95</v>
      </c>
      <c r="G910">
        <v>3083.7004405286302</v>
      </c>
      <c r="H910" s="13">
        <f t="shared" si="22"/>
        <v>0.94096916299559474</v>
      </c>
    </row>
    <row r="911" spans="1:8" x14ac:dyDescent="0.3">
      <c r="A911" s="17" t="s">
        <v>145</v>
      </c>
      <c r="C911">
        <v>82</v>
      </c>
      <c r="D911">
        <v>96</v>
      </c>
      <c r="G911">
        <v>3100.08857395926</v>
      </c>
      <c r="H911" s="13">
        <f t="shared" si="22"/>
        <v>0.94596988485385547</v>
      </c>
    </row>
    <row r="912" spans="1:8" x14ac:dyDescent="0.3">
      <c r="A912" s="17" t="s">
        <v>145</v>
      </c>
      <c r="C912">
        <v>83</v>
      </c>
      <c r="D912">
        <v>97</v>
      </c>
      <c r="G912">
        <v>3113.8790035587199</v>
      </c>
      <c r="H912" s="13">
        <f t="shared" si="22"/>
        <v>0.9501779359430621</v>
      </c>
    </row>
    <row r="913" spans="1:8" x14ac:dyDescent="0.3">
      <c r="A913" s="17" t="s">
        <v>145</v>
      </c>
      <c r="C913">
        <v>84</v>
      </c>
      <c r="D913">
        <v>98</v>
      </c>
      <c r="G913">
        <v>3127.7926720286</v>
      </c>
      <c r="H913" s="13">
        <f t="shared" si="22"/>
        <v>0.95442359249329978</v>
      </c>
    </row>
    <row r="914" spans="1:8" x14ac:dyDescent="0.3">
      <c r="A914" s="17" t="s">
        <v>145</v>
      </c>
      <c r="C914">
        <v>85</v>
      </c>
      <c r="D914">
        <v>99</v>
      </c>
      <c r="G914">
        <v>3141.8312387791698</v>
      </c>
      <c r="H914" s="13">
        <f t="shared" si="22"/>
        <v>0.95870736086175934</v>
      </c>
    </row>
    <row r="915" spans="1:8" x14ac:dyDescent="0.3">
      <c r="A915" s="17" t="s">
        <v>145</v>
      </c>
      <c r="C915">
        <v>86</v>
      </c>
      <c r="D915">
        <v>100</v>
      </c>
      <c r="G915">
        <v>3153.15315315315</v>
      </c>
      <c r="H915" s="13">
        <f t="shared" si="22"/>
        <v>0.96216216216216244</v>
      </c>
    </row>
    <row r="916" spans="1:8" x14ac:dyDescent="0.3">
      <c r="A916" s="17" t="s">
        <v>145</v>
      </c>
      <c r="C916">
        <v>87</v>
      </c>
      <c r="D916">
        <v>101</v>
      </c>
      <c r="G916">
        <v>3164.55696202532</v>
      </c>
      <c r="H916" s="13">
        <f t="shared" si="22"/>
        <v>0.96564195298372746</v>
      </c>
    </row>
    <row r="917" spans="1:8" x14ac:dyDescent="0.3">
      <c r="A917" s="17" t="s">
        <v>145</v>
      </c>
      <c r="C917">
        <v>88</v>
      </c>
      <c r="D917">
        <v>102</v>
      </c>
      <c r="G917">
        <v>3176.0435571687799</v>
      </c>
      <c r="H917" s="13">
        <f t="shared" si="22"/>
        <v>0.96914700544464616</v>
      </c>
    </row>
    <row r="918" spans="1:8" x14ac:dyDescent="0.3">
      <c r="A918" s="17" t="s">
        <v>145</v>
      </c>
      <c r="C918">
        <v>89</v>
      </c>
      <c r="D918">
        <v>103</v>
      </c>
      <c r="G918">
        <v>3187.6138433515498</v>
      </c>
      <c r="H918" s="13">
        <f t="shared" si="22"/>
        <v>0.97267759562841705</v>
      </c>
    </row>
    <row r="919" spans="1:8" x14ac:dyDescent="0.3">
      <c r="A919" s="17" t="s">
        <v>145</v>
      </c>
      <c r="C919">
        <v>90</v>
      </c>
      <c r="D919">
        <v>104</v>
      </c>
      <c r="G919">
        <v>3193.4306569343098</v>
      </c>
      <c r="H919" s="13">
        <f t="shared" si="22"/>
        <v>0.97445255474452785</v>
      </c>
    </row>
    <row r="920" spans="1:8" x14ac:dyDescent="0.3">
      <c r="A920" s="17" t="s">
        <v>145</v>
      </c>
      <c r="C920">
        <v>91</v>
      </c>
      <c r="D920">
        <v>105</v>
      </c>
      <c r="G920">
        <v>3202.1957913998199</v>
      </c>
      <c r="H920" s="13">
        <f t="shared" si="22"/>
        <v>0.97712717291857487</v>
      </c>
    </row>
    <row r="921" spans="1:8" x14ac:dyDescent="0.3">
      <c r="A921" s="17" t="s">
        <v>145</v>
      </c>
      <c r="C921">
        <v>92</v>
      </c>
      <c r="D921">
        <v>106</v>
      </c>
      <c r="G921">
        <v>3208.06599450046</v>
      </c>
      <c r="H921" s="13">
        <f t="shared" si="22"/>
        <v>0.97891842346471314</v>
      </c>
    </row>
    <row r="922" spans="1:8" x14ac:dyDescent="0.3">
      <c r="A922" s="17" t="s">
        <v>145</v>
      </c>
      <c r="C922">
        <v>93</v>
      </c>
      <c r="D922">
        <v>107</v>
      </c>
      <c r="G922">
        <v>3211.0091743119301</v>
      </c>
      <c r="H922" s="13">
        <f t="shared" si="22"/>
        <v>0.97981651376147028</v>
      </c>
    </row>
    <row r="923" spans="1:8" x14ac:dyDescent="0.3">
      <c r="A923" s="17" t="s">
        <v>145</v>
      </c>
      <c r="C923">
        <v>94</v>
      </c>
      <c r="D923">
        <v>108</v>
      </c>
      <c r="H923" s="13"/>
    </row>
    <row r="924" spans="1:8" x14ac:dyDescent="0.3">
      <c r="A924" s="17" t="s">
        <v>145</v>
      </c>
      <c r="C924">
        <v>95</v>
      </c>
      <c r="D924">
        <v>109</v>
      </c>
      <c r="H924" s="13"/>
    </row>
    <row r="925" spans="1:8" x14ac:dyDescent="0.3">
      <c r="A925" s="17" t="s">
        <v>145</v>
      </c>
      <c r="C925">
        <v>96</v>
      </c>
      <c r="D925">
        <v>110</v>
      </c>
      <c r="H925" s="13"/>
    </row>
    <row r="926" spans="1:8" x14ac:dyDescent="0.3">
      <c r="A926" s="17" t="s">
        <v>145</v>
      </c>
      <c r="C926">
        <v>97</v>
      </c>
      <c r="D926">
        <v>111</v>
      </c>
      <c r="H926" s="13"/>
    </row>
    <row r="927" spans="1:8" x14ac:dyDescent="0.3">
      <c r="A927" s="17" t="s">
        <v>145</v>
      </c>
      <c r="C927">
        <v>98</v>
      </c>
      <c r="D927">
        <v>112</v>
      </c>
      <c r="H927" s="13"/>
    </row>
    <row r="928" spans="1:8" x14ac:dyDescent="0.3">
      <c r="A928" s="17" t="s">
        <v>145</v>
      </c>
      <c r="C928">
        <v>99</v>
      </c>
      <c r="D928">
        <v>113</v>
      </c>
      <c r="H928" s="13"/>
    </row>
    <row r="929" spans="1:8" x14ac:dyDescent="0.3">
      <c r="A929" s="17" t="s">
        <v>145</v>
      </c>
      <c r="C929">
        <v>100</v>
      </c>
      <c r="D929">
        <v>114</v>
      </c>
      <c r="H929" s="13"/>
    </row>
    <row r="930" spans="1:8" x14ac:dyDescent="0.3">
      <c r="A930" s="17" t="s">
        <v>145</v>
      </c>
      <c r="C930">
        <v>101</v>
      </c>
      <c r="D930">
        <v>115</v>
      </c>
      <c r="H930" s="13"/>
    </row>
    <row r="931" spans="1:8" x14ac:dyDescent="0.3">
      <c r="A931" s="17" t="s">
        <v>145</v>
      </c>
      <c r="C931">
        <v>102</v>
      </c>
      <c r="D931">
        <v>116</v>
      </c>
      <c r="H931" s="13"/>
    </row>
    <row r="932" spans="1:8" x14ac:dyDescent="0.3">
      <c r="A932" s="17" t="s">
        <v>145</v>
      </c>
      <c r="C932">
        <v>103</v>
      </c>
      <c r="D932">
        <v>117</v>
      </c>
      <c r="H932" s="13"/>
    </row>
    <row r="933" spans="1:8" x14ac:dyDescent="0.3">
      <c r="A933" s="17" t="s">
        <v>145</v>
      </c>
      <c r="C933">
        <v>104</v>
      </c>
      <c r="D933">
        <v>118</v>
      </c>
      <c r="H933" s="13"/>
    </row>
    <row r="934" spans="1:8" x14ac:dyDescent="0.3">
      <c r="A934" s="17" t="s">
        <v>145</v>
      </c>
      <c r="C934">
        <v>105</v>
      </c>
      <c r="D934">
        <v>119</v>
      </c>
      <c r="H934" s="13"/>
    </row>
    <row r="935" spans="1:8" x14ac:dyDescent="0.3">
      <c r="A935" s="17" t="s">
        <v>145</v>
      </c>
      <c r="C935">
        <v>106</v>
      </c>
      <c r="D935">
        <v>120</v>
      </c>
      <c r="H935" s="13"/>
    </row>
    <row r="936" spans="1:8" x14ac:dyDescent="0.3">
      <c r="A936" s="17" t="s">
        <v>145</v>
      </c>
      <c r="C936">
        <v>107</v>
      </c>
      <c r="D936">
        <v>121</v>
      </c>
      <c r="H936" s="13"/>
    </row>
    <row r="937" spans="1:8" x14ac:dyDescent="0.3">
      <c r="A937" s="17" t="s">
        <v>145</v>
      </c>
      <c r="C937">
        <v>108</v>
      </c>
      <c r="D937">
        <v>122</v>
      </c>
      <c r="H937" s="13"/>
    </row>
    <row r="938" spans="1:8" x14ac:dyDescent="0.3">
      <c r="A938" s="17" t="s">
        <v>145</v>
      </c>
      <c r="C938">
        <v>109</v>
      </c>
      <c r="D938">
        <v>123</v>
      </c>
      <c r="H938" s="13"/>
    </row>
    <row r="939" spans="1:8" x14ac:dyDescent="0.3">
      <c r="A939" s="17" t="s">
        <v>145</v>
      </c>
      <c r="C939">
        <v>110</v>
      </c>
      <c r="D939">
        <v>124</v>
      </c>
      <c r="H939" s="13"/>
    </row>
    <row r="940" spans="1:8" x14ac:dyDescent="0.3">
      <c r="A940" s="17" t="s">
        <v>145</v>
      </c>
      <c r="C940">
        <v>111</v>
      </c>
      <c r="D940">
        <v>125</v>
      </c>
      <c r="H940" s="13"/>
    </row>
    <row r="941" spans="1:8" x14ac:dyDescent="0.3">
      <c r="A941" s="17" t="s">
        <v>145</v>
      </c>
      <c r="C941">
        <v>112</v>
      </c>
      <c r="D941">
        <v>126</v>
      </c>
      <c r="H941" s="13"/>
    </row>
    <row r="942" spans="1:8" x14ac:dyDescent="0.3">
      <c r="A942" s="17" t="s">
        <v>145</v>
      </c>
      <c r="C942">
        <v>113</v>
      </c>
      <c r="D942">
        <v>127</v>
      </c>
      <c r="H942" s="13"/>
    </row>
    <row r="943" spans="1:8" x14ac:dyDescent="0.3">
      <c r="A943" s="17" t="s">
        <v>145</v>
      </c>
      <c r="C943">
        <v>114</v>
      </c>
      <c r="D943">
        <v>128</v>
      </c>
      <c r="H943" s="13"/>
    </row>
    <row r="944" spans="1:8" x14ac:dyDescent="0.3">
      <c r="A944" s="17" t="s">
        <v>145</v>
      </c>
      <c r="C944">
        <v>115</v>
      </c>
      <c r="D944">
        <v>129</v>
      </c>
      <c r="H944" s="13"/>
    </row>
    <row r="945" spans="1:8" x14ac:dyDescent="0.3">
      <c r="A945" s="17" t="s">
        <v>145</v>
      </c>
      <c r="C945">
        <v>116</v>
      </c>
      <c r="D945">
        <v>130</v>
      </c>
      <c r="H945" s="13"/>
    </row>
    <row r="946" spans="1:8" x14ac:dyDescent="0.3">
      <c r="A946" s="17" t="s">
        <v>145</v>
      </c>
      <c r="C946">
        <v>117</v>
      </c>
      <c r="D946">
        <v>131</v>
      </c>
      <c r="H946" s="13"/>
    </row>
    <row r="947" spans="1:8" x14ac:dyDescent="0.3">
      <c r="A947" s="17" t="s">
        <v>145</v>
      </c>
      <c r="C947">
        <v>118</v>
      </c>
      <c r="D947">
        <v>132</v>
      </c>
      <c r="H947" s="13"/>
    </row>
    <row r="948" spans="1:8" x14ac:dyDescent="0.3">
      <c r="A948" s="17" t="s">
        <v>145</v>
      </c>
      <c r="C948">
        <v>119</v>
      </c>
      <c r="D948">
        <v>133</v>
      </c>
      <c r="H948" s="13"/>
    </row>
    <row r="949" spans="1:8" x14ac:dyDescent="0.3">
      <c r="A949" s="17" t="s">
        <v>145</v>
      </c>
      <c r="C949">
        <v>120</v>
      </c>
      <c r="D949">
        <v>134</v>
      </c>
      <c r="H949" s="13"/>
    </row>
    <row r="950" spans="1:8" x14ac:dyDescent="0.3">
      <c r="A950" s="17" t="s">
        <v>145</v>
      </c>
      <c r="C950">
        <v>121</v>
      </c>
      <c r="D950">
        <v>135</v>
      </c>
      <c r="H950" s="13"/>
    </row>
    <row r="951" spans="1:8" x14ac:dyDescent="0.3">
      <c r="A951" s="17" t="s">
        <v>145</v>
      </c>
      <c r="C951">
        <v>122</v>
      </c>
      <c r="D951">
        <v>136</v>
      </c>
      <c r="H951" s="13"/>
    </row>
    <row r="952" spans="1:8" x14ac:dyDescent="0.3">
      <c r="A952" s="17" t="s">
        <v>145</v>
      </c>
      <c r="C952">
        <v>123</v>
      </c>
      <c r="D952">
        <v>137</v>
      </c>
      <c r="H952" s="13"/>
    </row>
    <row r="953" spans="1:8" x14ac:dyDescent="0.3">
      <c r="A953" s="17" t="s">
        <v>145</v>
      </c>
      <c r="C953">
        <v>124</v>
      </c>
      <c r="D953">
        <v>138</v>
      </c>
      <c r="H953" s="13"/>
    </row>
    <row r="954" spans="1:8" x14ac:dyDescent="0.3">
      <c r="A954" s="17" t="s">
        <v>145</v>
      </c>
      <c r="C954">
        <v>125</v>
      </c>
      <c r="D954">
        <v>139</v>
      </c>
      <c r="H954" s="13"/>
    </row>
    <row r="955" spans="1:8" x14ac:dyDescent="0.3">
      <c r="A955" s="17" t="s">
        <v>145</v>
      </c>
      <c r="C955">
        <v>126</v>
      </c>
      <c r="D955">
        <v>140</v>
      </c>
      <c r="H955" s="13"/>
    </row>
    <row r="956" spans="1:8" x14ac:dyDescent="0.3">
      <c r="A956" s="17" t="s">
        <v>145</v>
      </c>
      <c r="C956">
        <v>127</v>
      </c>
      <c r="D956">
        <v>141</v>
      </c>
      <c r="H956" s="13"/>
    </row>
    <row r="957" spans="1:8" x14ac:dyDescent="0.3">
      <c r="A957" s="17" t="s">
        <v>145</v>
      </c>
      <c r="C957">
        <v>128</v>
      </c>
      <c r="D957">
        <v>142</v>
      </c>
      <c r="H957" s="13"/>
    </row>
    <row r="958" spans="1:8" x14ac:dyDescent="0.3">
      <c r="A958" s="17" t="s">
        <v>145</v>
      </c>
      <c r="C958">
        <v>129</v>
      </c>
      <c r="D958">
        <v>143</v>
      </c>
      <c r="H958" s="13"/>
    </row>
    <row r="959" spans="1:8" x14ac:dyDescent="0.3">
      <c r="A959" s="17" t="s">
        <v>145</v>
      </c>
      <c r="C959">
        <v>130</v>
      </c>
      <c r="D959">
        <v>144</v>
      </c>
      <c r="H959" s="13"/>
    </row>
    <row r="960" spans="1:8" x14ac:dyDescent="0.3">
      <c r="A960" s="17" t="s">
        <v>145</v>
      </c>
      <c r="C960">
        <v>131</v>
      </c>
      <c r="D960">
        <v>145</v>
      </c>
      <c r="H960" s="13"/>
    </row>
    <row r="961" spans="1:8" x14ac:dyDescent="0.3">
      <c r="A961" s="17" t="s">
        <v>145</v>
      </c>
      <c r="C961">
        <v>132</v>
      </c>
      <c r="D961">
        <v>146</v>
      </c>
      <c r="H961" s="13"/>
    </row>
    <row r="962" spans="1:8" x14ac:dyDescent="0.3">
      <c r="A962" s="17" t="s">
        <v>145</v>
      </c>
      <c r="C962">
        <v>133</v>
      </c>
      <c r="D962">
        <v>147</v>
      </c>
      <c r="H962" s="13"/>
    </row>
    <row r="963" spans="1:8" x14ac:dyDescent="0.3">
      <c r="A963" s="17" t="s">
        <v>145</v>
      </c>
      <c r="C963">
        <v>134</v>
      </c>
      <c r="D963">
        <v>148</v>
      </c>
      <c r="H963" s="13"/>
    </row>
    <row r="964" spans="1:8" x14ac:dyDescent="0.3">
      <c r="A964" s="17" t="s">
        <v>145</v>
      </c>
      <c r="C964">
        <v>135</v>
      </c>
      <c r="D964">
        <v>149</v>
      </c>
      <c r="H964" s="13"/>
    </row>
    <row r="965" spans="1:8" x14ac:dyDescent="0.3">
      <c r="A965" s="17" t="s">
        <v>145</v>
      </c>
      <c r="C965">
        <v>136</v>
      </c>
      <c r="D965">
        <v>150</v>
      </c>
      <c r="H965" s="13"/>
    </row>
    <row r="966" spans="1:8" x14ac:dyDescent="0.3">
      <c r="A966" s="17" t="s">
        <v>145</v>
      </c>
      <c r="C966">
        <v>137</v>
      </c>
      <c r="D966">
        <v>151</v>
      </c>
      <c r="H966" s="13"/>
    </row>
    <row r="967" spans="1:8" x14ac:dyDescent="0.3">
      <c r="A967" s="17" t="s">
        <v>145</v>
      </c>
      <c r="C967">
        <v>138</v>
      </c>
      <c r="D967">
        <v>152</v>
      </c>
      <c r="H967" s="13"/>
    </row>
    <row r="968" spans="1:8" x14ac:dyDescent="0.3">
      <c r="A968" s="17" t="s">
        <v>145</v>
      </c>
      <c r="C968">
        <v>139</v>
      </c>
      <c r="D968">
        <v>153</v>
      </c>
      <c r="H968" s="13"/>
    </row>
    <row r="969" spans="1:8" x14ac:dyDescent="0.3">
      <c r="A969" s="17" t="s">
        <v>145</v>
      </c>
      <c r="C969">
        <v>140</v>
      </c>
      <c r="D969">
        <v>154</v>
      </c>
      <c r="H969" s="13"/>
    </row>
    <row r="970" spans="1:8" x14ac:dyDescent="0.3">
      <c r="A970" s="17" t="s">
        <v>145</v>
      </c>
      <c r="C970">
        <v>141</v>
      </c>
      <c r="D970">
        <v>155</v>
      </c>
      <c r="H970" s="13"/>
    </row>
    <row r="971" spans="1:8" x14ac:dyDescent="0.3">
      <c r="A971" s="17" t="s">
        <v>145</v>
      </c>
      <c r="C971">
        <v>142</v>
      </c>
      <c r="D971">
        <v>156</v>
      </c>
      <c r="H971" s="13"/>
    </row>
    <row r="972" spans="1:8" x14ac:dyDescent="0.3">
      <c r="A972" s="17" t="s">
        <v>145</v>
      </c>
      <c r="C972">
        <v>143</v>
      </c>
      <c r="D972">
        <v>157</v>
      </c>
      <c r="H972" s="13"/>
    </row>
    <row r="973" spans="1:8" x14ac:dyDescent="0.3">
      <c r="A973" s="17" t="s">
        <v>145</v>
      </c>
      <c r="C973">
        <v>144</v>
      </c>
      <c r="D973">
        <v>158</v>
      </c>
      <c r="H973" s="13"/>
    </row>
    <row r="974" spans="1:8" x14ac:dyDescent="0.3">
      <c r="A974" s="17" t="s">
        <v>145</v>
      </c>
      <c r="C974">
        <v>145</v>
      </c>
      <c r="D974">
        <v>159</v>
      </c>
      <c r="H974" s="13"/>
    </row>
    <row r="975" spans="1:8" x14ac:dyDescent="0.3">
      <c r="A975" s="17" t="s">
        <v>145</v>
      </c>
      <c r="C975">
        <v>146</v>
      </c>
      <c r="D975">
        <v>160</v>
      </c>
      <c r="H975" s="13"/>
    </row>
    <row r="976" spans="1:8" x14ac:dyDescent="0.3">
      <c r="A976" s="17" t="s">
        <v>145</v>
      </c>
      <c r="C976">
        <v>147</v>
      </c>
      <c r="D976">
        <v>161</v>
      </c>
      <c r="H976" s="13"/>
    </row>
    <row r="977" spans="1:8" x14ac:dyDescent="0.3">
      <c r="A977" s="17" t="s">
        <v>145</v>
      </c>
      <c r="C977">
        <v>148</v>
      </c>
      <c r="D977">
        <v>162</v>
      </c>
      <c r="H977" s="13"/>
    </row>
    <row r="978" spans="1:8" x14ac:dyDescent="0.3">
      <c r="A978" s="17" t="s">
        <v>145</v>
      </c>
      <c r="C978">
        <v>149</v>
      </c>
      <c r="D978">
        <v>163</v>
      </c>
      <c r="H978" s="13"/>
    </row>
    <row r="979" spans="1:8" x14ac:dyDescent="0.3">
      <c r="A979" s="17" t="s">
        <v>145</v>
      </c>
      <c r="C979">
        <v>150</v>
      </c>
      <c r="D979">
        <v>164</v>
      </c>
      <c r="H979" s="13"/>
    </row>
    <row r="980" spans="1:8" x14ac:dyDescent="0.3">
      <c r="A980" s="17" t="s">
        <v>145</v>
      </c>
      <c r="C980">
        <v>151</v>
      </c>
      <c r="D980">
        <v>165</v>
      </c>
      <c r="H980" s="13"/>
    </row>
    <row r="981" spans="1:8" x14ac:dyDescent="0.3">
      <c r="A981" s="17" t="s">
        <v>145</v>
      </c>
      <c r="C981">
        <v>152</v>
      </c>
      <c r="D981">
        <v>166</v>
      </c>
      <c r="H981" s="13"/>
    </row>
    <row r="982" spans="1:8" x14ac:dyDescent="0.3">
      <c r="A982" s="17" t="s">
        <v>145</v>
      </c>
      <c r="C982">
        <v>153</v>
      </c>
      <c r="D982">
        <v>167</v>
      </c>
      <c r="H982" s="13"/>
    </row>
    <row r="983" spans="1:8" x14ac:dyDescent="0.3">
      <c r="A983" s="17" t="s">
        <v>145</v>
      </c>
      <c r="C983">
        <v>154</v>
      </c>
      <c r="D983">
        <v>168</v>
      </c>
      <c r="H983" s="13"/>
    </row>
    <row r="984" spans="1:8" x14ac:dyDescent="0.3">
      <c r="A984" s="17" t="s">
        <v>145</v>
      </c>
      <c r="C984">
        <v>155</v>
      </c>
      <c r="D984">
        <v>169</v>
      </c>
      <c r="H984" s="13"/>
    </row>
    <row r="985" spans="1:8" x14ac:dyDescent="0.3">
      <c r="A985" s="17" t="s">
        <v>145</v>
      </c>
      <c r="C985">
        <v>156</v>
      </c>
      <c r="D985">
        <v>170</v>
      </c>
      <c r="H985" s="13"/>
    </row>
    <row r="986" spans="1:8" x14ac:dyDescent="0.3">
      <c r="A986" s="17" t="s">
        <v>145</v>
      </c>
      <c r="C986">
        <v>157</v>
      </c>
      <c r="D986">
        <v>171</v>
      </c>
      <c r="H986" s="13"/>
    </row>
    <row r="987" spans="1:8" x14ac:dyDescent="0.3">
      <c r="A987" s="17" t="s">
        <v>145</v>
      </c>
      <c r="C987">
        <v>158</v>
      </c>
      <c r="D987">
        <v>172</v>
      </c>
      <c r="H987" s="13"/>
    </row>
    <row r="988" spans="1:8" x14ac:dyDescent="0.3">
      <c r="A988" s="17" t="s">
        <v>145</v>
      </c>
      <c r="C988">
        <v>159</v>
      </c>
      <c r="D988">
        <v>173</v>
      </c>
      <c r="H988" s="13"/>
    </row>
    <row r="989" spans="1:8" x14ac:dyDescent="0.3">
      <c r="A989" s="17" t="s">
        <v>145</v>
      </c>
      <c r="C989">
        <v>160</v>
      </c>
      <c r="D989">
        <v>174</v>
      </c>
      <c r="H989" s="13"/>
    </row>
    <row r="990" spans="1:8" x14ac:dyDescent="0.3">
      <c r="A990" s="17" t="s">
        <v>145</v>
      </c>
      <c r="C990">
        <v>161</v>
      </c>
      <c r="D990">
        <v>175</v>
      </c>
      <c r="H990" s="13"/>
    </row>
    <row r="991" spans="1:8" x14ac:dyDescent="0.3">
      <c r="A991" s="17" t="s">
        <v>145</v>
      </c>
      <c r="C991">
        <v>162</v>
      </c>
      <c r="D991">
        <v>176</v>
      </c>
      <c r="H991" s="13"/>
    </row>
    <row r="992" spans="1:8" x14ac:dyDescent="0.3">
      <c r="A992" s="17" t="s">
        <v>145</v>
      </c>
      <c r="C992">
        <v>163</v>
      </c>
      <c r="D992">
        <v>177</v>
      </c>
      <c r="H992" s="13"/>
    </row>
    <row r="993" spans="1:8" x14ac:dyDescent="0.3">
      <c r="A993" s="17" t="s">
        <v>145</v>
      </c>
      <c r="C993">
        <v>164</v>
      </c>
      <c r="D993">
        <v>178</v>
      </c>
      <c r="H993" s="13"/>
    </row>
    <row r="994" spans="1:8" x14ac:dyDescent="0.3">
      <c r="A994" s="17" t="s">
        <v>145</v>
      </c>
      <c r="C994">
        <v>165</v>
      </c>
      <c r="D994">
        <v>179</v>
      </c>
      <c r="H994" s="13"/>
    </row>
    <row r="995" spans="1:8" x14ac:dyDescent="0.3">
      <c r="A995" s="17" t="s">
        <v>145</v>
      </c>
      <c r="C995">
        <v>166</v>
      </c>
      <c r="D995">
        <v>180</v>
      </c>
      <c r="H995" s="13"/>
    </row>
    <row r="996" spans="1:8" x14ac:dyDescent="0.3">
      <c r="A996" s="17" t="s">
        <v>145</v>
      </c>
      <c r="C996">
        <v>167</v>
      </c>
      <c r="D996">
        <v>0</v>
      </c>
      <c r="H996" s="13"/>
    </row>
    <row r="997" spans="1:8" x14ac:dyDescent="0.3">
      <c r="A997" s="17" t="s">
        <v>145</v>
      </c>
      <c r="C997">
        <v>168</v>
      </c>
      <c r="D997">
        <v>1</v>
      </c>
      <c r="H997" s="13"/>
    </row>
    <row r="998" spans="1:8" x14ac:dyDescent="0.3">
      <c r="A998" s="17" t="s">
        <v>145</v>
      </c>
      <c r="C998">
        <v>169</v>
      </c>
      <c r="D998">
        <v>2</v>
      </c>
      <c r="H998" s="13"/>
    </row>
    <row r="999" spans="1:8" x14ac:dyDescent="0.3">
      <c r="A999" s="17" t="s">
        <v>145</v>
      </c>
      <c r="C999">
        <v>170</v>
      </c>
      <c r="D999">
        <v>3</v>
      </c>
      <c r="H999" s="13"/>
    </row>
    <row r="1000" spans="1:8" x14ac:dyDescent="0.3">
      <c r="A1000" s="17" t="s">
        <v>145</v>
      </c>
      <c r="C1000">
        <v>171</v>
      </c>
      <c r="D1000">
        <v>4</v>
      </c>
      <c r="H1000" s="13"/>
    </row>
    <row r="1001" spans="1:8" x14ac:dyDescent="0.3">
      <c r="A1001" s="17" t="s">
        <v>145</v>
      </c>
      <c r="C1001">
        <v>172</v>
      </c>
      <c r="D1001">
        <v>5</v>
      </c>
      <c r="H1001" s="13"/>
    </row>
    <row r="1002" spans="1:8" x14ac:dyDescent="0.3">
      <c r="A1002" s="17" t="s">
        <v>145</v>
      </c>
      <c r="C1002">
        <v>173</v>
      </c>
      <c r="D1002">
        <v>6</v>
      </c>
      <c r="H1002" s="13"/>
    </row>
    <row r="1003" spans="1:8" x14ac:dyDescent="0.3">
      <c r="A1003" s="17" t="s">
        <v>145</v>
      </c>
      <c r="C1003">
        <v>174</v>
      </c>
      <c r="D1003">
        <v>7</v>
      </c>
      <c r="H1003" s="13"/>
    </row>
    <row r="1004" spans="1:8" x14ac:dyDescent="0.3">
      <c r="A1004" s="17" t="s">
        <v>145</v>
      </c>
      <c r="C1004">
        <v>175</v>
      </c>
      <c r="D1004">
        <v>8</v>
      </c>
      <c r="H1004" s="13"/>
    </row>
    <row r="1005" spans="1:8" x14ac:dyDescent="0.3">
      <c r="A1005" s="17" t="s">
        <v>145</v>
      </c>
      <c r="C1005">
        <v>176</v>
      </c>
      <c r="D1005">
        <v>9</v>
      </c>
      <c r="H1005" s="13"/>
    </row>
    <row r="1006" spans="1:8" x14ac:dyDescent="0.3">
      <c r="A1006" s="17" t="s">
        <v>145</v>
      </c>
      <c r="C1006">
        <v>177</v>
      </c>
      <c r="D1006">
        <v>10</v>
      </c>
      <c r="H1006" s="13"/>
    </row>
    <row r="1007" spans="1:8" x14ac:dyDescent="0.3">
      <c r="A1007" s="17" t="s">
        <v>145</v>
      </c>
      <c r="C1007">
        <v>178</v>
      </c>
      <c r="D1007">
        <v>11</v>
      </c>
      <c r="H1007" s="13"/>
    </row>
    <row r="1008" spans="1:8" x14ac:dyDescent="0.3">
      <c r="A1008" s="17" t="s">
        <v>145</v>
      </c>
      <c r="C1008">
        <v>179</v>
      </c>
      <c r="D1008">
        <v>12</v>
      </c>
      <c r="H1008" s="13"/>
    </row>
    <row r="1009" spans="1:8" x14ac:dyDescent="0.3">
      <c r="A1009" s="17" t="s">
        <v>145</v>
      </c>
      <c r="C1009">
        <v>180</v>
      </c>
      <c r="D1009">
        <v>13</v>
      </c>
      <c r="H1009" s="13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F1C3-0109-5D43-A41E-4837D0F441FC}">
  <dimension ref="A1:AI1009"/>
  <sheetViews>
    <sheetView topLeftCell="A30" zoomScale="23" zoomScaleNormal="93" workbookViewId="0">
      <selection activeCell="AD8" sqref="AD8"/>
    </sheetView>
  </sheetViews>
  <sheetFormatPr defaultColWidth="8.77734375" defaultRowHeight="14.4" x14ac:dyDescent="0.3"/>
  <cols>
    <col min="1" max="1" width="22.33203125" customWidth="1"/>
    <col min="5" max="5" width="22.6640625" bestFit="1" customWidth="1"/>
    <col min="6" max="6" width="36.6640625" customWidth="1"/>
    <col min="7" max="9" width="18.44140625" customWidth="1"/>
    <col min="10" max="11" width="19" customWidth="1"/>
    <col min="12" max="12" width="15.6640625" customWidth="1"/>
    <col min="13" max="13" width="15.44140625" customWidth="1"/>
    <col min="14" max="15" width="18.33203125" customWidth="1"/>
    <col min="16" max="16" width="15.44140625" customWidth="1"/>
    <col min="17" max="17" width="14.6640625" customWidth="1"/>
    <col min="18" max="18" width="15.6640625" customWidth="1"/>
    <col min="19" max="19" width="14.44140625" customWidth="1"/>
    <col min="20" max="20" width="14.6640625" customWidth="1"/>
    <col min="21" max="22" width="15.44140625" customWidth="1"/>
    <col min="23" max="23" width="16.44140625" customWidth="1"/>
    <col min="24" max="24" width="15.6640625" customWidth="1"/>
    <col min="26" max="26" width="14.109375" customWidth="1"/>
    <col min="27" max="27" width="20.6640625" customWidth="1"/>
    <col min="28" max="28" width="15.6640625" customWidth="1"/>
    <col min="29" max="29" width="11.6640625" customWidth="1"/>
    <col min="33" max="33" width="11.77734375" bestFit="1" customWidth="1"/>
    <col min="34" max="34" width="9.6640625" customWidth="1"/>
  </cols>
  <sheetData>
    <row r="1" spans="1:35" x14ac:dyDescent="0.3">
      <c r="E1" s="3" t="s">
        <v>40</v>
      </c>
      <c r="F1" s="3" t="s">
        <v>41</v>
      </c>
      <c r="G1" s="3" t="s">
        <v>42</v>
      </c>
      <c r="H1" s="3" t="s">
        <v>43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AA1" s="17" t="s">
        <v>114</v>
      </c>
      <c r="AB1" s="17"/>
    </row>
    <row r="2" spans="1:35" x14ac:dyDescent="0.3">
      <c r="E2" s="2">
        <v>45395</v>
      </c>
      <c r="F2" s="3" t="s">
        <v>44</v>
      </c>
      <c r="G2" s="3">
        <v>1000</v>
      </c>
      <c r="H2" s="3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35" ht="115.2" x14ac:dyDescent="0.3">
      <c r="E3" s="2">
        <v>45409</v>
      </c>
      <c r="F3" s="3"/>
      <c r="G3" s="3">
        <v>500</v>
      </c>
      <c r="H3" s="3">
        <v>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19" t="s">
        <v>135</v>
      </c>
      <c r="AA3" s="19" t="s">
        <v>115</v>
      </c>
      <c r="AB3" s="17" t="s">
        <v>136</v>
      </c>
      <c r="AC3" s="19" t="s">
        <v>129</v>
      </c>
      <c r="AD3" s="19" t="s">
        <v>128</v>
      </c>
      <c r="AE3" s="19" t="s">
        <v>134</v>
      </c>
      <c r="AF3" s="19" t="s">
        <v>133</v>
      </c>
      <c r="AG3" s="19"/>
      <c r="AH3" s="19"/>
      <c r="AI3" s="19"/>
    </row>
    <row r="4" spans="1:35" x14ac:dyDescent="0.3">
      <c r="E4" s="2">
        <v>45410</v>
      </c>
      <c r="F4" s="3" t="s">
        <v>45</v>
      </c>
      <c r="G4" s="3">
        <v>500</v>
      </c>
      <c r="H4" s="3">
        <v>10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17" t="s">
        <v>139</v>
      </c>
      <c r="AA4" s="17" t="s">
        <v>116</v>
      </c>
      <c r="AB4">
        <v>1</v>
      </c>
      <c r="AC4" s="17" t="s">
        <v>130</v>
      </c>
      <c r="AD4">
        <f>AVERAGE(G17:G19)</f>
        <v>2708.0799666666667</v>
      </c>
      <c r="AE4">
        <f>STDEV(G17:G19)</f>
        <v>6.1119714861084455</v>
      </c>
      <c r="AF4">
        <v>3</v>
      </c>
    </row>
    <row r="5" spans="1:35" x14ac:dyDescent="0.3">
      <c r="E5" s="2" t="s">
        <v>46</v>
      </c>
      <c r="F5" s="3" t="s">
        <v>47</v>
      </c>
      <c r="G5" s="3">
        <v>500</v>
      </c>
      <c r="H5" s="3">
        <v>10</v>
      </c>
      <c r="I5">
        <f>MAX($G$10:$G$285)</f>
        <v>3591.21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Z5" s="17" t="s">
        <v>139</v>
      </c>
      <c r="AA5" s="17" t="s">
        <v>117</v>
      </c>
      <c r="AB5">
        <f>AB4+1</f>
        <v>2</v>
      </c>
      <c r="AC5" s="17" t="s">
        <v>131</v>
      </c>
      <c r="AD5" s="11">
        <f>AVERAGE(G66:G68)</f>
        <v>2721.8733333333334</v>
      </c>
      <c r="AE5">
        <f>STDEV(G66:G68)</f>
        <v>12.408119653409695</v>
      </c>
      <c r="AF5">
        <v>3</v>
      </c>
      <c r="AH5" s="20"/>
    </row>
    <row r="6" spans="1:35" x14ac:dyDescent="0.3">
      <c r="E6" s="2">
        <v>45437</v>
      </c>
      <c r="F6" s="3" t="s">
        <v>48</v>
      </c>
      <c r="G6" s="3">
        <v>1000</v>
      </c>
      <c r="H6" s="3">
        <v>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Z6" s="17" t="s">
        <v>139</v>
      </c>
      <c r="AA6" s="17" t="s">
        <v>118</v>
      </c>
      <c r="AB6">
        <f>AB5+9</f>
        <v>11</v>
      </c>
      <c r="AC6" s="17" t="s">
        <v>131</v>
      </c>
      <c r="AD6" s="11">
        <f>AVERAGE(G112:G114)</f>
        <v>2760.9266666666667</v>
      </c>
      <c r="AE6">
        <f>STDEV(G112:G114)</f>
        <v>4.5606395750304971</v>
      </c>
      <c r="AF6">
        <v>3</v>
      </c>
      <c r="AH6" s="20"/>
    </row>
    <row r="7" spans="1:35" x14ac:dyDescent="0.3">
      <c r="E7" s="2">
        <v>45484</v>
      </c>
      <c r="F7" s="3" t="s">
        <v>49</v>
      </c>
      <c r="G7" s="3">
        <v>1000</v>
      </c>
      <c r="H7" s="3">
        <v>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Z7" s="17" t="s">
        <v>139</v>
      </c>
      <c r="AA7" s="17" t="s">
        <v>119</v>
      </c>
      <c r="AB7">
        <f>AB6+3</f>
        <v>14</v>
      </c>
      <c r="AC7" s="17" t="s">
        <v>132</v>
      </c>
      <c r="AD7" s="11">
        <f>AVERAGE(G195:G197)</f>
        <v>2663.6866666666665</v>
      </c>
      <c r="AE7">
        <f>STDEV(G195:G197)</f>
        <v>12.797911287914451</v>
      </c>
      <c r="AF7">
        <v>3</v>
      </c>
      <c r="AH7" s="20"/>
    </row>
    <row r="8" spans="1:35" x14ac:dyDescent="0.3">
      <c r="E8" s="12">
        <v>45395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Z8" s="17" t="s">
        <v>139</v>
      </c>
      <c r="AA8" s="17" t="s">
        <v>116</v>
      </c>
      <c r="AB8">
        <v>1</v>
      </c>
      <c r="AC8" s="17" t="s">
        <v>138</v>
      </c>
      <c r="AD8">
        <v>2750.6</v>
      </c>
      <c r="AE8">
        <v>6</v>
      </c>
      <c r="AF8">
        <v>3</v>
      </c>
    </row>
    <row r="9" spans="1:35" x14ac:dyDescent="0.3">
      <c r="A9" s="17" t="s">
        <v>107</v>
      </c>
      <c r="C9" s="13" t="s">
        <v>4</v>
      </c>
      <c r="E9" s="17" t="s">
        <v>106</v>
      </c>
      <c r="F9" s="13" t="s">
        <v>7</v>
      </c>
      <c r="G9" s="13" t="s">
        <v>50</v>
      </c>
      <c r="H9" s="13" t="s">
        <v>141</v>
      </c>
      <c r="I9" s="13" t="s">
        <v>8</v>
      </c>
      <c r="J9" s="13" t="s">
        <v>9</v>
      </c>
      <c r="K9" s="13" t="s">
        <v>10</v>
      </c>
      <c r="L9" s="13" t="s">
        <v>11</v>
      </c>
      <c r="M9" s="13" t="s">
        <v>12</v>
      </c>
      <c r="N9" s="13" t="s">
        <v>13</v>
      </c>
      <c r="O9" s="13" t="s">
        <v>14</v>
      </c>
      <c r="P9" s="13" t="s">
        <v>15</v>
      </c>
      <c r="Q9" s="13" t="s">
        <v>16</v>
      </c>
      <c r="R9" s="13" t="s">
        <v>17</v>
      </c>
      <c r="S9" s="13" t="s">
        <v>18</v>
      </c>
      <c r="T9" s="13" t="s">
        <v>19</v>
      </c>
      <c r="U9" s="13" t="s">
        <v>20</v>
      </c>
      <c r="V9" s="13" t="s">
        <v>21</v>
      </c>
      <c r="W9" s="13" t="s">
        <v>22</v>
      </c>
      <c r="X9" s="13" t="s">
        <v>23</v>
      </c>
      <c r="Z9" s="17" t="s">
        <v>139</v>
      </c>
      <c r="AA9" s="17" t="s">
        <v>118</v>
      </c>
      <c r="AB9">
        <v>11</v>
      </c>
      <c r="AC9" s="17" t="s">
        <v>138</v>
      </c>
      <c r="AD9">
        <v>2732.2</v>
      </c>
      <c r="AE9">
        <v>5.3</v>
      </c>
      <c r="AF9">
        <v>3</v>
      </c>
    </row>
    <row r="10" spans="1:35" x14ac:dyDescent="0.3">
      <c r="A10" s="17" t="s">
        <v>108</v>
      </c>
      <c r="C10" s="13">
        <v>0</v>
      </c>
      <c r="E10">
        <f>C10</f>
        <v>0</v>
      </c>
      <c r="F10" s="13">
        <v>6.3623200000000004</v>
      </c>
      <c r="G10" s="13">
        <v>2916.3609070000002</v>
      </c>
      <c r="H10" s="13">
        <f>G10/MAX($G$10:$G$285)</f>
        <v>0.81208308815134733</v>
      </c>
      <c r="I10" s="13">
        <v>458380104.60000002</v>
      </c>
      <c r="J10" s="13">
        <v>8450.7227770000009</v>
      </c>
      <c r="K10" s="13">
        <v>5.3873322000000001E-2</v>
      </c>
      <c r="L10" s="13">
        <v>5.3351699999999995E-4</v>
      </c>
      <c r="M10" s="14">
        <v>5.97945E-6</v>
      </c>
      <c r="N10" s="14">
        <v>1.41458E-7</v>
      </c>
      <c r="O10" s="14">
        <v>4.2356599999999997E-6</v>
      </c>
      <c r="P10" s="14">
        <v>9.3035999999999997E-7</v>
      </c>
      <c r="Q10" s="13">
        <v>5.3108729999999998E-3</v>
      </c>
      <c r="R10" s="13">
        <v>1.18397E-4</v>
      </c>
      <c r="S10" s="13">
        <v>1.7473506080000001</v>
      </c>
      <c r="T10" s="13">
        <v>1.4372835E-2</v>
      </c>
      <c r="U10" s="14">
        <v>3.1462400000000003E-8</v>
      </c>
      <c r="V10" s="14">
        <v>8.5574600000000003E-10</v>
      </c>
      <c r="W10" s="13">
        <v>-7.3376799999999999E-4</v>
      </c>
      <c r="X10" s="15">
        <v>2.49724E-4</v>
      </c>
      <c r="Z10" s="17" t="s">
        <v>139</v>
      </c>
      <c r="AA10" s="17" t="s">
        <v>119</v>
      </c>
      <c r="AB10">
        <v>14</v>
      </c>
      <c r="AC10" s="17" t="s">
        <v>138</v>
      </c>
      <c r="AD10">
        <v>2735.6</v>
      </c>
      <c r="AE10">
        <v>7.5</v>
      </c>
      <c r="AF10">
        <v>3</v>
      </c>
    </row>
    <row r="11" spans="1:35" x14ac:dyDescent="0.3">
      <c r="A11" s="17" t="s">
        <v>108</v>
      </c>
      <c r="C11" s="13">
        <v>4</v>
      </c>
      <c r="E11">
        <f t="shared" ref="E11:E55" si="0">C11</f>
        <v>4</v>
      </c>
      <c r="F11" s="13">
        <v>6.3623200000000004</v>
      </c>
      <c r="G11" s="13">
        <v>2868.667234</v>
      </c>
      <c r="H11" s="13">
        <f t="shared" ref="H11:H74" si="1">G11/MAX($G$10:$G$285)</f>
        <v>0.79880241868339641</v>
      </c>
      <c r="I11" s="13">
        <v>450883833.89999998</v>
      </c>
      <c r="J11" s="13">
        <v>11862.832350000001</v>
      </c>
      <c r="K11" s="13">
        <v>5.9403914000000002E-2</v>
      </c>
      <c r="L11" s="13">
        <v>4.7906400000000002E-4</v>
      </c>
      <c r="M11" s="14">
        <v>6.0019899999999996E-6</v>
      </c>
      <c r="N11" s="14">
        <v>1.1275599999999999E-7</v>
      </c>
      <c r="O11" s="14">
        <v>3.7730699999999999E-6</v>
      </c>
      <c r="P11" s="14">
        <v>7.5399199999999999E-7</v>
      </c>
      <c r="Q11" s="13">
        <v>6.0601739999999998E-3</v>
      </c>
      <c r="R11" s="13">
        <v>1.28882E-4</v>
      </c>
      <c r="S11" s="13">
        <v>2.3227349400000001</v>
      </c>
      <c r="T11" s="13">
        <v>1.3580462E-2</v>
      </c>
      <c r="U11" s="14">
        <v>2.5179599999999999E-8</v>
      </c>
      <c r="V11" s="14">
        <v>6.2923999999999999E-10</v>
      </c>
      <c r="W11" s="13">
        <v>-8.2065800000000004E-4</v>
      </c>
      <c r="X11" s="15">
        <v>2.1698900000000001E-4</v>
      </c>
      <c r="Z11" s="17" t="s">
        <v>140</v>
      </c>
      <c r="AA11" s="17" t="s">
        <v>116</v>
      </c>
      <c r="AB11">
        <v>1</v>
      </c>
      <c r="AD11">
        <v>2924.8</v>
      </c>
      <c r="AE11">
        <v>23.5</v>
      </c>
      <c r="AF11">
        <v>3</v>
      </c>
    </row>
    <row r="12" spans="1:35" x14ac:dyDescent="0.3">
      <c r="A12" s="17" t="s">
        <v>108</v>
      </c>
      <c r="C12" s="13">
        <v>8</v>
      </c>
      <c r="E12">
        <f t="shared" si="0"/>
        <v>8</v>
      </c>
      <c r="F12" s="13">
        <v>6.3623200000000004</v>
      </c>
      <c r="G12" s="13">
        <v>2919.2484899999999</v>
      </c>
      <c r="H12" s="13">
        <f t="shared" si="1"/>
        <v>0.81288715781032017</v>
      </c>
      <c r="I12" s="13">
        <v>458833961.5</v>
      </c>
      <c r="J12" s="13">
        <v>6020.7360820000004</v>
      </c>
      <c r="K12" s="13">
        <v>6.0949093000000003E-2</v>
      </c>
      <c r="L12" s="13">
        <v>4.7272200000000002E-4</v>
      </c>
      <c r="M12" s="14">
        <v>5.9570199999999996E-6</v>
      </c>
      <c r="N12" s="14">
        <v>1.10302E-7</v>
      </c>
      <c r="O12" s="14">
        <v>5.6697400000000004E-6</v>
      </c>
      <c r="P12" s="14">
        <v>7.1544900000000004E-7</v>
      </c>
      <c r="Q12" s="13">
        <v>7.6509200000000003E-3</v>
      </c>
      <c r="R12" s="13">
        <v>1.13715E-4</v>
      </c>
      <c r="S12" s="13">
        <v>2.0293507489999998</v>
      </c>
      <c r="T12" s="13">
        <v>9.5782980000000007E-3</v>
      </c>
      <c r="U12" s="14">
        <v>2.9015900000000001E-8</v>
      </c>
      <c r="V12" s="14">
        <v>5.2066100000000005E-10</v>
      </c>
      <c r="W12" s="13">
        <v>-8.5400899999999997E-4</v>
      </c>
      <c r="X12" s="15">
        <v>2.18894E-4</v>
      </c>
      <c r="Z12" s="17" t="s">
        <v>140</v>
      </c>
      <c r="AA12" s="17" t="s">
        <v>117</v>
      </c>
      <c r="AB12">
        <f>AB11+1</f>
        <v>2</v>
      </c>
      <c r="AD12">
        <v>2949</v>
      </c>
      <c r="AE12">
        <v>32.1</v>
      </c>
      <c r="AF12">
        <v>3</v>
      </c>
    </row>
    <row r="13" spans="1:35" x14ac:dyDescent="0.3">
      <c r="A13" s="17" t="s">
        <v>108</v>
      </c>
      <c r="C13" s="13">
        <v>12</v>
      </c>
      <c r="E13">
        <f t="shared" si="0"/>
        <v>12</v>
      </c>
      <c r="F13" s="13">
        <v>6.3623200000000004</v>
      </c>
      <c r="G13" s="13">
        <v>2882.8287799999998</v>
      </c>
      <c r="H13" s="13">
        <f t="shared" si="1"/>
        <v>0.80274580990808109</v>
      </c>
      <c r="I13" s="13">
        <v>453109680.10000002</v>
      </c>
      <c r="J13" s="13">
        <v>22452.298709999999</v>
      </c>
      <c r="K13" s="13">
        <v>6.2244183000000002E-2</v>
      </c>
      <c r="L13" s="13">
        <v>5.7328299999999995E-4</v>
      </c>
      <c r="M13" s="14">
        <v>5.81186E-6</v>
      </c>
      <c r="N13" s="14">
        <v>1.2176900000000001E-7</v>
      </c>
      <c r="O13" s="14">
        <v>2.3713099999999999E-6</v>
      </c>
      <c r="P13" s="14">
        <v>9.0729999999999998E-7</v>
      </c>
      <c r="Q13" s="13">
        <v>3.7441499999999999E-3</v>
      </c>
      <c r="R13" s="13">
        <v>1.36062E-4</v>
      </c>
      <c r="S13" s="13">
        <v>-1.3730212289999999</v>
      </c>
      <c r="T13" s="13">
        <v>2.2893727999999999E-2</v>
      </c>
      <c r="U13" s="14">
        <v>2.7288599999999999E-8</v>
      </c>
      <c r="V13" s="14">
        <v>1.1330200000000001E-9</v>
      </c>
      <c r="W13" s="13">
        <v>-9.1185599999999995E-4</v>
      </c>
      <c r="X13" s="15">
        <v>2.5601699999999999E-4</v>
      </c>
      <c r="Z13" s="17" t="s">
        <v>140</v>
      </c>
      <c r="AA13" s="17" t="s">
        <v>118</v>
      </c>
      <c r="AB13">
        <f>AB12+9</f>
        <v>11</v>
      </c>
      <c r="AD13">
        <v>2965</v>
      </c>
      <c r="AE13">
        <v>27</v>
      </c>
      <c r="AF13">
        <v>3</v>
      </c>
    </row>
    <row r="14" spans="1:35" x14ac:dyDescent="0.3">
      <c r="A14" s="17" t="s">
        <v>108</v>
      </c>
      <c r="C14" s="13">
        <v>16</v>
      </c>
      <c r="E14">
        <f t="shared" si="0"/>
        <v>16</v>
      </c>
      <c r="F14" s="13">
        <v>6.3623200000000004</v>
      </c>
      <c r="G14" s="13">
        <v>2831.0709459999998</v>
      </c>
      <c r="H14" s="13">
        <f t="shared" si="1"/>
        <v>0.78833344360257396</v>
      </c>
      <c r="I14" s="13">
        <v>444974623.39999998</v>
      </c>
      <c r="J14" s="13">
        <v>26185.408479999998</v>
      </c>
      <c r="K14" s="13">
        <v>4.6847041999999998E-2</v>
      </c>
      <c r="L14" s="14">
        <v>6.9507500000000005E-5</v>
      </c>
      <c r="M14" s="14">
        <v>6.2522E-6</v>
      </c>
      <c r="N14" s="14">
        <v>6.2648099999999998E-8</v>
      </c>
      <c r="O14" s="14">
        <v>3.8344500000000001E-9</v>
      </c>
      <c r="P14" s="13"/>
      <c r="Q14" s="13">
        <v>3.097767E-3</v>
      </c>
      <c r="R14" s="13">
        <v>1.20431E-4</v>
      </c>
      <c r="S14" s="13">
        <v>-1.280904831</v>
      </c>
      <c r="T14" s="13">
        <v>2.4652759E-2</v>
      </c>
      <c r="U14" s="14">
        <v>2.6225000000000002E-8</v>
      </c>
      <c r="V14" s="14">
        <v>1.14943E-9</v>
      </c>
      <c r="W14" s="13">
        <v>-6.8408800000000001E-4</v>
      </c>
      <c r="X14" s="15">
        <v>1.13069E-4</v>
      </c>
      <c r="Z14" s="17" t="s">
        <v>140</v>
      </c>
      <c r="AA14" s="17" t="s">
        <v>119</v>
      </c>
      <c r="AB14">
        <f>AB13+3</f>
        <v>14</v>
      </c>
      <c r="AD14">
        <v>2917.1</v>
      </c>
      <c r="AE14">
        <v>20.100000000000001</v>
      </c>
      <c r="AF14">
        <v>3</v>
      </c>
    </row>
    <row r="15" spans="1:35" x14ac:dyDescent="0.3">
      <c r="A15" s="17" t="s">
        <v>108</v>
      </c>
      <c r="C15" s="13">
        <v>20</v>
      </c>
      <c r="E15">
        <f t="shared" si="0"/>
        <v>20</v>
      </c>
      <c r="F15" s="13">
        <v>6.3623200000000004</v>
      </c>
      <c r="G15" s="13">
        <v>2784.5478520000001</v>
      </c>
      <c r="H15" s="13">
        <f t="shared" si="1"/>
        <v>0.7753787308455925</v>
      </c>
      <c r="I15" s="13">
        <v>437662338.89999998</v>
      </c>
      <c r="J15" s="13">
        <v>24666.7955</v>
      </c>
      <c r="K15" s="13">
        <v>6.3553403999999994E-2</v>
      </c>
      <c r="L15" s="13">
        <v>5.8230800000000002E-4</v>
      </c>
      <c r="M15" s="14">
        <v>5.9039100000000002E-6</v>
      </c>
      <c r="N15" s="14">
        <v>1.18607E-7</v>
      </c>
      <c r="O15" s="14">
        <v>4.1946999999999998E-6</v>
      </c>
      <c r="P15" s="14">
        <v>8.7535800000000002E-7</v>
      </c>
      <c r="Q15" s="13">
        <v>3.4724140000000001E-3</v>
      </c>
      <c r="R15" s="13">
        <v>1.3779800000000001E-4</v>
      </c>
      <c r="S15" s="13">
        <v>-0.53602224799999998</v>
      </c>
      <c r="T15" s="13">
        <v>2.518654E-2</v>
      </c>
      <c r="U15" s="14">
        <v>2.6304100000000001E-8</v>
      </c>
      <c r="V15" s="14">
        <v>1.1801700000000001E-9</v>
      </c>
      <c r="W15" s="13">
        <v>-1.203403E-3</v>
      </c>
      <c r="X15" s="15">
        <v>2.4502299999999997E-4</v>
      </c>
      <c r="Z15" s="17" t="s">
        <v>140</v>
      </c>
      <c r="AA15" s="17" t="s">
        <v>116</v>
      </c>
      <c r="AB15">
        <v>1</v>
      </c>
      <c r="AD15">
        <v>2928.5</v>
      </c>
      <c r="AE15">
        <v>10.199999999999999</v>
      </c>
      <c r="AF15">
        <v>3</v>
      </c>
    </row>
    <row r="16" spans="1:35" x14ac:dyDescent="0.3">
      <c r="A16" s="17" t="s">
        <v>108</v>
      </c>
      <c r="C16" s="13">
        <v>24</v>
      </c>
      <c r="E16">
        <f t="shared" si="0"/>
        <v>24</v>
      </c>
      <c r="F16" s="13">
        <v>6.3623200000000004</v>
      </c>
      <c r="G16" s="13">
        <v>2741.1190000000001</v>
      </c>
      <c r="H16" s="13">
        <f t="shared" si="1"/>
        <v>0.76328563353298751</v>
      </c>
      <c r="I16" s="13">
        <v>430836393</v>
      </c>
      <c r="J16" s="13">
        <v>27137.72381</v>
      </c>
      <c r="K16" s="13">
        <v>5.3957964999999997E-2</v>
      </c>
      <c r="L16" s="14">
        <v>8.2565700000000001E-5</v>
      </c>
      <c r="M16" s="14">
        <v>6.1103700000000004E-6</v>
      </c>
      <c r="N16" s="14">
        <v>6.0425600000000006E-8</v>
      </c>
      <c r="O16" s="14">
        <v>3.4047099999999999E-9</v>
      </c>
      <c r="P16" s="13"/>
      <c r="Q16" s="13">
        <v>2.1305600000000001E-3</v>
      </c>
      <c r="R16" s="14">
        <v>9.5309000000000005E-5</v>
      </c>
      <c r="S16" s="13">
        <v>-3.005423623</v>
      </c>
      <c r="T16" s="13">
        <v>2.9314001999999999E-2</v>
      </c>
      <c r="U16" s="14">
        <v>3.7387100000000001E-8</v>
      </c>
      <c r="V16" s="14">
        <v>2.1027000000000002E-9</v>
      </c>
      <c r="W16" s="13">
        <v>-8.8388500000000005E-4</v>
      </c>
      <c r="X16" s="15">
        <v>1.3232599999999999E-4</v>
      </c>
      <c r="Z16" s="17" t="s">
        <v>140</v>
      </c>
      <c r="AA16" s="17" t="s">
        <v>118</v>
      </c>
      <c r="AB16">
        <v>11</v>
      </c>
      <c r="AD16">
        <v>2921.4</v>
      </c>
      <c r="AE16">
        <v>12.7</v>
      </c>
      <c r="AF16">
        <v>3</v>
      </c>
    </row>
    <row r="17" spans="1:32" x14ac:dyDescent="0.3">
      <c r="A17" s="17" t="s">
        <v>108</v>
      </c>
      <c r="C17" s="13">
        <v>28</v>
      </c>
      <c r="E17">
        <f t="shared" si="0"/>
        <v>28</v>
      </c>
      <c r="F17" s="13">
        <v>6.3623200000000004</v>
      </c>
      <c r="G17" s="13">
        <v>2715.0408170000001</v>
      </c>
      <c r="H17" s="13">
        <f t="shared" si="1"/>
        <v>0.75602396323244814</v>
      </c>
      <c r="I17" s="13">
        <v>426737545</v>
      </c>
      <c r="J17" s="13">
        <v>10199.69371</v>
      </c>
      <c r="K17" s="13">
        <v>5.4190536999999997E-2</v>
      </c>
      <c r="L17" s="13">
        <v>5.7754099999999999E-4</v>
      </c>
      <c r="M17" s="14">
        <v>6.02046E-6</v>
      </c>
      <c r="N17" s="14">
        <v>1.4665500000000001E-7</v>
      </c>
      <c r="O17" s="14">
        <v>7.6236299999999997E-6</v>
      </c>
      <c r="P17" s="14">
        <v>9.6263199999999993E-7</v>
      </c>
      <c r="Q17" s="13">
        <v>4.3285820000000001E-3</v>
      </c>
      <c r="R17" s="13">
        <v>1.16999E-4</v>
      </c>
      <c r="S17" s="13">
        <v>1.9558035709999999</v>
      </c>
      <c r="T17" s="13">
        <v>1.7343995000000001E-2</v>
      </c>
      <c r="U17" s="14">
        <v>3.30693E-8</v>
      </c>
      <c r="V17" s="14">
        <v>1.0824700000000001E-9</v>
      </c>
      <c r="W17" s="13">
        <v>-3.7491299999999999E-4</v>
      </c>
      <c r="X17" s="15">
        <v>2.50492E-4</v>
      </c>
      <c r="Z17" s="17" t="s">
        <v>140</v>
      </c>
      <c r="AA17" s="17" t="s">
        <v>119</v>
      </c>
      <c r="AB17">
        <v>14</v>
      </c>
      <c r="AD17">
        <v>2919</v>
      </c>
      <c r="AE17">
        <v>12.7</v>
      </c>
      <c r="AF17">
        <v>3</v>
      </c>
    </row>
    <row r="18" spans="1:32" x14ac:dyDescent="0.3">
      <c r="A18" s="17" t="s">
        <v>108</v>
      </c>
      <c r="C18" s="13">
        <v>32</v>
      </c>
      <c r="E18">
        <f t="shared" si="0"/>
        <v>32</v>
      </c>
      <c r="F18" s="13">
        <v>6.3623200000000004</v>
      </c>
      <c r="G18" s="13">
        <v>2705.6075679999999</v>
      </c>
      <c r="H18" s="13">
        <f t="shared" si="1"/>
        <v>0.75339720261416065</v>
      </c>
      <c r="I18" s="13">
        <v>425254870.5</v>
      </c>
      <c r="J18" s="13">
        <v>17638.31768</v>
      </c>
      <c r="K18" s="13">
        <v>6.2363315000000002E-2</v>
      </c>
      <c r="L18" s="13">
        <v>6.5675599999999998E-4</v>
      </c>
      <c r="M18" s="14">
        <v>6.3586399999999998E-6</v>
      </c>
      <c r="N18" s="14">
        <v>1.2828000000000001E-7</v>
      </c>
      <c r="O18" s="14">
        <v>1.22665E-5</v>
      </c>
      <c r="P18" s="14">
        <v>8.6831399999999998E-7</v>
      </c>
      <c r="Q18" s="13">
        <v>2.8807490000000002E-3</v>
      </c>
      <c r="R18" s="13">
        <v>1.17293E-4</v>
      </c>
      <c r="S18" s="13">
        <v>-1.3710850139999999</v>
      </c>
      <c r="T18" s="13">
        <v>2.5526927000000001E-2</v>
      </c>
      <c r="U18" s="14">
        <v>3.2657900000000002E-8</v>
      </c>
      <c r="V18" s="14">
        <v>1.54879E-9</v>
      </c>
      <c r="W18" s="13">
        <v>-9.0333899999999996E-4</v>
      </c>
      <c r="X18" s="15">
        <v>2.1810300000000001E-4</v>
      </c>
    </row>
    <row r="19" spans="1:32" x14ac:dyDescent="0.3">
      <c r="A19" s="17" t="s">
        <v>108</v>
      </c>
      <c r="C19" s="13">
        <v>36</v>
      </c>
      <c r="E19">
        <f t="shared" si="0"/>
        <v>36</v>
      </c>
      <c r="F19" s="13">
        <v>6.3623200000000004</v>
      </c>
      <c r="G19" s="13">
        <v>2703.5915150000001</v>
      </c>
      <c r="H19" s="13">
        <f t="shared" si="1"/>
        <v>0.75283581717582659</v>
      </c>
      <c r="I19" s="13">
        <v>424937996.60000002</v>
      </c>
      <c r="J19" s="13">
        <v>7292.3567869999997</v>
      </c>
      <c r="K19" s="13">
        <v>5.7170230000000002E-2</v>
      </c>
      <c r="L19" s="13">
        <v>5.8944200000000003E-4</v>
      </c>
      <c r="M19" s="14">
        <v>6.4550199999999997E-6</v>
      </c>
      <c r="N19" s="14">
        <v>1.3955600000000001E-7</v>
      </c>
      <c r="O19" s="14">
        <v>1.11075E-5</v>
      </c>
      <c r="P19" s="14">
        <v>8.4053599999999998E-7</v>
      </c>
      <c r="Q19" s="13">
        <v>5.5366909999999998E-3</v>
      </c>
      <c r="R19" s="13">
        <v>1.1829599999999999E-4</v>
      </c>
      <c r="S19" s="13">
        <v>2.9540826130000002</v>
      </c>
      <c r="T19" s="13">
        <v>1.3676529E-2</v>
      </c>
      <c r="U19" s="14">
        <v>3.20882E-8</v>
      </c>
      <c r="V19" s="14">
        <v>8.3478999999999997E-10</v>
      </c>
      <c r="W19" s="13">
        <v>-3.77788E-4</v>
      </c>
      <c r="X19" s="15">
        <v>2.209E-4</v>
      </c>
    </row>
    <row r="20" spans="1:32" x14ac:dyDescent="0.3">
      <c r="A20" s="17" t="s">
        <v>108</v>
      </c>
      <c r="C20" s="13">
        <v>40</v>
      </c>
      <c r="E20">
        <f t="shared" si="0"/>
        <v>40</v>
      </c>
      <c r="F20" s="13">
        <v>6.3623200000000004</v>
      </c>
      <c r="G20" s="13">
        <v>2697.1228190000002</v>
      </c>
      <c r="H20" s="13">
        <f t="shared" si="1"/>
        <v>0.7510345591040346</v>
      </c>
      <c r="I20" s="13">
        <v>423921277</v>
      </c>
      <c r="J20" s="13">
        <v>17218.766930000002</v>
      </c>
      <c r="K20" s="13">
        <v>5.6109352000000001E-2</v>
      </c>
      <c r="L20" s="13">
        <v>6.4648400000000001E-4</v>
      </c>
      <c r="M20" s="14">
        <v>6.3233899999999996E-6</v>
      </c>
      <c r="N20" s="14">
        <v>1.3522099999999999E-7</v>
      </c>
      <c r="O20" s="14">
        <v>2.88505E-6</v>
      </c>
      <c r="P20" s="14">
        <v>1.06138E-6</v>
      </c>
      <c r="Q20" s="13">
        <v>2.7190320000000001E-3</v>
      </c>
      <c r="R20" s="13">
        <v>1.08835E-4</v>
      </c>
      <c r="S20" s="13">
        <v>-1.1852198810000001</v>
      </c>
      <c r="T20" s="13">
        <v>2.5252098000000001E-2</v>
      </c>
      <c r="U20" s="14">
        <v>3.5196699999999998E-8</v>
      </c>
      <c r="V20" s="14">
        <v>1.66812E-9</v>
      </c>
      <c r="W20" s="13">
        <v>-2.4049600000000001E-4</v>
      </c>
      <c r="X20" s="15">
        <v>2.18123E-4</v>
      </c>
    </row>
    <row r="21" spans="1:32" x14ac:dyDescent="0.3">
      <c r="A21" s="17" t="s">
        <v>108</v>
      </c>
      <c r="C21" s="13">
        <v>44</v>
      </c>
      <c r="E21">
        <f t="shared" si="0"/>
        <v>44</v>
      </c>
      <c r="F21" s="13">
        <v>6.3623200000000004</v>
      </c>
      <c r="G21" s="13"/>
      <c r="H21" s="13">
        <f t="shared" si="1"/>
        <v>0</v>
      </c>
      <c r="I21" s="13">
        <v>412117717.5</v>
      </c>
      <c r="J21" s="13">
        <v>261944.52840000001</v>
      </c>
      <c r="K21" s="13">
        <v>5.5268116999999999E-2</v>
      </c>
      <c r="L21" s="14">
        <v>8.2904299999999998E-5</v>
      </c>
      <c r="M21" s="14">
        <v>6.1862000000000002E-6</v>
      </c>
      <c r="N21" s="14">
        <v>6.3208299999999996E-8</v>
      </c>
      <c r="O21" s="14">
        <v>4.3983399999999999E-14</v>
      </c>
      <c r="P21" s="13"/>
      <c r="Q21" s="13">
        <v>2.653079E-3</v>
      </c>
      <c r="R21" s="13">
        <v>1.2974199999999999E-4</v>
      </c>
      <c r="S21" s="13">
        <v>0.31042239799999999</v>
      </c>
      <c r="T21" s="13">
        <v>4.9096629000000003E-2</v>
      </c>
      <c r="U21" s="14">
        <v>1.8181400000000001E-8</v>
      </c>
      <c r="V21" s="13"/>
      <c r="W21" s="13">
        <v>-8.2382600000000005E-4</v>
      </c>
      <c r="X21" s="15">
        <v>1.36322E-4</v>
      </c>
    </row>
    <row r="22" spans="1:32" x14ac:dyDescent="0.3">
      <c r="A22" s="17" t="s">
        <v>108</v>
      </c>
      <c r="C22" s="13">
        <v>48</v>
      </c>
      <c r="E22">
        <f t="shared" si="0"/>
        <v>48</v>
      </c>
      <c r="F22" s="13">
        <v>6.3623200000000004</v>
      </c>
      <c r="G22" s="13">
        <v>2743.024645</v>
      </c>
      <c r="H22" s="13">
        <f t="shared" si="1"/>
        <v>0.76381627501594174</v>
      </c>
      <c r="I22" s="13">
        <v>431135913.5</v>
      </c>
      <c r="J22" s="13">
        <v>15289.29407</v>
      </c>
      <c r="K22" s="13">
        <v>6.2540872999999997E-2</v>
      </c>
      <c r="L22" s="13">
        <v>6.0477399999999998E-4</v>
      </c>
      <c r="M22" s="14">
        <v>6.0125100000000003E-6</v>
      </c>
      <c r="N22" s="14">
        <v>1.2352100000000001E-7</v>
      </c>
      <c r="O22" s="14">
        <v>8.3240399999999997E-6</v>
      </c>
      <c r="P22" s="14">
        <v>8.71694E-7</v>
      </c>
      <c r="Q22" s="13">
        <v>3.3129740000000002E-3</v>
      </c>
      <c r="R22" s="13">
        <v>1.2259200000000001E-4</v>
      </c>
      <c r="S22" s="13">
        <v>-1.1755535610000001</v>
      </c>
      <c r="T22" s="13">
        <v>2.3231865000000001E-2</v>
      </c>
      <c r="U22" s="14">
        <v>3.0532099999999997E-8</v>
      </c>
      <c r="V22" s="14">
        <v>1.3054099999999999E-9</v>
      </c>
      <c r="W22" s="13">
        <v>-6.4695200000000001E-4</v>
      </c>
      <c r="X22" s="15">
        <v>2.3795899999999999E-4</v>
      </c>
    </row>
    <row r="23" spans="1:32" x14ac:dyDescent="0.3">
      <c r="A23" s="17" t="s">
        <v>108</v>
      </c>
      <c r="C23" s="13">
        <v>52</v>
      </c>
      <c r="E23">
        <f t="shared" si="0"/>
        <v>52</v>
      </c>
      <c r="F23" s="13">
        <v>6.3623200000000004</v>
      </c>
      <c r="G23" s="13">
        <v>2769.437246</v>
      </c>
      <c r="H23" s="13">
        <f t="shared" si="1"/>
        <v>0.77117106657644641</v>
      </c>
      <c r="I23" s="13">
        <v>435287323.69999999</v>
      </c>
      <c r="J23" s="13">
        <v>16023.41389</v>
      </c>
      <c r="K23" s="13">
        <v>6.3590167000000003E-2</v>
      </c>
      <c r="L23" s="13">
        <v>5.3881399999999998E-4</v>
      </c>
      <c r="M23" s="14">
        <v>5.9182299999999999E-6</v>
      </c>
      <c r="N23" s="14">
        <v>1.2048100000000001E-7</v>
      </c>
      <c r="O23" s="14">
        <v>5.4843899999999997E-6</v>
      </c>
      <c r="P23" s="14">
        <v>7.92399E-7</v>
      </c>
      <c r="Q23" s="13">
        <v>3.6887320000000001E-3</v>
      </c>
      <c r="R23" s="13">
        <v>1.2652E-4</v>
      </c>
      <c r="S23" s="13">
        <v>2.7360490620000002</v>
      </c>
      <c r="T23" s="13">
        <v>2.2194289999999998E-2</v>
      </c>
      <c r="U23" s="14">
        <v>2.90663E-8</v>
      </c>
      <c r="V23" s="14">
        <v>1.1967399999999999E-9</v>
      </c>
      <c r="W23" s="13">
        <v>-1.6249490000000001E-3</v>
      </c>
      <c r="X23" s="15">
        <v>2.5261800000000003E-4</v>
      </c>
    </row>
    <row r="24" spans="1:32" x14ac:dyDescent="0.3">
      <c r="A24" s="17" t="s">
        <v>108</v>
      </c>
      <c r="C24" s="13">
        <v>56</v>
      </c>
      <c r="E24">
        <f t="shared" si="0"/>
        <v>56</v>
      </c>
      <c r="F24" s="13">
        <v>6.3623200000000004</v>
      </c>
      <c r="G24" s="13">
        <v>2825.232974</v>
      </c>
      <c r="H24" s="13">
        <f t="shared" si="1"/>
        <v>0.78670781547166557</v>
      </c>
      <c r="I24" s="13">
        <v>444057038</v>
      </c>
      <c r="J24" s="13">
        <v>18277.653719999998</v>
      </c>
      <c r="K24" s="13">
        <v>6.8140294000000004E-2</v>
      </c>
      <c r="L24" s="13">
        <v>6.4375900000000004E-4</v>
      </c>
      <c r="M24" s="14">
        <v>6.1707500000000002E-6</v>
      </c>
      <c r="N24" s="14">
        <v>1.17678E-7</v>
      </c>
      <c r="O24" s="14">
        <v>7.1399099999999999E-6</v>
      </c>
      <c r="P24" s="14">
        <v>8.4423500000000002E-7</v>
      </c>
      <c r="Q24" s="13">
        <v>4.1863650000000001E-3</v>
      </c>
      <c r="R24" s="13">
        <v>1.45678E-4</v>
      </c>
      <c r="S24" s="13">
        <v>-1.52028472</v>
      </c>
      <c r="T24" s="13">
        <v>2.1856522E-2</v>
      </c>
      <c r="U24" s="14">
        <v>2.62331E-8</v>
      </c>
      <c r="V24" s="14">
        <v>1.0248E-9</v>
      </c>
      <c r="W24" s="13">
        <v>-1.471357E-3</v>
      </c>
      <c r="X24" s="15">
        <v>2.37445E-4</v>
      </c>
    </row>
    <row r="25" spans="1:32" x14ac:dyDescent="0.3">
      <c r="A25" s="17" t="s">
        <v>108</v>
      </c>
      <c r="C25" s="13">
        <v>60</v>
      </c>
      <c r="E25">
        <f t="shared" si="0"/>
        <v>60</v>
      </c>
      <c r="F25" s="13">
        <v>6.3623200000000004</v>
      </c>
      <c r="G25" s="13">
        <v>2871.2661889999999</v>
      </c>
      <c r="H25" s="13">
        <f t="shared" si="1"/>
        <v>0.79952611765950754</v>
      </c>
      <c r="I25" s="13">
        <v>451292325.60000002</v>
      </c>
      <c r="J25" s="13">
        <v>12971.272639999999</v>
      </c>
      <c r="K25" s="13">
        <v>6.4217591000000004E-2</v>
      </c>
      <c r="L25" s="13">
        <v>6.42813E-4</v>
      </c>
      <c r="M25" s="14">
        <v>6.0436199999999997E-6</v>
      </c>
      <c r="N25" s="14">
        <v>1.24471E-7</v>
      </c>
      <c r="O25" s="14">
        <v>3.43182E-6</v>
      </c>
      <c r="P25" s="14">
        <v>9.4690900000000003E-7</v>
      </c>
      <c r="Q25" s="13">
        <v>5.0469470000000004E-3</v>
      </c>
      <c r="R25" s="13">
        <v>1.4799600000000001E-4</v>
      </c>
      <c r="S25" s="13">
        <v>-2.3691245520000002</v>
      </c>
      <c r="T25" s="13">
        <v>1.8305744999999998E-2</v>
      </c>
      <c r="U25" s="14">
        <v>2.6292300000000001E-8</v>
      </c>
      <c r="V25" s="14">
        <v>8.6173999999999996E-10</v>
      </c>
      <c r="W25" s="13">
        <v>-1.464302E-3</v>
      </c>
      <c r="X25" s="15">
        <v>2.4929200000000002E-4</v>
      </c>
    </row>
    <row r="26" spans="1:32" x14ac:dyDescent="0.3">
      <c r="A26" s="17" t="s">
        <v>108</v>
      </c>
      <c r="C26" s="13">
        <v>64</v>
      </c>
      <c r="E26">
        <f t="shared" si="0"/>
        <v>64</v>
      </c>
      <c r="F26" s="13">
        <v>6.3623200000000004</v>
      </c>
      <c r="G26" s="13">
        <v>2938.9012210000001</v>
      </c>
      <c r="H26" s="13">
        <f t="shared" si="1"/>
        <v>0.81835961166292137</v>
      </c>
      <c r="I26" s="13">
        <v>461922886.69999999</v>
      </c>
      <c r="J26" s="13">
        <v>10870.60593</v>
      </c>
      <c r="K26" s="13">
        <v>7.2911952000000002E-2</v>
      </c>
      <c r="L26" s="13">
        <v>6.9297800000000002E-4</v>
      </c>
      <c r="M26" s="14">
        <v>6.3127100000000004E-6</v>
      </c>
      <c r="N26" s="14">
        <v>1.18339E-7</v>
      </c>
      <c r="O26" s="14">
        <v>9.1507099999999993E-6</v>
      </c>
      <c r="P26" s="14">
        <v>8.1426000000000004E-7</v>
      </c>
      <c r="Q26" s="13">
        <v>5.0447590000000002E-3</v>
      </c>
      <c r="R26" s="13">
        <v>1.4877400000000001E-4</v>
      </c>
      <c r="S26" s="13">
        <v>-2.3689558119999998</v>
      </c>
      <c r="T26" s="13">
        <v>1.8441332000000001E-2</v>
      </c>
      <c r="U26" s="14">
        <v>2.7615700000000001E-8</v>
      </c>
      <c r="V26" s="14">
        <v>9.2788100000000001E-10</v>
      </c>
      <c r="W26" s="13">
        <v>-1.047269E-3</v>
      </c>
      <c r="X26" s="15">
        <v>2.4386699999999999E-4</v>
      </c>
    </row>
    <row r="27" spans="1:32" x14ac:dyDescent="0.3">
      <c r="A27" s="17" t="s">
        <v>108</v>
      </c>
      <c r="C27" s="13">
        <v>68</v>
      </c>
      <c r="E27">
        <f t="shared" si="0"/>
        <v>68</v>
      </c>
      <c r="F27" s="13">
        <v>6.3623200000000004</v>
      </c>
      <c r="G27" s="13">
        <v>2911.3965870000002</v>
      </c>
      <c r="H27" s="13">
        <f t="shared" si="1"/>
        <v>0.81070073512827157</v>
      </c>
      <c r="I27" s="13">
        <v>457599835.69999999</v>
      </c>
      <c r="J27" s="13">
        <v>31289.54305</v>
      </c>
      <c r="K27" s="13">
        <v>7.1811203000000004E-2</v>
      </c>
      <c r="L27" s="13">
        <v>6.0696299999999997E-4</v>
      </c>
      <c r="M27" s="14">
        <v>5.80686E-6</v>
      </c>
      <c r="N27" s="14">
        <v>1.1172700000000001E-7</v>
      </c>
      <c r="O27" s="14">
        <v>3.64869E-6</v>
      </c>
      <c r="P27" s="14">
        <v>8.2302000000000002E-7</v>
      </c>
      <c r="Q27" s="13">
        <v>5.0303860000000004E-3</v>
      </c>
      <c r="R27" s="13">
        <v>1.76663E-4</v>
      </c>
      <c r="S27" s="13">
        <v>-1.892444915</v>
      </c>
      <c r="T27" s="13">
        <v>2.1882972000000001E-2</v>
      </c>
      <c r="U27" s="14">
        <v>2.18126E-8</v>
      </c>
      <c r="V27" s="14">
        <v>8.2537300000000004E-10</v>
      </c>
      <c r="W27" s="13">
        <v>-1.8600450000000001E-3</v>
      </c>
      <c r="X27" s="15">
        <v>2.6948500000000003E-4</v>
      </c>
    </row>
    <row r="28" spans="1:32" x14ac:dyDescent="0.3">
      <c r="A28" s="17" t="s">
        <v>108</v>
      </c>
      <c r="C28" s="13">
        <v>72</v>
      </c>
      <c r="E28">
        <f t="shared" si="0"/>
        <v>72</v>
      </c>
      <c r="F28" s="13">
        <v>6.3623200000000004</v>
      </c>
      <c r="G28" s="13">
        <v>2951.8618670000001</v>
      </c>
      <c r="H28" s="13">
        <f t="shared" si="1"/>
        <v>0.82196860306136377</v>
      </c>
      <c r="I28" s="13">
        <v>463959981</v>
      </c>
      <c r="J28" s="13">
        <v>25527.401399999999</v>
      </c>
      <c r="K28" s="13">
        <v>7.0082496999999994E-2</v>
      </c>
      <c r="L28" s="13">
        <v>6.4297400000000004E-4</v>
      </c>
      <c r="M28" s="14">
        <v>6.0287200000000001E-6</v>
      </c>
      <c r="N28" s="14">
        <v>1.1679300000000001E-7</v>
      </c>
      <c r="O28" s="14">
        <v>4.0420200000000001E-6</v>
      </c>
      <c r="P28" s="14">
        <v>8.6243799999999998E-7</v>
      </c>
      <c r="Q28" s="13">
        <v>4.4424089999999996E-3</v>
      </c>
      <c r="R28" s="13">
        <v>1.5589E-4</v>
      </c>
      <c r="S28" s="13">
        <v>-2.3016704240000001</v>
      </c>
      <c r="T28" s="13">
        <v>2.1987777999999999E-2</v>
      </c>
      <c r="U28" s="14">
        <v>2.5353100000000001E-8</v>
      </c>
      <c r="V28" s="14">
        <v>9.9603399999999995E-10</v>
      </c>
      <c r="W28" s="13">
        <v>-1.5131260000000001E-3</v>
      </c>
      <c r="X28" s="15">
        <v>2.5697099999999999E-4</v>
      </c>
    </row>
    <row r="29" spans="1:32" x14ac:dyDescent="0.3">
      <c r="A29" s="17" t="s">
        <v>108</v>
      </c>
      <c r="C29" s="13">
        <v>76</v>
      </c>
      <c r="E29">
        <f t="shared" si="0"/>
        <v>76</v>
      </c>
      <c r="F29" s="13">
        <v>6.3623200000000004</v>
      </c>
      <c r="G29" s="13">
        <v>2911.0496790000002</v>
      </c>
      <c r="H29" s="13">
        <f t="shared" si="1"/>
        <v>0.81060413593190039</v>
      </c>
      <c r="I29" s="13">
        <v>457545310.30000001</v>
      </c>
      <c r="J29" s="13">
        <v>26995.2929</v>
      </c>
      <c r="K29" s="13">
        <v>6.8435749000000004E-2</v>
      </c>
      <c r="L29" s="13">
        <v>4.9433099999999998E-4</v>
      </c>
      <c r="M29" s="14">
        <v>5.5597700000000001E-6</v>
      </c>
      <c r="N29" s="14">
        <v>1.10985E-7</v>
      </c>
      <c r="O29" s="14">
        <v>2.12112E-6</v>
      </c>
      <c r="P29" s="14">
        <v>7.3917799999999998E-7</v>
      </c>
      <c r="Q29" s="13">
        <v>3.121955E-3</v>
      </c>
      <c r="R29" s="13">
        <v>1.26747E-4</v>
      </c>
      <c r="S29" s="13">
        <v>2.3872939450000001</v>
      </c>
      <c r="T29" s="13">
        <v>2.640174E-2</v>
      </c>
      <c r="U29" s="14">
        <v>2.9306000000000001E-8</v>
      </c>
      <c r="V29" s="14">
        <v>1.4435599999999999E-9</v>
      </c>
      <c r="W29" s="13">
        <v>-2.607608E-3</v>
      </c>
      <c r="X29" s="15">
        <v>2.8417600000000002E-4</v>
      </c>
    </row>
    <row r="30" spans="1:32" x14ac:dyDescent="0.3">
      <c r="A30" s="17" t="s">
        <v>108</v>
      </c>
      <c r="C30" s="13">
        <v>80</v>
      </c>
      <c r="E30">
        <f t="shared" si="0"/>
        <v>80</v>
      </c>
      <c r="F30" s="13">
        <v>6.3623200000000004</v>
      </c>
      <c r="G30" s="13">
        <v>2761.3106299999999</v>
      </c>
      <c r="H30" s="13">
        <f t="shared" si="1"/>
        <v>0.76890814795013374</v>
      </c>
      <c r="I30" s="13">
        <v>434010020</v>
      </c>
      <c r="J30" s="13">
        <v>272339.90899999999</v>
      </c>
      <c r="K30" s="13">
        <v>7.4871960000000001E-2</v>
      </c>
      <c r="L30" s="13">
        <v>6.6691600000000004E-4</v>
      </c>
      <c r="M30" s="14">
        <v>6.36357E-6</v>
      </c>
      <c r="N30" s="14">
        <v>1.12408E-7</v>
      </c>
      <c r="O30" s="14">
        <v>8.3882899999999999E-6</v>
      </c>
      <c r="P30" s="14">
        <v>7.6267199999999999E-7</v>
      </c>
      <c r="Q30" s="13">
        <v>3.3801410000000001E-3</v>
      </c>
      <c r="R30" s="13">
        <v>1.6405599999999999E-4</v>
      </c>
      <c r="S30" s="13">
        <v>1.274929357</v>
      </c>
      <c r="T30" s="13">
        <v>4.9745240000000003E-2</v>
      </c>
      <c r="U30" s="14">
        <v>1.48356E-8</v>
      </c>
      <c r="V30" s="13"/>
      <c r="W30" s="13">
        <v>-8.5121800000000005E-4</v>
      </c>
      <c r="X30" s="15">
        <v>2.3691599999999999E-4</v>
      </c>
    </row>
    <row r="31" spans="1:32" x14ac:dyDescent="0.3">
      <c r="A31" s="17" t="s">
        <v>108</v>
      </c>
      <c r="C31" s="13">
        <v>84</v>
      </c>
      <c r="E31">
        <f t="shared" si="0"/>
        <v>84</v>
      </c>
      <c r="F31" s="13">
        <v>6.3623200000000004</v>
      </c>
      <c r="G31" s="13">
        <v>3386.4394550000002</v>
      </c>
      <c r="H31" s="13">
        <f t="shared" si="1"/>
        <v>0.94298006939165357</v>
      </c>
      <c r="I31" s="13">
        <v>532264874.19999999</v>
      </c>
      <c r="J31" s="13">
        <v>54497.048450000002</v>
      </c>
      <c r="K31" s="13">
        <v>5.5648731999999999E-2</v>
      </c>
      <c r="L31" s="13">
        <v>5.3750499999999997E-4</v>
      </c>
      <c r="M31" s="14">
        <v>6.4359599999999996E-6</v>
      </c>
      <c r="N31" s="14">
        <v>1.31263E-7</v>
      </c>
      <c r="O31" s="14">
        <v>9.6585900000000003E-6</v>
      </c>
      <c r="P31" s="14">
        <v>8.0023799999999997E-7</v>
      </c>
      <c r="Q31" s="13">
        <v>1.2161369999999999E-3</v>
      </c>
      <c r="R31" s="13">
        <v>1.0189200000000001E-4</v>
      </c>
      <c r="S31" s="13">
        <v>-0.31042249300000002</v>
      </c>
      <c r="T31" s="13">
        <v>5.5181789000000002E-2</v>
      </c>
      <c r="U31" s="14">
        <v>3.4856999999999999E-8</v>
      </c>
      <c r="V31" s="14">
        <v>3.6538099999999998E-9</v>
      </c>
      <c r="W31" s="13">
        <v>-6.4809500000000001E-4</v>
      </c>
      <c r="X31" s="15">
        <v>2.04916E-4</v>
      </c>
    </row>
    <row r="32" spans="1:32" x14ac:dyDescent="0.3">
      <c r="A32" s="17" t="s">
        <v>108</v>
      </c>
      <c r="C32" s="13">
        <v>88</v>
      </c>
      <c r="E32">
        <f t="shared" si="0"/>
        <v>88</v>
      </c>
      <c r="F32" s="13">
        <v>6.3623200000000004</v>
      </c>
      <c r="G32" s="13">
        <v>2685.0016169999999</v>
      </c>
      <c r="H32" s="13">
        <f t="shared" si="1"/>
        <v>0.74765931733315505</v>
      </c>
      <c r="I32" s="13">
        <v>422016122.60000002</v>
      </c>
      <c r="J32" s="13">
        <v>311407.42879999999</v>
      </c>
      <c r="K32" s="13">
        <v>5.3028664000000003E-2</v>
      </c>
      <c r="L32" s="13">
        <v>5.8598500000000002E-4</v>
      </c>
      <c r="M32" s="14">
        <v>6.3089900000000002E-6</v>
      </c>
      <c r="N32" s="14">
        <v>1.3796900000000001E-7</v>
      </c>
      <c r="O32" s="14">
        <v>4.2520000000000001E-6</v>
      </c>
      <c r="P32" s="14">
        <v>9.9766500000000009E-7</v>
      </c>
      <c r="Q32" s="13">
        <v>1.8796609999999999E-3</v>
      </c>
      <c r="R32" s="13">
        <v>1.17203E-4</v>
      </c>
      <c r="S32" s="13">
        <v>1.8674015829999999</v>
      </c>
      <c r="T32" s="13">
        <v>6.3610431999999995E-2</v>
      </c>
      <c r="U32" s="14">
        <v>1.8255E-8</v>
      </c>
      <c r="V32" s="13"/>
      <c r="W32" s="13">
        <v>-5.33499E-4</v>
      </c>
      <c r="X32" s="15">
        <v>2.1310599999999999E-4</v>
      </c>
    </row>
    <row r="33" spans="1:24" x14ac:dyDescent="0.3">
      <c r="A33" s="17" t="s">
        <v>108</v>
      </c>
      <c r="C33" s="13">
        <v>92</v>
      </c>
      <c r="E33">
        <f t="shared" si="0"/>
        <v>92</v>
      </c>
      <c r="F33" s="13">
        <v>6.3623200000000004</v>
      </c>
      <c r="G33" s="13">
        <v>3431.8580440000001</v>
      </c>
      <c r="H33" s="13">
        <f t="shared" si="1"/>
        <v>0.95562722425032232</v>
      </c>
      <c r="I33" s="13">
        <v>539403557.79999995</v>
      </c>
      <c r="J33" s="13">
        <v>69299.636069999993</v>
      </c>
      <c r="K33" s="13">
        <v>6.1042095999999997E-2</v>
      </c>
      <c r="L33" s="13">
        <v>6.7680099999999999E-4</v>
      </c>
      <c r="M33" s="14">
        <v>6.7247500000000003E-6</v>
      </c>
      <c r="N33" s="14">
        <v>1.34575E-7</v>
      </c>
      <c r="O33" s="14">
        <v>1.04819E-5</v>
      </c>
      <c r="P33" s="14">
        <v>8.8814300000000004E-7</v>
      </c>
      <c r="Q33" s="13">
        <v>1.891939E-3</v>
      </c>
      <c r="R33" s="13">
        <v>1.5370800000000001E-4</v>
      </c>
      <c r="S33" s="13">
        <v>1.176817335</v>
      </c>
      <c r="T33" s="13">
        <v>5.1750039999999997E-2</v>
      </c>
      <c r="U33" s="14">
        <v>2.4520000000000001E-8</v>
      </c>
      <c r="V33" s="14">
        <v>2.2537899999999999E-9</v>
      </c>
      <c r="W33" s="14">
        <v>-8.1324199999999996E-5</v>
      </c>
      <c r="X33" s="15">
        <v>2.07118E-4</v>
      </c>
    </row>
    <row r="34" spans="1:24" x14ac:dyDescent="0.3">
      <c r="A34" s="17" t="s">
        <v>108</v>
      </c>
      <c r="C34" s="13">
        <v>96</v>
      </c>
      <c r="E34">
        <f t="shared" si="0"/>
        <v>96</v>
      </c>
      <c r="F34" s="13">
        <v>6.3623200000000004</v>
      </c>
      <c r="G34" s="13">
        <v>3454.0285389999999</v>
      </c>
      <c r="H34" s="13">
        <f t="shared" si="1"/>
        <v>0.96180076882165055</v>
      </c>
      <c r="I34" s="13">
        <v>542888213.60000002</v>
      </c>
      <c r="J34" s="13">
        <v>88620.473299999998</v>
      </c>
      <c r="K34" s="13">
        <v>5.9301522000000002E-2</v>
      </c>
      <c r="L34" s="13">
        <v>5.9325899999999995E-4</v>
      </c>
      <c r="M34" s="14">
        <v>6.6600099999999996E-6</v>
      </c>
      <c r="N34" s="14">
        <v>1.2847599999999999E-7</v>
      </c>
      <c r="O34" s="14">
        <v>9.8985500000000003E-6</v>
      </c>
      <c r="P34" s="14">
        <v>8.0595900000000002E-7</v>
      </c>
      <c r="Q34" s="13">
        <v>1.672511E-3</v>
      </c>
      <c r="R34" s="13">
        <v>1.4468599999999999E-4</v>
      </c>
      <c r="S34" s="13">
        <v>2.3698088450000001</v>
      </c>
      <c r="T34" s="13">
        <v>5.4659183E-2</v>
      </c>
      <c r="U34" s="14">
        <v>2.44088E-8</v>
      </c>
      <c r="V34" s="14">
        <v>2.4369199999999999E-9</v>
      </c>
      <c r="W34" s="13">
        <v>-4.5081199999999998E-4</v>
      </c>
      <c r="X34" s="15">
        <v>1.9900399999999999E-4</v>
      </c>
    </row>
    <row r="35" spans="1:24" x14ac:dyDescent="0.3">
      <c r="A35" s="17" t="s">
        <v>108</v>
      </c>
      <c r="C35" s="13">
        <v>100</v>
      </c>
      <c r="E35">
        <f t="shared" si="0"/>
        <v>100</v>
      </c>
      <c r="F35" s="13">
        <v>6.3623200000000004</v>
      </c>
      <c r="G35" s="13">
        <v>3510.479366</v>
      </c>
      <c r="H35" s="13">
        <f t="shared" si="1"/>
        <v>0.9775199350636693</v>
      </c>
      <c r="I35" s="13">
        <v>551760893.10000002</v>
      </c>
      <c r="J35" s="13">
        <v>22227.885289999998</v>
      </c>
      <c r="K35" s="13">
        <v>5.7309274E-2</v>
      </c>
      <c r="L35" s="13">
        <v>5.5130299999999995E-4</v>
      </c>
      <c r="M35" s="14">
        <v>6.3967600000000001E-6</v>
      </c>
      <c r="N35" s="14">
        <v>1.3419299999999999E-7</v>
      </c>
      <c r="O35" s="14">
        <v>5.8705199999999997E-6</v>
      </c>
      <c r="P35" s="14">
        <v>8.3365200000000001E-7</v>
      </c>
      <c r="Q35" s="13">
        <v>3.61553E-3</v>
      </c>
      <c r="R35" s="13">
        <v>1.38617E-4</v>
      </c>
      <c r="S35" s="13">
        <v>-9.2684755999999993E-2</v>
      </c>
      <c r="T35" s="13">
        <v>2.5401902000000001E-2</v>
      </c>
      <c r="U35" s="14">
        <v>2.55317E-8</v>
      </c>
      <c r="V35" s="14">
        <v>1.1861799999999999E-9</v>
      </c>
      <c r="W35" s="13">
        <v>-8.3247699999999998E-4</v>
      </c>
      <c r="X35" s="15">
        <v>2.2430099999999999E-4</v>
      </c>
    </row>
    <row r="36" spans="1:24" x14ac:dyDescent="0.3">
      <c r="A36" s="17" t="s">
        <v>108</v>
      </c>
      <c r="C36" s="13">
        <v>104</v>
      </c>
      <c r="E36">
        <f t="shared" si="0"/>
        <v>104</v>
      </c>
      <c r="F36" s="13">
        <v>6.3623200000000004</v>
      </c>
      <c r="G36" s="13">
        <v>3523.3606770000001</v>
      </c>
      <c r="H36" s="13">
        <f t="shared" si="1"/>
        <v>0.98110683502217921</v>
      </c>
      <c r="I36" s="13">
        <v>553785518</v>
      </c>
      <c r="J36" s="13">
        <v>34628.700810000002</v>
      </c>
      <c r="K36" s="13">
        <v>5.4134925E-2</v>
      </c>
      <c r="L36" s="13">
        <v>5.2461000000000001E-4</v>
      </c>
      <c r="M36" s="14">
        <v>6.4415099999999999E-6</v>
      </c>
      <c r="N36" s="14">
        <v>1.3118399999999999E-7</v>
      </c>
      <c r="O36" s="14">
        <v>7.5413199999999998E-6</v>
      </c>
      <c r="P36" s="14">
        <v>8.2178200000000005E-7</v>
      </c>
      <c r="Q36" s="13">
        <v>2.10334E-3</v>
      </c>
      <c r="R36" s="13">
        <v>1.17052E-4</v>
      </c>
      <c r="S36" s="13">
        <v>-1.208691889</v>
      </c>
      <c r="T36" s="13">
        <v>3.6642684000000002E-2</v>
      </c>
      <c r="U36" s="14">
        <v>2.8428300000000001E-8</v>
      </c>
      <c r="V36" s="14">
        <v>1.9245499999999999E-9</v>
      </c>
      <c r="W36" s="13">
        <v>-2.4857999999999998E-4</v>
      </c>
      <c r="X36" s="15">
        <v>2.0123499999999999E-4</v>
      </c>
    </row>
    <row r="37" spans="1:24" x14ac:dyDescent="0.3">
      <c r="A37" s="17" t="s">
        <v>108</v>
      </c>
      <c r="C37" s="13">
        <v>108</v>
      </c>
      <c r="E37">
        <f t="shared" si="0"/>
        <v>108</v>
      </c>
      <c r="F37" s="13">
        <v>6.3623200000000004</v>
      </c>
      <c r="G37" s="13">
        <v>3521.1461380000001</v>
      </c>
      <c r="H37" s="13">
        <f t="shared" si="1"/>
        <v>0.98049017963304852</v>
      </c>
      <c r="I37" s="13">
        <v>553437447</v>
      </c>
      <c r="J37" s="13">
        <v>354696.82630000002</v>
      </c>
      <c r="K37" s="13">
        <v>5.9256495999999999E-2</v>
      </c>
      <c r="L37" s="13">
        <v>6.6819500000000001E-4</v>
      </c>
      <c r="M37" s="14">
        <v>6.5671500000000003E-6</v>
      </c>
      <c r="N37" s="14">
        <v>1.3709099999999999E-7</v>
      </c>
      <c r="O37" s="14">
        <v>9.0101899999999999E-6</v>
      </c>
      <c r="P37" s="14">
        <v>9.3739799999999996E-7</v>
      </c>
      <c r="Q37" s="13">
        <v>1.9290080000000001E-3</v>
      </c>
      <c r="R37" s="13">
        <v>1.6999199999999999E-4</v>
      </c>
      <c r="S37" s="13">
        <v>0.28268472500000003</v>
      </c>
      <c r="T37" s="13">
        <v>5.5820409000000001E-2</v>
      </c>
      <c r="U37" s="14">
        <v>2.2013E-8</v>
      </c>
      <c r="V37" s="14">
        <v>2.1225300000000001E-9</v>
      </c>
      <c r="W37" s="13">
        <v>-8.94658E-4</v>
      </c>
      <c r="X37" s="15">
        <v>2.14637E-4</v>
      </c>
    </row>
    <row r="38" spans="1:24" x14ac:dyDescent="0.3">
      <c r="A38" s="17" t="s">
        <v>108</v>
      </c>
      <c r="C38" s="13">
        <v>112</v>
      </c>
      <c r="E38">
        <f t="shared" si="0"/>
        <v>112</v>
      </c>
      <c r="F38" s="13">
        <v>6.3623200000000004</v>
      </c>
      <c r="G38" s="13">
        <v>2928.924829</v>
      </c>
      <c r="H38" s="13">
        <f t="shared" si="1"/>
        <v>0.81558160870570084</v>
      </c>
      <c r="I38" s="13">
        <v>460354843.69999999</v>
      </c>
      <c r="J38" s="13">
        <v>16487.216069999999</v>
      </c>
      <c r="K38" s="13">
        <v>5.7819150999999999E-2</v>
      </c>
      <c r="L38" s="13">
        <v>6.6412000000000003E-4</v>
      </c>
      <c r="M38" s="14">
        <v>6.4785400000000001E-6</v>
      </c>
      <c r="N38" s="14">
        <v>1.47185E-7</v>
      </c>
      <c r="O38" s="14">
        <v>4.1487099999999996E-6</v>
      </c>
      <c r="P38" s="14">
        <v>1.01309E-6</v>
      </c>
      <c r="Q38" s="13">
        <v>4.0742759999999999E-3</v>
      </c>
      <c r="R38" s="13">
        <v>1.3619399999999999E-4</v>
      </c>
      <c r="S38" s="13">
        <v>0.68310224100000005</v>
      </c>
      <c r="T38" s="13">
        <v>2.1349988E-2</v>
      </c>
      <c r="U38" s="14">
        <v>3.0559399999999998E-8</v>
      </c>
      <c r="V38" s="14">
        <v>1.2277300000000001E-9</v>
      </c>
      <c r="W38" s="13">
        <v>-4.3633799999999998E-4</v>
      </c>
      <c r="X38" s="15">
        <v>2.40184E-4</v>
      </c>
    </row>
    <row r="39" spans="1:24" x14ac:dyDescent="0.3">
      <c r="A39" s="17" t="s">
        <v>108</v>
      </c>
      <c r="C39" s="13">
        <v>116</v>
      </c>
      <c r="E39">
        <f t="shared" si="0"/>
        <v>116</v>
      </c>
      <c r="F39" s="13">
        <v>6.3623200000000004</v>
      </c>
      <c r="G39" s="13">
        <v>2993.7271959999998</v>
      </c>
      <c r="H39" s="13">
        <f t="shared" si="1"/>
        <v>0.83362632538893566</v>
      </c>
      <c r="I39" s="13">
        <v>470540179.60000002</v>
      </c>
      <c r="J39" s="13">
        <v>12662.527480000001</v>
      </c>
      <c r="K39" s="13">
        <v>5.3618872999999997E-2</v>
      </c>
      <c r="L39" s="13">
        <v>5.7194199999999998E-4</v>
      </c>
      <c r="M39" s="14">
        <v>6.4007399999999998E-6</v>
      </c>
      <c r="N39" s="14">
        <v>1.4131000000000001E-7</v>
      </c>
      <c r="O39" s="14">
        <v>1.1034399999999999E-6</v>
      </c>
      <c r="P39" s="14">
        <v>9.7763799999999996E-7</v>
      </c>
      <c r="Q39" s="13">
        <v>5.717382E-3</v>
      </c>
      <c r="R39" s="13">
        <v>1.4097E-4</v>
      </c>
      <c r="S39" s="13">
        <v>1.7488274290000001</v>
      </c>
      <c r="T39" s="13">
        <v>1.5854962E-2</v>
      </c>
      <c r="U39" s="14">
        <v>2.5729600000000001E-8</v>
      </c>
      <c r="V39" s="14">
        <v>7.5247300000000001E-10</v>
      </c>
      <c r="W39" s="13">
        <v>-3.9628999999999999E-4</v>
      </c>
      <c r="X39" s="15">
        <v>2.2373200000000001E-4</v>
      </c>
    </row>
    <row r="40" spans="1:24" x14ac:dyDescent="0.3">
      <c r="A40" s="17" t="s">
        <v>108</v>
      </c>
      <c r="C40" s="13">
        <v>120</v>
      </c>
      <c r="E40">
        <f t="shared" si="0"/>
        <v>120</v>
      </c>
      <c r="F40" s="13">
        <v>6.3623200000000004</v>
      </c>
      <c r="G40" s="13">
        <v>3035.0224210000001</v>
      </c>
      <c r="H40" s="13">
        <f t="shared" si="1"/>
        <v>0.84512529788010171</v>
      </c>
      <c r="I40" s="13">
        <v>477030771.89999998</v>
      </c>
      <c r="J40" s="13">
        <v>24311.69699</v>
      </c>
      <c r="K40" s="13">
        <v>5.3550256999999997E-2</v>
      </c>
      <c r="L40" s="13">
        <v>4.9849699999999998E-4</v>
      </c>
      <c r="M40" s="14">
        <v>6.1851600000000003E-6</v>
      </c>
      <c r="N40" s="14">
        <v>1.3072E-7</v>
      </c>
      <c r="O40" s="14">
        <v>2.2291099999999998E-6</v>
      </c>
      <c r="P40" s="14">
        <v>8.63129E-7</v>
      </c>
      <c r="Q40" s="13">
        <v>3.4357540000000001E-3</v>
      </c>
      <c r="R40" s="13">
        <v>1.31361E-4</v>
      </c>
      <c r="S40" s="13">
        <v>2.3300738920000001</v>
      </c>
      <c r="T40" s="13">
        <v>2.4745532000000001E-2</v>
      </c>
      <c r="U40" s="14">
        <v>2.5389399999999998E-8</v>
      </c>
      <c r="V40" s="14">
        <v>1.16146E-9</v>
      </c>
      <c r="W40" s="13">
        <v>-5.5166899999999997E-4</v>
      </c>
      <c r="X40" s="15">
        <v>2.1944400000000001E-4</v>
      </c>
    </row>
    <row r="41" spans="1:24" x14ac:dyDescent="0.3">
      <c r="A41" s="17" t="s">
        <v>108</v>
      </c>
      <c r="C41" s="13">
        <v>124</v>
      </c>
      <c r="E41">
        <f t="shared" si="0"/>
        <v>124</v>
      </c>
      <c r="F41" s="13">
        <v>6.3623200000000004</v>
      </c>
      <c r="G41" s="13">
        <v>3064.1191220000001</v>
      </c>
      <c r="H41" s="13">
        <f t="shared" si="1"/>
        <v>0.85322749769576267</v>
      </c>
      <c r="I41" s="13">
        <v>481604056.69999999</v>
      </c>
      <c r="J41" s="13">
        <v>12043.281059999999</v>
      </c>
      <c r="K41" s="13">
        <v>5.2546120000000002E-2</v>
      </c>
      <c r="L41" s="14">
        <v>7.9797799999999997E-5</v>
      </c>
      <c r="M41" s="14">
        <v>6.4837799999999999E-6</v>
      </c>
      <c r="N41" s="14">
        <v>6.65432E-8</v>
      </c>
      <c r="O41" s="14">
        <v>4.1963300000000001E-9</v>
      </c>
      <c r="P41" s="13"/>
      <c r="Q41" s="13">
        <v>4.4332360000000001E-3</v>
      </c>
      <c r="R41" s="13">
        <v>1.2875500000000001E-4</v>
      </c>
      <c r="S41" s="13">
        <v>2.528650641</v>
      </c>
      <c r="T41" s="13">
        <v>1.8297101E-2</v>
      </c>
      <c r="U41" s="14">
        <v>2.9704900000000002E-8</v>
      </c>
      <c r="V41" s="14">
        <v>9.9823699999999993E-10</v>
      </c>
      <c r="W41" s="13">
        <v>-4.15905E-4</v>
      </c>
      <c r="X41" s="15">
        <v>1.27145E-4</v>
      </c>
    </row>
    <row r="42" spans="1:24" x14ac:dyDescent="0.3">
      <c r="A42" s="17" t="s">
        <v>108</v>
      </c>
      <c r="C42" s="13">
        <v>128</v>
      </c>
      <c r="E42">
        <f t="shared" si="0"/>
        <v>128</v>
      </c>
      <c r="F42" s="13">
        <v>6.3623200000000004</v>
      </c>
      <c r="G42" s="13">
        <v>3059.0998960000002</v>
      </c>
      <c r="H42" s="13">
        <f t="shared" si="1"/>
        <v>0.85182985567538516</v>
      </c>
      <c r="I42" s="13">
        <v>480815158.10000002</v>
      </c>
      <c r="J42" s="13">
        <v>33979.272420000001</v>
      </c>
      <c r="K42" s="13">
        <v>4.7467792000000002E-2</v>
      </c>
      <c r="L42" s="14">
        <v>7.0823799999999998E-5</v>
      </c>
      <c r="M42" s="14">
        <v>6.5293399999999997E-6</v>
      </c>
      <c r="N42" s="14">
        <v>6.5222800000000004E-8</v>
      </c>
      <c r="O42" s="14">
        <v>3.5064300000000002E-13</v>
      </c>
      <c r="P42" s="13"/>
      <c r="Q42" s="13">
        <v>2.574518E-3</v>
      </c>
      <c r="R42" s="13">
        <v>1.19335E-4</v>
      </c>
      <c r="S42" s="13">
        <v>-2.2475649729999998</v>
      </c>
      <c r="T42" s="13">
        <v>2.9362991000000001E-2</v>
      </c>
      <c r="U42" s="14">
        <v>2.76636E-8</v>
      </c>
      <c r="V42" s="14">
        <v>1.48477E-9</v>
      </c>
      <c r="W42" s="13">
        <v>1.9459999999999999E-4</v>
      </c>
      <c r="X42" s="15">
        <v>1.11804E-4</v>
      </c>
    </row>
    <row r="43" spans="1:24" x14ac:dyDescent="0.3">
      <c r="A43" s="17" t="s">
        <v>108</v>
      </c>
      <c r="C43" s="13">
        <v>132</v>
      </c>
      <c r="E43">
        <f t="shared" si="0"/>
        <v>132</v>
      </c>
      <c r="F43" s="13">
        <v>6.3623200000000004</v>
      </c>
      <c r="G43" s="13">
        <v>3010.0217269999998</v>
      </c>
      <c r="H43" s="13">
        <f t="shared" si="1"/>
        <v>0.83816366266522979</v>
      </c>
      <c r="I43" s="13">
        <v>473101278.60000002</v>
      </c>
      <c r="J43" s="13">
        <v>16452.809649999999</v>
      </c>
      <c r="K43" s="13">
        <v>5.9824503000000001E-2</v>
      </c>
      <c r="L43" s="14">
        <v>7.8184399999999996E-5</v>
      </c>
      <c r="M43" s="14">
        <v>6.4083199999999998E-6</v>
      </c>
      <c r="N43" s="14">
        <v>5.80314E-8</v>
      </c>
      <c r="O43" s="14">
        <v>2.3283600000000002E-14</v>
      </c>
      <c r="P43" s="13"/>
      <c r="Q43" s="13">
        <v>3.7928409999999999E-3</v>
      </c>
      <c r="R43" s="13">
        <v>1.3280599999999999E-4</v>
      </c>
      <c r="S43" s="13">
        <v>1.447724612</v>
      </c>
      <c r="T43" s="13">
        <v>2.1177662E-2</v>
      </c>
      <c r="U43" s="14">
        <v>3.0231600000000001E-8</v>
      </c>
      <c r="V43" s="14">
        <v>1.17199E-9</v>
      </c>
      <c r="W43" s="13">
        <v>-9.0812200000000003E-4</v>
      </c>
      <c r="X43" s="15">
        <v>1.2711499999999999E-4</v>
      </c>
    </row>
    <row r="44" spans="1:24" x14ac:dyDescent="0.3">
      <c r="A44" s="17" t="s">
        <v>108</v>
      </c>
      <c r="C44" s="13">
        <v>136</v>
      </c>
      <c r="E44">
        <f t="shared" si="0"/>
        <v>136</v>
      </c>
      <c r="F44" s="13">
        <v>6.3623200000000004</v>
      </c>
      <c r="G44" s="13">
        <v>2956.084906</v>
      </c>
      <c r="H44" s="13">
        <f t="shared" si="1"/>
        <v>0.82314454069798204</v>
      </c>
      <c r="I44" s="13">
        <v>464623738.80000001</v>
      </c>
      <c r="J44" s="13">
        <v>9378.0375409999997</v>
      </c>
      <c r="K44" s="13">
        <v>6.6795451000000006E-2</v>
      </c>
      <c r="L44" s="13">
        <v>5.6904299999999998E-4</v>
      </c>
      <c r="M44" s="14">
        <v>6.5615900000000001E-6</v>
      </c>
      <c r="N44" s="14">
        <v>1.12781E-7</v>
      </c>
      <c r="O44" s="14">
        <v>7.9838300000000001E-6</v>
      </c>
      <c r="P44" s="14">
        <v>7.0928900000000005E-7</v>
      </c>
      <c r="Q44" s="13">
        <v>6.2383100000000004E-3</v>
      </c>
      <c r="R44" s="13">
        <v>1.3570499999999999E-4</v>
      </c>
      <c r="S44" s="13">
        <v>1.815692815</v>
      </c>
      <c r="T44" s="13">
        <v>1.3984606E-2</v>
      </c>
      <c r="U44" s="14">
        <v>2.57532E-8</v>
      </c>
      <c r="V44" s="14">
        <v>6.6262200000000005E-10</v>
      </c>
      <c r="W44" s="13">
        <v>-6.2128400000000005E-4</v>
      </c>
      <c r="X44" s="15">
        <v>2.0571899999999999E-4</v>
      </c>
    </row>
    <row r="45" spans="1:24" x14ac:dyDescent="0.3">
      <c r="A45" s="17" t="s">
        <v>108</v>
      </c>
      <c r="C45" s="13">
        <v>140</v>
      </c>
      <c r="E45">
        <f t="shared" si="0"/>
        <v>140</v>
      </c>
      <c r="F45" s="13">
        <v>6.3623200000000004</v>
      </c>
      <c r="G45" s="13">
        <v>2909.9287129999998</v>
      </c>
      <c r="H45" s="13">
        <f t="shared" si="1"/>
        <v>0.81029199434173993</v>
      </c>
      <c r="I45" s="13">
        <v>457369122.10000002</v>
      </c>
      <c r="J45" s="13">
        <v>14377.519630000001</v>
      </c>
      <c r="K45" s="13">
        <v>6.4746891000000001E-2</v>
      </c>
      <c r="L45" s="13">
        <v>5.32129E-4</v>
      </c>
      <c r="M45" s="14">
        <v>6.0364000000000003E-6</v>
      </c>
      <c r="N45" s="14">
        <v>1.1764500000000001E-7</v>
      </c>
      <c r="O45" s="14">
        <v>7.13318E-6</v>
      </c>
      <c r="P45" s="14">
        <v>7.4043400000000002E-7</v>
      </c>
      <c r="Q45" s="13">
        <v>4.7116880000000003E-3</v>
      </c>
      <c r="R45" s="13">
        <v>1.38985E-4</v>
      </c>
      <c r="S45" s="13">
        <v>2.2304542220000001</v>
      </c>
      <c r="T45" s="13">
        <v>1.8989900000000001E-2</v>
      </c>
      <c r="U45" s="14">
        <v>2.5627799999999999E-8</v>
      </c>
      <c r="V45" s="14">
        <v>8.9379900000000005E-10</v>
      </c>
      <c r="W45" s="13">
        <v>-2.1553599999999998E-3</v>
      </c>
      <c r="X45" s="15">
        <v>2.4212699999999999E-4</v>
      </c>
    </row>
    <row r="46" spans="1:24" x14ac:dyDescent="0.3">
      <c r="A46" s="17" t="s">
        <v>108</v>
      </c>
      <c r="C46" s="13">
        <v>144</v>
      </c>
      <c r="E46">
        <f t="shared" si="0"/>
        <v>144</v>
      </c>
      <c r="F46" s="13">
        <v>6.3623200000000004</v>
      </c>
      <c r="G46" s="13">
        <v>2867.8370490000002</v>
      </c>
      <c r="H46" s="13">
        <f t="shared" si="1"/>
        <v>0.79857124729547979</v>
      </c>
      <c r="I46" s="13">
        <v>450753349.19999999</v>
      </c>
      <c r="J46" s="13">
        <v>13254.543369999999</v>
      </c>
      <c r="K46" s="13">
        <v>5.9758841E-2</v>
      </c>
      <c r="L46" s="13">
        <v>6.7947999999999999E-4</v>
      </c>
      <c r="M46" s="14">
        <v>6.6753700000000001E-6</v>
      </c>
      <c r="N46" s="14">
        <v>1.32549E-7</v>
      </c>
      <c r="O46" s="14">
        <v>8.2963700000000003E-6</v>
      </c>
      <c r="P46" s="14">
        <v>9.4595599999999998E-7</v>
      </c>
      <c r="Q46" s="13">
        <v>4.0322320000000002E-3</v>
      </c>
      <c r="R46" s="13">
        <v>1.3343299999999999E-4</v>
      </c>
      <c r="S46" s="13">
        <v>-2.0851156369999999</v>
      </c>
      <c r="T46" s="13">
        <v>2.0749747999999998E-2</v>
      </c>
      <c r="U46" s="14">
        <v>2.82356E-8</v>
      </c>
      <c r="V46" s="14">
        <v>1.0649200000000001E-9</v>
      </c>
      <c r="W46" s="13">
        <v>-3.0078899999999998E-4</v>
      </c>
      <c r="X46" s="15">
        <v>2.0232200000000001E-4</v>
      </c>
    </row>
    <row r="47" spans="1:24" x14ac:dyDescent="0.3">
      <c r="A47" s="17" t="s">
        <v>108</v>
      </c>
      <c r="C47" s="13">
        <v>148</v>
      </c>
      <c r="E47">
        <f t="shared" si="0"/>
        <v>148</v>
      </c>
      <c r="F47" s="13">
        <v>6.3623200000000004</v>
      </c>
      <c r="G47" s="13">
        <v>2832.3881879999999</v>
      </c>
      <c r="H47" s="13">
        <f t="shared" si="1"/>
        <v>0.78870023975206127</v>
      </c>
      <c r="I47" s="13">
        <v>445181661.5</v>
      </c>
      <c r="J47" s="13">
        <v>13478.77066</v>
      </c>
      <c r="K47" s="13">
        <v>5.8873698000000002E-2</v>
      </c>
      <c r="L47" s="13">
        <v>5.1935900000000005E-4</v>
      </c>
      <c r="M47" s="14">
        <v>6.8389099999999997E-6</v>
      </c>
      <c r="N47" s="14">
        <v>1.21365E-7</v>
      </c>
      <c r="O47" s="14">
        <v>1.2075900000000001E-5</v>
      </c>
      <c r="P47" s="14">
        <v>6.6927199999999996E-7</v>
      </c>
      <c r="Q47" s="13">
        <v>3.4579760000000002E-3</v>
      </c>
      <c r="R47" s="13">
        <v>1.09752E-4</v>
      </c>
      <c r="S47" s="13">
        <v>-2.680169759</v>
      </c>
      <c r="T47" s="13">
        <v>2.0997069E-2</v>
      </c>
      <c r="U47" s="14">
        <v>3.0357300000000001E-8</v>
      </c>
      <c r="V47" s="14">
        <v>1.2054E-9</v>
      </c>
      <c r="W47" s="13">
        <v>1.2157799999999999E-4</v>
      </c>
      <c r="X47" s="15">
        <v>1.8033200000000001E-4</v>
      </c>
    </row>
    <row r="48" spans="1:24" x14ac:dyDescent="0.3">
      <c r="A48" s="17" t="s">
        <v>108</v>
      </c>
      <c r="C48" s="13">
        <v>152</v>
      </c>
      <c r="E48">
        <f t="shared" si="0"/>
        <v>152</v>
      </c>
      <c r="F48" s="13">
        <v>6.3623200000000004</v>
      </c>
      <c r="G48" s="13">
        <v>2785.2873599999998</v>
      </c>
      <c r="H48" s="13">
        <f t="shared" si="1"/>
        <v>0.7755846525265857</v>
      </c>
      <c r="I48" s="13">
        <v>437778571.30000001</v>
      </c>
      <c r="J48" s="13">
        <v>22243.891940000001</v>
      </c>
      <c r="K48" s="13">
        <v>5.9121604000000001E-2</v>
      </c>
      <c r="L48" s="13">
        <v>5.8992799999999998E-4</v>
      </c>
      <c r="M48" s="14">
        <v>6.5040099999999998E-6</v>
      </c>
      <c r="N48" s="14">
        <v>1.2007399999999999E-7</v>
      </c>
      <c r="O48" s="14">
        <v>8.9675500000000002E-6</v>
      </c>
      <c r="P48" s="14">
        <v>8.3820799999999998E-7</v>
      </c>
      <c r="Q48" s="13">
        <v>2.5601E-3</v>
      </c>
      <c r="R48" s="13">
        <v>1.10952E-4</v>
      </c>
      <c r="S48" s="13">
        <v>-0.81162639599999997</v>
      </c>
      <c r="T48" s="13">
        <v>2.7499837999999999E-2</v>
      </c>
      <c r="U48" s="14">
        <v>3.05964E-8</v>
      </c>
      <c r="V48" s="14">
        <v>1.54578E-9</v>
      </c>
      <c r="W48" s="14">
        <v>-4.8892199999999999E-5</v>
      </c>
      <c r="X48" s="15">
        <v>1.89903E-4</v>
      </c>
    </row>
    <row r="49" spans="1:24" x14ac:dyDescent="0.3">
      <c r="A49" s="17" t="s">
        <v>108</v>
      </c>
      <c r="C49" s="13">
        <v>156</v>
      </c>
      <c r="E49">
        <f t="shared" si="0"/>
        <v>156</v>
      </c>
      <c r="F49" s="13">
        <v>6.3623200000000004</v>
      </c>
      <c r="G49" s="13">
        <v>2757.442865</v>
      </c>
      <c r="H49" s="13">
        <f t="shared" si="1"/>
        <v>0.76783113908682588</v>
      </c>
      <c r="I49" s="13">
        <v>433402102.60000002</v>
      </c>
      <c r="J49" s="13">
        <v>42043.230839999997</v>
      </c>
      <c r="K49" s="13">
        <v>4.9696445999999998E-2</v>
      </c>
      <c r="L49" s="14">
        <v>7.0950000000000003E-5</v>
      </c>
      <c r="M49" s="14">
        <v>6.3627500000000002E-6</v>
      </c>
      <c r="N49" s="14">
        <v>6.1618599999999996E-8</v>
      </c>
      <c r="O49" s="14">
        <v>5.7152500000000005E-10</v>
      </c>
      <c r="P49" s="13"/>
      <c r="Q49" s="13">
        <v>2.6231370000000002E-3</v>
      </c>
      <c r="R49" s="13">
        <v>1.2949899999999999E-4</v>
      </c>
      <c r="S49" s="13">
        <v>-0.70591898200000003</v>
      </c>
      <c r="T49" s="13">
        <v>3.1255750999999998E-2</v>
      </c>
      <c r="U49" s="14">
        <v>2.54303E-8</v>
      </c>
      <c r="V49" s="14">
        <v>1.4008899999999999E-9</v>
      </c>
      <c r="W49" s="13">
        <v>1.4106399999999999E-4</v>
      </c>
      <c r="X49" s="15">
        <v>1.14595E-4</v>
      </c>
    </row>
    <row r="50" spans="1:24" x14ac:dyDescent="0.3">
      <c r="A50" s="17" t="s">
        <v>108</v>
      </c>
      <c r="C50" s="13">
        <v>160</v>
      </c>
      <c r="E50">
        <f t="shared" si="0"/>
        <v>160</v>
      </c>
      <c r="F50" s="13">
        <v>6.3623200000000004</v>
      </c>
      <c r="G50" s="13">
        <v>2758.3473220000001</v>
      </c>
      <c r="H50" s="13">
        <f t="shared" si="1"/>
        <v>0.76808299208344821</v>
      </c>
      <c r="I50" s="13">
        <v>433544260.89999998</v>
      </c>
      <c r="J50" s="13">
        <v>25746.154780000001</v>
      </c>
      <c r="K50" s="13">
        <v>4.9499634000000001E-2</v>
      </c>
      <c r="L50" s="14">
        <v>8.0437699999999997E-5</v>
      </c>
      <c r="M50" s="14">
        <v>6.1027699999999998E-6</v>
      </c>
      <c r="N50" s="14">
        <v>6.4747200000000002E-8</v>
      </c>
      <c r="O50" s="14">
        <v>9.2702000000000002E-13</v>
      </c>
      <c r="P50" s="13"/>
      <c r="Q50" s="13">
        <v>2.5030489999999998E-3</v>
      </c>
      <c r="R50" s="13">
        <v>1.1195499999999999E-4</v>
      </c>
      <c r="S50" s="13">
        <v>2.1130523700000001</v>
      </c>
      <c r="T50" s="13">
        <v>2.8988223E-2</v>
      </c>
      <c r="U50" s="14">
        <v>3.0195699999999998E-8</v>
      </c>
      <c r="V50" s="14">
        <v>1.6219400000000001E-9</v>
      </c>
      <c r="W50" s="13">
        <v>-3.6460600000000001E-4</v>
      </c>
      <c r="X50" s="15">
        <v>1.29777E-4</v>
      </c>
    </row>
    <row r="51" spans="1:24" x14ac:dyDescent="0.3">
      <c r="A51" s="17" t="s">
        <v>108</v>
      </c>
      <c r="C51" s="13">
        <v>164</v>
      </c>
      <c r="E51">
        <f t="shared" si="0"/>
        <v>164</v>
      </c>
      <c r="F51" s="13">
        <v>6.3623200000000004</v>
      </c>
      <c r="G51" s="13">
        <v>2771.1630660000001</v>
      </c>
      <c r="H51" s="13">
        <f t="shared" si="1"/>
        <v>0.77165163440734463</v>
      </c>
      <c r="I51" s="13">
        <v>435558580.19999999</v>
      </c>
      <c r="J51" s="13">
        <v>38342.057070000003</v>
      </c>
      <c r="K51" s="13">
        <v>5.6318118E-2</v>
      </c>
      <c r="L51" s="14">
        <v>7.3973999999999993E-5</v>
      </c>
      <c r="M51" s="14">
        <v>6.5919600000000003E-6</v>
      </c>
      <c r="N51" s="14">
        <v>5.8226500000000002E-8</v>
      </c>
      <c r="O51" s="14">
        <v>1.31927E-10</v>
      </c>
      <c r="P51" s="13"/>
      <c r="Q51" s="13">
        <v>2.8015409999999998E-3</v>
      </c>
      <c r="R51" s="13">
        <v>1.3055099999999999E-4</v>
      </c>
      <c r="S51" s="13">
        <v>-0.27925907300000002</v>
      </c>
      <c r="T51" s="13">
        <v>2.9495873999999998E-2</v>
      </c>
      <c r="U51" s="14">
        <v>2.6845E-8</v>
      </c>
      <c r="V51" s="14">
        <v>1.4279600000000001E-9</v>
      </c>
      <c r="W51" s="13">
        <v>4.1805899999999998E-4</v>
      </c>
      <c r="X51" s="15">
        <v>1.16282E-4</v>
      </c>
    </row>
    <row r="52" spans="1:24" x14ac:dyDescent="0.3">
      <c r="A52" s="17" t="s">
        <v>108</v>
      </c>
      <c r="C52" s="13">
        <v>168</v>
      </c>
      <c r="E52">
        <f t="shared" si="0"/>
        <v>168</v>
      </c>
      <c r="F52" s="13">
        <v>6.3623200000000004</v>
      </c>
      <c r="G52" s="13">
        <v>2790.3039199999998</v>
      </c>
      <c r="H52" s="13">
        <f t="shared" si="1"/>
        <v>0.77698155217879206</v>
      </c>
      <c r="I52" s="13">
        <v>438567050.89999998</v>
      </c>
      <c r="J52" s="13">
        <v>17697.16401</v>
      </c>
      <c r="K52" s="13">
        <v>6.6262705000000005E-2</v>
      </c>
      <c r="L52" s="13">
        <v>6.7294100000000003E-4</v>
      </c>
      <c r="M52" s="14">
        <v>6.1535700000000003E-6</v>
      </c>
      <c r="N52" s="14">
        <v>1.2589E-7</v>
      </c>
      <c r="O52" s="14">
        <v>6.7338099999999997E-6</v>
      </c>
      <c r="P52" s="14">
        <v>9.1419000000000001E-7</v>
      </c>
      <c r="Q52" s="13">
        <v>2.959621E-3</v>
      </c>
      <c r="R52" s="13">
        <v>1.22149E-4</v>
      </c>
      <c r="S52" s="13">
        <v>-1.786770204</v>
      </c>
      <c r="T52" s="13">
        <v>2.5926846999999999E-2</v>
      </c>
      <c r="U52" s="14">
        <v>3.3893999999999999E-8</v>
      </c>
      <c r="V52" s="14">
        <v>1.6490899999999999E-9</v>
      </c>
      <c r="W52" s="13">
        <v>-4.9688800000000002E-4</v>
      </c>
      <c r="X52" s="15">
        <v>2.4831099999999997E-4</v>
      </c>
    </row>
    <row r="53" spans="1:24" x14ac:dyDescent="0.3">
      <c r="A53" s="17" t="s">
        <v>108</v>
      </c>
      <c r="C53" s="13">
        <v>172</v>
      </c>
      <c r="E53">
        <f t="shared" si="0"/>
        <v>172</v>
      </c>
      <c r="F53" s="13">
        <v>6.3623200000000004</v>
      </c>
      <c r="G53" s="13">
        <v>2821.7763690000002</v>
      </c>
      <c r="H53" s="13">
        <f t="shared" si="1"/>
        <v>0.78574529726749487</v>
      </c>
      <c r="I53" s="13">
        <v>443513744.89999998</v>
      </c>
      <c r="J53" s="13">
        <v>20359.805469999999</v>
      </c>
      <c r="K53" s="13">
        <v>6.6756062000000005E-2</v>
      </c>
      <c r="L53" s="13">
        <v>6.0184799999999999E-4</v>
      </c>
      <c r="M53" s="14">
        <v>5.7928099999999997E-6</v>
      </c>
      <c r="N53" s="14">
        <v>1.18633E-7</v>
      </c>
      <c r="O53" s="14">
        <v>4.7670100000000001E-6</v>
      </c>
      <c r="P53" s="14">
        <v>8.7056000000000003E-7</v>
      </c>
      <c r="Q53" s="13">
        <v>3.1244010000000002E-3</v>
      </c>
      <c r="R53" s="13">
        <v>1.2687899999999999E-4</v>
      </c>
      <c r="S53" s="13">
        <v>-1.551806427</v>
      </c>
      <c r="T53" s="13">
        <v>2.5638869000000002E-2</v>
      </c>
      <c r="U53" s="14">
        <v>3.0712599999999997E-8</v>
      </c>
      <c r="V53" s="14">
        <v>1.44904E-9</v>
      </c>
      <c r="W53" s="13">
        <v>-1.7575049999999999E-3</v>
      </c>
      <c r="X53" s="15">
        <v>2.6503600000000002E-4</v>
      </c>
    </row>
    <row r="54" spans="1:24" x14ac:dyDescent="0.3">
      <c r="A54" s="17" t="s">
        <v>108</v>
      </c>
      <c r="C54" s="13">
        <v>176</v>
      </c>
      <c r="E54">
        <f t="shared" si="0"/>
        <v>176</v>
      </c>
      <c r="F54" s="13">
        <v>6.3623200000000004</v>
      </c>
      <c r="G54" s="13">
        <v>2860.996889</v>
      </c>
      <c r="H54" s="13">
        <f t="shared" si="1"/>
        <v>0.79666655222056071</v>
      </c>
      <c r="I54" s="13">
        <v>449678244.60000002</v>
      </c>
      <c r="J54" s="13">
        <v>20226.039489999999</v>
      </c>
      <c r="K54" s="13">
        <v>6.6402431999999997E-2</v>
      </c>
      <c r="L54" s="13">
        <v>6.5388700000000002E-4</v>
      </c>
      <c r="M54" s="14">
        <v>6.0768900000000004E-6</v>
      </c>
      <c r="N54" s="14">
        <v>1.2318E-7</v>
      </c>
      <c r="O54" s="14">
        <v>3.1809700000000001E-6</v>
      </c>
      <c r="P54" s="14">
        <v>9.2887499999999996E-7</v>
      </c>
      <c r="Q54" s="13">
        <v>3.5358899999999999E-3</v>
      </c>
      <c r="R54" s="13">
        <v>1.3889499999999999E-4</v>
      </c>
      <c r="S54" s="13">
        <v>-1.659229351</v>
      </c>
      <c r="T54" s="13">
        <v>2.4769467E-2</v>
      </c>
      <c r="U54" s="14">
        <v>2.8874999999999999E-8</v>
      </c>
      <c r="V54" s="14">
        <v>1.30452E-9</v>
      </c>
      <c r="W54" s="13">
        <v>-1.2918809999999999E-3</v>
      </c>
      <c r="X54" s="15">
        <v>2.5378800000000002E-4</v>
      </c>
    </row>
    <row r="55" spans="1:24" x14ac:dyDescent="0.3">
      <c r="A55" s="17" t="s">
        <v>108</v>
      </c>
      <c r="C55" s="13">
        <v>180</v>
      </c>
      <c r="E55">
        <f t="shared" si="0"/>
        <v>180</v>
      </c>
      <c r="F55" s="13">
        <v>6.3623200000000004</v>
      </c>
      <c r="G55" s="13">
        <v>2913.8749849999999</v>
      </c>
      <c r="H55" s="13">
        <f t="shared" si="1"/>
        <v>0.81139086408202243</v>
      </c>
      <c r="I55" s="13">
        <v>457989378.89999998</v>
      </c>
      <c r="J55" s="13">
        <v>27957.013220000001</v>
      </c>
      <c r="K55" s="13">
        <v>6.1282346000000001E-2</v>
      </c>
      <c r="L55" s="14">
        <v>8.7684300000000003E-5</v>
      </c>
      <c r="M55" s="14">
        <v>5.8576700000000003E-6</v>
      </c>
      <c r="N55" s="14">
        <v>5.5153300000000001E-8</v>
      </c>
      <c r="O55" s="14">
        <v>3.5407999999999999E-13</v>
      </c>
      <c r="P55" s="13"/>
      <c r="Q55" s="13">
        <v>4.2714220000000004E-3</v>
      </c>
      <c r="R55" s="13">
        <v>1.5244E-4</v>
      </c>
      <c r="S55" s="13">
        <v>-2.0316297040000002</v>
      </c>
      <c r="T55" s="13">
        <v>2.2554048E-2</v>
      </c>
      <c r="U55" s="14">
        <v>2.3752E-8</v>
      </c>
      <c r="V55" s="14">
        <v>9.3289599999999992E-10</v>
      </c>
      <c r="W55" s="13">
        <v>-1.017245E-3</v>
      </c>
      <c r="X55" s="15">
        <v>1.44456E-4</v>
      </c>
    </row>
    <row r="56" spans="1:24" x14ac:dyDescent="0.3">
      <c r="A56" s="17" t="s">
        <v>109</v>
      </c>
      <c r="C56" s="10">
        <v>-4</v>
      </c>
      <c r="E56" s="21">
        <f>C56-4</f>
        <v>-8</v>
      </c>
      <c r="F56" s="3">
        <v>6.37493</v>
      </c>
      <c r="G56" s="16">
        <v>2842.54</v>
      </c>
      <c r="H56" s="13">
        <f t="shared" si="1"/>
        <v>0.79152708975526354</v>
      </c>
      <c r="I56" s="18">
        <v>445894000</v>
      </c>
      <c r="J56" s="18">
        <v>10439.700000000001</v>
      </c>
      <c r="K56" s="3">
        <v>8.9320463000000003E-2</v>
      </c>
      <c r="L56" s="3">
        <v>6.7269336E-4</v>
      </c>
      <c r="M56" s="18">
        <v>7.1181789999999999E-6</v>
      </c>
      <c r="N56" s="18">
        <v>9.5362245999999996E-8</v>
      </c>
      <c r="O56" s="18">
        <v>1.1450876E-5</v>
      </c>
      <c r="P56" s="18">
        <v>5.6716369999999998E-7</v>
      </c>
      <c r="Q56" s="3">
        <v>6.8573608000000001E-3</v>
      </c>
      <c r="R56" s="3">
        <v>1.3789520999999999E-4</v>
      </c>
      <c r="S56" s="3">
        <v>2.6336835999999999</v>
      </c>
      <c r="T56" s="3">
        <v>1.2922172000000001E-2</v>
      </c>
      <c r="U56" s="18">
        <v>2.8287149999999999E-8</v>
      </c>
      <c r="V56" s="18">
        <v>6.8329942000000001E-10</v>
      </c>
      <c r="W56" s="3">
        <v>6.5510673000000004E-4</v>
      </c>
      <c r="X56" s="3">
        <v>1.9797101000000001E-4</v>
      </c>
    </row>
    <row r="57" spans="1:24" x14ac:dyDescent="0.3">
      <c r="A57" s="17" t="s">
        <v>109</v>
      </c>
      <c r="C57" s="10">
        <v>0</v>
      </c>
      <c r="E57" s="21">
        <f t="shared" ref="E57:E103" si="2">C57-4</f>
        <v>-4</v>
      </c>
      <c r="F57" s="3">
        <v>6.37493</v>
      </c>
      <c r="G57" s="16">
        <v>2895.29</v>
      </c>
      <c r="H57" s="13">
        <f t="shared" si="1"/>
        <v>0.80621573230192611</v>
      </c>
      <c r="I57" s="18">
        <v>454169000</v>
      </c>
      <c r="J57" s="18">
        <v>12601.6</v>
      </c>
      <c r="K57" s="3">
        <v>0.10617472</v>
      </c>
      <c r="L57" s="3">
        <v>7.5072865999999995E-4</v>
      </c>
      <c r="M57" s="18">
        <v>7.1630977999999997E-6</v>
      </c>
      <c r="N57" s="18">
        <v>8.8772680000000001E-8</v>
      </c>
      <c r="O57" s="18">
        <v>1.3541147999999999E-5</v>
      </c>
      <c r="P57" s="18">
        <v>5.1695045999999995E-7</v>
      </c>
      <c r="Q57" s="3">
        <v>1.0357481E-2</v>
      </c>
      <c r="R57" s="3">
        <v>1.928578E-4</v>
      </c>
      <c r="S57" s="3">
        <v>1.7448722999999999</v>
      </c>
      <c r="T57" s="3">
        <v>1.1812543E-2</v>
      </c>
      <c r="U57" s="18">
        <v>2.1329069000000001E-8</v>
      </c>
      <c r="V57" s="18">
        <v>4.4760122999999998E-10</v>
      </c>
      <c r="W57" s="3">
        <v>9.9583510000000007E-4</v>
      </c>
      <c r="X57" s="3">
        <v>2.1336673999999999E-4</v>
      </c>
    </row>
    <row r="58" spans="1:24" x14ac:dyDescent="0.3">
      <c r="A58" s="17" t="s">
        <v>109</v>
      </c>
      <c r="C58" s="10">
        <v>4</v>
      </c>
      <c r="E58" s="21">
        <f t="shared" si="2"/>
        <v>0</v>
      </c>
      <c r="F58" s="3">
        <v>6.37493</v>
      </c>
      <c r="G58" s="16">
        <v>2922.65</v>
      </c>
      <c r="H58" s="13">
        <f t="shared" si="1"/>
        <v>0.81383433438868791</v>
      </c>
      <c r="I58" s="18">
        <v>458460000</v>
      </c>
      <c r="J58" s="18">
        <v>7862.43</v>
      </c>
      <c r="K58" s="3">
        <v>0.10282465</v>
      </c>
      <c r="L58" s="3">
        <v>7.0007337999999995E-4</v>
      </c>
      <c r="M58" s="18">
        <v>6.9967995999999999E-6</v>
      </c>
      <c r="N58" s="18">
        <v>8.6029787000000005E-8</v>
      </c>
      <c r="O58" s="18">
        <v>1.0992105E-5</v>
      </c>
      <c r="P58" s="18">
        <v>5.2344936999999998E-7</v>
      </c>
      <c r="Q58" s="3">
        <v>9.7955451000000006E-3</v>
      </c>
      <c r="R58" s="3">
        <v>1.4631366000000001E-4</v>
      </c>
      <c r="S58" s="3">
        <v>1.4233865999999999</v>
      </c>
      <c r="T58" s="3">
        <v>9.5532212999999994E-3</v>
      </c>
      <c r="U58" s="18">
        <v>2.7758522E-8</v>
      </c>
      <c r="V58" s="18">
        <v>4.9313352E-10</v>
      </c>
      <c r="W58" s="3">
        <v>5.6884917000000004E-4</v>
      </c>
      <c r="X58" s="3">
        <v>2.1180042999999999E-4</v>
      </c>
    </row>
    <row r="59" spans="1:24" x14ac:dyDescent="0.3">
      <c r="A59" s="17" t="s">
        <v>109</v>
      </c>
      <c r="C59" s="10">
        <v>8</v>
      </c>
      <c r="E59" s="21">
        <f t="shared" si="2"/>
        <v>4</v>
      </c>
      <c r="F59" s="3">
        <v>6.37493</v>
      </c>
      <c r="G59" s="16">
        <v>2961.21</v>
      </c>
      <c r="H59" s="13">
        <f t="shared" si="1"/>
        <v>0.82457166247587865</v>
      </c>
      <c r="I59" s="18">
        <v>464508000</v>
      </c>
      <c r="J59" s="18">
        <v>6810.12</v>
      </c>
      <c r="K59" s="3">
        <v>8.9508878E-2</v>
      </c>
      <c r="L59" s="3">
        <v>5.9958432999999999E-4</v>
      </c>
      <c r="M59" s="18">
        <v>6.5580410000000002E-6</v>
      </c>
      <c r="N59" s="18">
        <v>8.8424502999999996E-8</v>
      </c>
      <c r="O59" s="18">
        <v>5.3780612000000001E-6</v>
      </c>
      <c r="P59" s="18">
        <v>5.769877E-7</v>
      </c>
      <c r="Q59" s="3">
        <v>9.2353959999999999E-3</v>
      </c>
      <c r="R59" s="3">
        <v>1.2880071E-4</v>
      </c>
      <c r="S59" s="3">
        <v>1.636811</v>
      </c>
      <c r="T59" s="3">
        <v>8.9685812000000007E-3</v>
      </c>
      <c r="U59" s="18">
        <v>2.9495701999999999E-8</v>
      </c>
      <c r="V59" s="18">
        <v>4.9761003000000003E-10</v>
      </c>
      <c r="W59" s="3">
        <v>-3.8474397000000003E-4</v>
      </c>
      <c r="X59" s="3">
        <v>2.1975074999999999E-4</v>
      </c>
    </row>
    <row r="60" spans="1:24" x14ac:dyDescent="0.3">
      <c r="A60" s="17" t="s">
        <v>109</v>
      </c>
      <c r="C60" s="10">
        <v>12</v>
      </c>
      <c r="E60" s="21">
        <f t="shared" si="2"/>
        <v>8</v>
      </c>
      <c r="F60" s="3">
        <v>6.37493</v>
      </c>
      <c r="G60" s="16">
        <v>2933.97</v>
      </c>
      <c r="H60" s="13">
        <f t="shared" si="1"/>
        <v>0.81698647531054991</v>
      </c>
      <c r="I60" s="18">
        <v>460235000</v>
      </c>
      <c r="J60" s="18">
        <v>9630.7800000000007</v>
      </c>
      <c r="K60" s="3">
        <v>8.4979394E-2</v>
      </c>
      <c r="L60" s="3">
        <v>5.9665494999999995E-4</v>
      </c>
      <c r="M60" s="18">
        <v>6.6999478999999997E-6</v>
      </c>
      <c r="N60" s="18">
        <v>8.9172239000000006E-8</v>
      </c>
      <c r="O60" s="18">
        <v>5.8098442000000001E-6</v>
      </c>
      <c r="P60" s="18">
        <v>5.9406471000000005E-7</v>
      </c>
      <c r="Q60" s="3">
        <v>8.7949850999999996E-3</v>
      </c>
      <c r="R60" s="3">
        <v>1.3538895000000001E-4</v>
      </c>
      <c r="S60" s="3">
        <v>1.168647</v>
      </c>
      <c r="T60" s="3">
        <v>9.8378844E-3</v>
      </c>
      <c r="U60" s="18">
        <v>2.6210392E-8</v>
      </c>
      <c r="V60" s="18">
        <v>4.7368807000000003E-10</v>
      </c>
      <c r="W60" s="3">
        <v>1.902072E-4</v>
      </c>
      <c r="X60" s="3">
        <v>2.0082056999999999E-4</v>
      </c>
    </row>
    <row r="61" spans="1:24" x14ac:dyDescent="0.3">
      <c r="A61" s="17" t="s">
        <v>109</v>
      </c>
      <c r="C61" s="10">
        <v>16</v>
      </c>
      <c r="E61" s="21">
        <f t="shared" si="2"/>
        <v>12</v>
      </c>
      <c r="F61" s="3">
        <v>6.37493</v>
      </c>
      <c r="G61" s="16">
        <v>2908.49</v>
      </c>
      <c r="H61" s="13">
        <f t="shared" si="1"/>
        <v>0.80989137365957431</v>
      </c>
      <c r="I61" s="18">
        <v>456238000</v>
      </c>
      <c r="J61" s="18">
        <v>5039.99</v>
      </c>
      <c r="K61" s="3">
        <v>8.7778122E-2</v>
      </c>
      <c r="L61" s="3">
        <v>6.3033413E-4</v>
      </c>
      <c r="M61" s="18">
        <v>6.9721110999999997E-6</v>
      </c>
      <c r="N61" s="18">
        <v>9.1640938000000007E-8</v>
      </c>
      <c r="O61" s="18">
        <v>1.0981148E-5</v>
      </c>
      <c r="P61" s="18">
        <v>5.5290303000000001E-7</v>
      </c>
      <c r="Q61" s="3">
        <v>9.2991922000000005E-3</v>
      </c>
      <c r="R61" s="3">
        <v>1.2301519E-4</v>
      </c>
      <c r="S61" s="3">
        <v>1.792376</v>
      </c>
      <c r="T61" s="3">
        <v>8.5054271000000008E-3</v>
      </c>
      <c r="U61" s="18">
        <v>3.0569389000000002E-8</v>
      </c>
      <c r="V61" s="18">
        <v>4.9065851000000002E-10</v>
      </c>
      <c r="W61" s="3">
        <v>4.9010676999999999E-4</v>
      </c>
      <c r="X61" s="3">
        <v>1.9429102E-4</v>
      </c>
    </row>
    <row r="62" spans="1:24" x14ac:dyDescent="0.3">
      <c r="A62" s="17" t="s">
        <v>109</v>
      </c>
      <c r="C62" s="10">
        <v>20</v>
      </c>
      <c r="E62" s="21">
        <f t="shared" si="2"/>
        <v>16</v>
      </c>
      <c r="F62" s="3">
        <v>6.37493</v>
      </c>
      <c r="G62" s="16">
        <v>2857.82</v>
      </c>
      <c r="H62" s="13">
        <f t="shared" si="1"/>
        <v>0.79578192308442008</v>
      </c>
      <c r="I62" s="18">
        <v>448290000</v>
      </c>
      <c r="J62" s="18">
        <v>6803.18</v>
      </c>
      <c r="K62" s="3">
        <v>8.4898334000000006E-2</v>
      </c>
      <c r="L62" s="3">
        <v>6.1624095999999995E-4</v>
      </c>
      <c r="M62" s="18">
        <v>6.6596137999999998E-6</v>
      </c>
      <c r="N62" s="18">
        <v>9.3405556E-8</v>
      </c>
      <c r="O62" s="18">
        <v>5.6972913999999998E-6</v>
      </c>
      <c r="P62" s="18">
        <v>6.1720200999999998E-7</v>
      </c>
      <c r="Q62" s="3">
        <v>9.1694854999999995E-3</v>
      </c>
      <c r="R62" s="3">
        <v>1.2732891000000001E-4</v>
      </c>
      <c r="S62" s="3">
        <v>2.0045831000000001</v>
      </c>
      <c r="T62" s="3">
        <v>8.9193986999999992E-3</v>
      </c>
      <c r="U62" s="18">
        <v>2.9796895999999999E-8</v>
      </c>
      <c r="V62" s="18">
        <v>4.9863501999999999E-10</v>
      </c>
      <c r="W62" s="3">
        <v>-3.8958154999999998E-4</v>
      </c>
      <c r="X62" s="3">
        <v>2.1312351999999999E-4</v>
      </c>
    </row>
    <row r="63" spans="1:24" x14ac:dyDescent="0.3">
      <c r="A63" s="17" t="s">
        <v>109</v>
      </c>
      <c r="C63" s="10">
        <v>24</v>
      </c>
      <c r="E63" s="21">
        <f t="shared" si="2"/>
        <v>20</v>
      </c>
      <c r="F63" s="3">
        <v>6.37493</v>
      </c>
      <c r="G63" s="16">
        <v>2817.07</v>
      </c>
      <c r="H63" s="13">
        <f t="shared" si="1"/>
        <v>0.78443477268107409</v>
      </c>
      <c r="I63" s="18">
        <v>441898000</v>
      </c>
      <c r="J63" s="18">
        <v>6466.69</v>
      </c>
      <c r="K63" s="3">
        <v>8.7906155999999999E-2</v>
      </c>
      <c r="L63" s="3">
        <v>6.2929988999999996E-4</v>
      </c>
      <c r="M63" s="18">
        <v>7.1673147000000004E-6</v>
      </c>
      <c r="N63" s="18">
        <v>8.8389370999999994E-8</v>
      </c>
      <c r="O63" s="18">
        <v>1.0164040000000001E-5</v>
      </c>
      <c r="P63" s="18">
        <v>5.4705392999999998E-7</v>
      </c>
      <c r="Q63" s="3">
        <v>8.5003796999999996E-3</v>
      </c>
      <c r="R63" s="3">
        <v>1.2196308E-4</v>
      </c>
      <c r="S63" s="3">
        <v>2.2593787000000001</v>
      </c>
      <c r="T63" s="3">
        <v>9.1934754999999993E-3</v>
      </c>
      <c r="U63" s="18">
        <v>2.9609053000000001E-8</v>
      </c>
      <c r="V63" s="18">
        <v>5.1096549999999996E-10</v>
      </c>
      <c r="W63" s="3">
        <v>8.6344872999999996E-4</v>
      </c>
      <c r="X63" s="3">
        <v>1.7868872E-4</v>
      </c>
    </row>
    <row r="64" spans="1:24" x14ac:dyDescent="0.3">
      <c r="A64" s="17" t="s">
        <v>109</v>
      </c>
      <c r="C64" s="10">
        <v>28</v>
      </c>
      <c r="E64" s="21">
        <f t="shared" si="2"/>
        <v>24</v>
      </c>
      <c r="F64" s="3">
        <v>6.37493</v>
      </c>
      <c r="G64" s="16">
        <v>2768.75</v>
      </c>
      <c r="H64" s="13">
        <f t="shared" si="1"/>
        <v>0.77097969765065255</v>
      </c>
      <c r="I64" s="18">
        <v>434319000</v>
      </c>
      <c r="J64" s="18">
        <v>9123.6299999999992</v>
      </c>
      <c r="K64" s="3">
        <v>9.5866570999999998E-2</v>
      </c>
      <c r="L64" s="3">
        <v>6.5856769000000005E-4</v>
      </c>
      <c r="M64" s="18">
        <v>6.9089427000000003E-6</v>
      </c>
      <c r="N64" s="18">
        <v>8.5682568999999999E-8</v>
      </c>
      <c r="O64" s="18">
        <v>8.9284012E-6</v>
      </c>
      <c r="P64" s="18">
        <v>5.4831317999999996E-7</v>
      </c>
      <c r="Q64" s="3">
        <v>8.2536749000000006E-3</v>
      </c>
      <c r="R64" s="3">
        <v>1.3445562E-4</v>
      </c>
      <c r="S64" s="3">
        <v>2.1703223999999999</v>
      </c>
      <c r="T64" s="3">
        <v>1.0395704E-2</v>
      </c>
      <c r="U64" s="18">
        <v>2.852298E-8</v>
      </c>
      <c r="V64" s="18">
        <v>5.5182431999999997E-10</v>
      </c>
      <c r="W64" s="3">
        <v>3.2274867999999997E-4</v>
      </c>
      <c r="X64" s="3">
        <v>2.0248004999999999E-4</v>
      </c>
    </row>
    <row r="65" spans="1:24" x14ac:dyDescent="0.3">
      <c r="A65" s="17" t="s">
        <v>109</v>
      </c>
      <c r="C65" s="10">
        <v>32</v>
      </c>
      <c r="E65" s="21">
        <f t="shared" si="2"/>
        <v>28</v>
      </c>
      <c r="F65" s="3">
        <v>6.37493</v>
      </c>
      <c r="G65" s="16">
        <v>2747.92</v>
      </c>
      <c r="H65" s="13">
        <f t="shared" si="1"/>
        <v>0.76517942420521223</v>
      </c>
      <c r="I65" s="18">
        <v>431052000</v>
      </c>
      <c r="J65" s="18">
        <v>7965.07</v>
      </c>
      <c r="K65" s="3">
        <v>9.1304494E-2</v>
      </c>
      <c r="L65" s="3">
        <v>6.3152939999999995E-4</v>
      </c>
      <c r="M65" s="18">
        <v>6.892781E-6</v>
      </c>
      <c r="N65" s="18">
        <v>8.7086720999999998E-8</v>
      </c>
      <c r="O65" s="18">
        <v>9.0508718000000002E-6</v>
      </c>
      <c r="P65" s="18">
        <v>5.5155504E-7</v>
      </c>
      <c r="Q65" s="3">
        <v>8.1049794000000001E-3</v>
      </c>
      <c r="R65" s="3">
        <v>1.2854562E-4</v>
      </c>
      <c r="S65" s="3">
        <v>2.5708666</v>
      </c>
      <c r="T65" s="3">
        <v>1.0134857000000001E-2</v>
      </c>
      <c r="U65" s="18">
        <v>2.8944840000000001E-8</v>
      </c>
      <c r="V65" s="18">
        <v>5.4817990000000003E-10</v>
      </c>
      <c r="W65" s="18">
        <v>4.1742281999999999E-5</v>
      </c>
      <c r="X65" s="3">
        <v>1.9714615000000001E-4</v>
      </c>
    </row>
    <row r="66" spans="1:24" x14ac:dyDescent="0.3">
      <c r="A66" s="17" t="s">
        <v>109</v>
      </c>
      <c r="C66" s="10">
        <v>36</v>
      </c>
      <c r="E66" s="21">
        <f t="shared" si="2"/>
        <v>32</v>
      </c>
      <c r="F66" s="3">
        <v>6.37493</v>
      </c>
      <c r="G66" s="16">
        <v>2728.73</v>
      </c>
      <c r="H66" s="13">
        <f t="shared" si="1"/>
        <v>0.75983582135269168</v>
      </c>
      <c r="I66" s="18">
        <v>428040000</v>
      </c>
      <c r="J66" s="18">
        <v>7988.53</v>
      </c>
      <c r="K66" s="3">
        <v>9.4112797999999998E-2</v>
      </c>
      <c r="L66" s="3">
        <v>6.5288333000000003E-4</v>
      </c>
      <c r="M66" s="18">
        <v>6.9443876999999998E-6</v>
      </c>
      <c r="N66" s="18">
        <v>8.6854328999999994E-8</v>
      </c>
      <c r="O66" s="18">
        <v>1.0515884E-5</v>
      </c>
      <c r="P66" s="18">
        <v>5.4084459000000004E-7</v>
      </c>
      <c r="Q66" s="3">
        <v>8.2462453999999994E-3</v>
      </c>
      <c r="R66" s="3">
        <v>1.2871237E-4</v>
      </c>
      <c r="S66" s="3">
        <v>2.3863691</v>
      </c>
      <c r="T66" s="3">
        <v>9.9450184000000001E-3</v>
      </c>
      <c r="U66" s="18">
        <v>2.9647004999999999E-8</v>
      </c>
      <c r="V66" s="18">
        <v>5.5281368999999997E-10</v>
      </c>
      <c r="W66" s="3">
        <v>1.1472817E-3</v>
      </c>
      <c r="X66" s="3">
        <v>1.9812643000000001E-4</v>
      </c>
    </row>
    <row r="67" spans="1:24" x14ac:dyDescent="0.3">
      <c r="A67" s="17" t="s">
        <v>109</v>
      </c>
      <c r="C67" s="10">
        <v>40</v>
      </c>
      <c r="E67" s="21">
        <f t="shared" si="2"/>
        <v>36</v>
      </c>
      <c r="F67" s="3">
        <v>6.37493</v>
      </c>
      <c r="G67" s="16">
        <v>2707.55</v>
      </c>
      <c r="H67" s="13">
        <f t="shared" si="1"/>
        <v>0.75393808771973791</v>
      </c>
      <c r="I67" s="18">
        <v>424718000</v>
      </c>
      <c r="J67" s="18">
        <v>10366</v>
      </c>
      <c r="K67" s="3">
        <v>9.4127085999999999E-2</v>
      </c>
      <c r="L67" s="3">
        <v>6.7686389999999997E-4</v>
      </c>
      <c r="M67" s="18">
        <v>6.8895939000000004E-6</v>
      </c>
      <c r="N67" s="18">
        <v>8.8560916999999998E-8</v>
      </c>
      <c r="O67" s="18">
        <v>8.2633067000000003E-6</v>
      </c>
      <c r="P67" s="18">
        <v>5.8129561000000001E-7</v>
      </c>
      <c r="Q67" s="3">
        <v>9.1795789000000006E-3</v>
      </c>
      <c r="R67" s="3">
        <v>1.4094735E-4</v>
      </c>
      <c r="S67" s="3">
        <v>2.1582308000000001</v>
      </c>
      <c r="T67" s="3">
        <v>9.7434554999999996E-3</v>
      </c>
      <c r="U67" s="18">
        <v>2.7536345E-8</v>
      </c>
      <c r="V67" s="18">
        <v>4.9543021000000002E-10</v>
      </c>
      <c r="W67" s="3">
        <v>7.6734112999999997E-4</v>
      </c>
      <c r="X67" s="3">
        <v>2.0651482000000001E-4</v>
      </c>
    </row>
    <row r="68" spans="1:24" x14ac:dyDescent="0.3">
      <c r="A68" s="17" t="s">
        <v>109</v>
      </c>
      <c r="C68" s="10">
        <v>44</v>
      </c>
      <c r="E68" s="21">
        <f t="shared" si="2"/>
        <v>40</v>
      </c>
      <c r="F68" s="3">
        <v>6.37493</v>
      </c>
      <c r="G68" s="16">
        <v>2729.34</v>
      </c>
      <c r="H68" s="13">
        <f t="shared" si="1"/>
        <v>0.76000568053664364</v>
      </c>
      <c r="I68" s="18">
        <v>428137000</v>
      </c>
      <c r="J68" s="18">
        <v>8554.7099999999991</v>
      </c>
      <c r="K68" s="3">
        <v>8.8245197999999997E-2</v>
      </c>
      <c r="L68" s="3">
        <v>6.5661508000000005E-4</v>
      </c>
      <c r="M68" s="18">
        <v>7.0513402999999998E-6</v>
      </c>
      <c r="N68" s="18">
        <v>9.1282072999999997E-8</v>
      </c>
      <c r="O68" s="18">
        <v>8.9884927999999997E-6</v>
      </c>
      <c r="P68" s="18">
        <v>5.8510525E-7</v>
      </c>
      <c r="Q68" s="3">
        <v>7.6634197000000001E-3</v>
      </c>
      <c r="R68" s="3">
        <v>1.2983126999999999E-4</v>
      </c>
      <c r="S68" s="3">
        <v>2.464315</v>
      </c>
      <c r="T68" s="3">
        <v>1.0806988999999999E-2</v>
      </c>
      <c r="U68" s="18">
        <v>2.8983465000000002E-8</v>
      </c>
      <c r="V68" s="18">
        <v>5.8462187999999999E-10</v>
      </c>
      <c r="W68" s="3">
        <v>3.3069111999999999E-4</v>
      </c>
      <c r="X68" s="3">
        <v>1.9119047000000001E-4</v>
      </c>
    </row>
    <row r="69" spans="1:24" x14ac:dyDescent="0.3">
      <c r="A69" s="17" t="s">
        <v>109</v>
      </c>
      <c r="C69" s="10">
        <v>48</v>
      </c>
      <c r="E69" s="21">
        <f t="shared" si="2"/>
        <v>44</v>
      </c>
      <c r="F69" s="3">
        <v>6.37493</v>
      </c>
      <c r="G69" s="16">
        <v>2734.7</v>
      </c>
      <c r="H69" s="13">
        <f t="shared" si="1"/>
        <v>0.76149821369399162</v>
      </c>
      <c r="I69" s="18">
        <v>428977000</v>
      </c>
      <c r="J69" s="18">
        <v>11523.4</v>
      </c>
      <c r="K69" s="3">
        <v>8.3794520999999997E-2</v>
      </c>
      <c r="L69" s="3">
        <v>6.6519614000000004E-4</v>
      </c>
      <c r="M69" s="18">
        <v>7.0791209999999996E-6</v>
      </c>
      <c r="N69" s="18">
        <v>9.5284881000000001E-8</v>
      </c>
      <c r="O69" s="18">
        <v>7.7688450000000007E-6</v>
      </c>
      <c r="P69" s="18">
        <v>6.3379328000000005E-7</v>
      </c>
      <c r="Q69" s="3">
        <v>8.9746484000000001E-3</v>
      </c>
      <c r="R69" s="3">
        <v>1.5641932999999999E-4</v>
      </c>
      <c r="S69" s="3">
        <v>1.9751981999999999</v>
      </c>
      <c r="T69" s="3">
        <v>1.0992834999999999E-2</v>
      </c>
      <c r="U69" s="18">
        <v>2.3279880999999999E-8</v>
      </c>
      <c r="V69" s="18">
        <v>4.5896394000000001E-10</v>
      </c>
      <c r="W69" s="3">
        <v>1.7947429999999999E-4</v>
      </c>
      <c r="X69" s="3">
        <v>1.8852741000000001E-4</v>
      </c>
    </row>
    <row r="70" spans="1:24" x14ac:dyDescent="0.3">
      <c r="A70" s="17" t="s">
        <v>109</v>
      </c>
      <c r="C70" s="10">
        <v>52</v>
      </c>
      <c r="E70" s="21">
        <f t="shared" si="2"/>
        <v>48</v>
      </c>
      <c r="F70" s="3">
        <v>6.37493</v>
      </c>
      <c r="G70" s="16">
        <v>2778.85</v>
      </c>
      <c r="H70" s="13">
        <f t="shared" si="1"/>
        <v>0.77379212020461063</v>
      </c>
      <c r="I70" s="18">
        <v>435903000</v>
      </c>
      <c r="J70" s="18">
        <v>9432.9599999999991</v>
      </c>
      <c r="K70" s="3">
        <v>9.2553502999999995E-2</v>
      </c>
      <c r="L70" s="3">
        <v>6.5651355000000003E-4</v>
      </c>
      <c r="M70" s="18">
        <v>7.1526170999999997E-6</v>
      </c>
      <c r="N70" s="18">
        <v>8.7234699000000007E-8</v>
      </c>
      <c r="O70" s="18">
        <v>1.0461203000000001E-5</v>
      </c>
      <c r="P70" s="18">
        <v>5.4142972999999997E-7</v>
      </c>
      <c r="Q70" s="3">
        <v>8.9735518999999996E-3</v>
      </c>
      <c r="R70" s="3">
        <v>1.4155261999999999E-4</v>
      </c>
      <c r="S70" s="3">
        <v>2.2401515000000001</v>
      </c>
      <c r="T70" s="3">
        <v>1.0010096E-2</v>
      </c>
      <c r="U70" s="18">
        <v>2.5972822E-8</v>
      </c>
      <c r="V70" s="18">
        <v>4.7890618E-10</v>
      </c>
      <c r="W70" s="3">
        <v>7.8471151999999998E-4</v>
      </c>
      <c r="X70" s="3">
        <v>1.8569851999999999E-4</v>
      </c>
    </row>
    <row r="71" spans="1:24" x14ac:dyDescent="0.3">
      <c r="A71" s="17" t="s">
        <v>109</v>
      </c>
      <c r="C71" s="10">
        <v>56</v>
      </c>
      <c r="E71" s="21">
        <f t="shared" si="2"/>
        <v>52</v>
      </c>
      <c r="F71" s="3">
        <v>6.37493</v>
      </c>
      <c r="G71" s="16">
        <v>2825.01</v>
      </c>
      <c r="H71" s="13">
        <f t="shared" si="1"/>
        <v>0.78664572664923527</v>
      </c>
      <c r="I71" s="18">
        <v>443143000</v>
      </c>
      <c r="J71" s="18">
        <v>6379.08</v>
      </c>
      <c r="K71" s="3">
        <v>8.9677111000000004E-2</v>
      </c>
      <c r="L71" s="3">
        <v>6.6724685999999995E-4</v>
      </c>
      <c r="M71" s="18">
        <v>7.3292142999999998E-6</v>
      </c>
      <c r="N71" s="18">
        <v>9.1307181000000006E-8</v>
      </c>
      <c r="O71" s="18">
        <v>1.5107125E-5</v>
      </c>
      <c r="P71" s="18">
        <v>5.2521899000000003E-7</v>
      </c>
      <c r="Q71" s="3">
        <v>9.7018985000000002E-3</v>
      </c>
      <c r="R71" s="3">
        <v>1.3890868E-4</v>
      </c>
      <c r="S71" s="3">
        <v>1.677997</v>
      </c>
      <c r="T71" s="3">
        <v>9.0948240999999992E-3</v>
      </c>
      <c r="U71" s="18">
        <v>2.6129678E-8</v>
      </c>
      <c r="V71" s="18">
        <v>4.3674973E-10</v>
      </c>
      <c r="W71" s="3">
        <v>1.2542562000000001E-3</v>
      </c>
      <c r="X71" s="3">
        <v>1.7541316999999999E-4</v>
      </c>
    </row>
    <row r="72" spans="1:24" x14ac:dyDescent="0.3">
      <c r="A72" s="17" t="s">
        <v>109</v>
      </c>
      <c r="C72" s="10">
        <v>60</v>
      </c>
      <c r="E72" s="21">
        <f t="shared" si="2"/>
        <v>56</v>
      </c>
      <c r="F72" s="3">
        <v>6.37493</v>
      </c>
      <c r="G72" s="16">
        <v>2870.69</v>
      </c>
      <c r="H72" s="13">
        <f t="shared" si="1"/>
        <v>0.79936567340812703</v>
      </c>
      <c r="I72" s="18">
        <v>450308000</v>
      </c>
      <c r="J72" s="18">
        <v>6681.39</v>
      </c>
      <c r="K72" s="3">
        <v>0.10085381</v>
      </c>
      <c r="L72" s="3">
        <v>6.9600260000000002E-4</v>
      </c>
      <c r="M72" s="18">
        <v>6.9118524E-6</v>
      </c>
      <c r="N72" s="18">
        <v>8.7649926999999994E-8</v>
      </c>
      <c r="O72" s="18">
        <v>1.1326672E-5</v>
      </c>
      <c r="P72" s="18">
        <v>5.3366164000000005E-7</v>
      </c>
      <c r="Q72" s="3">
        <v>1.0956923E-2</v>
      </c>
      <c r="R72" s="3">
        <v>1.4834882E-4</v>
      </c>
      <c r="S72" s="3">
        <v>1.5310949</v>
      </c>
      <c r="T72" s="3">
        <v>8.6263924999999998E-3</v>
      </c>
      <c r="U72" s="18">
        <v>2.7315083E-8</v>
      </c>
      <c r="V72" s="18">
        <v>4.3686452E-10</v>
      </c>
      <c r="W72" s="3">
        <v>4.5067767E-4</v>
      </c>
      <c r="X72" s="3">
        <v>2.1569233E-4</v>
      </c>
    </row>
    <row r="73" spans="1:24" x14ac:dyDescent="0.3">
      <c r="A73" s="17" t="s">
        <v>109</v>
      </c>
      <c r="C73" s="10">
        <v>64</v>
      </c>
      <c r="E73" s="21">
        <f t="shared" si="2"/>
        <v>60</v>
      </c>
      <c r="F73" s="3">
        <v>6.37493</v>
      </c>
      <c r="G73" s="16">
        <v>2915.29</v>
      </c>
      <c r="H73" s="13">
        <f t="shared" si="1"/>
        <v>0.81178488587412045</v>
      </c>
      <c r="I73" s="18">
        <v>457306000</v>
      </c>
      <c r="J73" s="18">
        <v>7231.4</v>
      </c>
      <c r="K73" s="3">
        <v>9.4956376999999995E-2</v>
      </c>
      <c r="L73" s="3">
        <v>7.2060896000000004E-4</v>
      </c>
      <c r="M73" s="18">
        <v>7.2989543999999997E-6</v>
      </c>
      <c r="N73" s="18">
        <v>9.2965556000000004E-8</v>
      </c>
      <c r="O73" s="18">
        <v>1.1379177E-5</v>
      </c>
      <c r="P73" s="18">
        <v>5.6377701000000004E-7</v>
      </c>
      <c r="Q73" s="3">
        <v>1.1296318E-2</v>
      </c>
      <c r="R73" s="3">
        <v>1.5232780000000001E-4</v>
      </c>
      <c r="S73" s="3">
        <v>1.4699381</v>
      </c>
      <c r="T73" s="3">
        <v>8.5980215000000006E-3</v>
      </c>
      <c r="U73" s="18">
        <v>2.6132322999999999E-8</v>
      </c>
      <c r="V73" s="18">
        <v>4.1428249000000002E-10</v>
      </c>
      <c r="W73" s="3">
        <v>8.6597344999999996E-4</v>
      </c>
      <c r="X73" s="3">
        <v>1.9510436999999999E-4</v>
      </c>
    </row>
    <row r="74" spans="1:24" x14ac:dyDescent="0.3">
      <c r="A74" s="17" t="s">
        <v>109</v>
      </c>
      <c r="C74" s="10">
        <v>68</v>
      </c>
      <c r="E74" s="21">
        <f t="shared" si="2"/>
        <v>64</v>
      </c>
      <c r="F74" s="3">
        <v>6.37493</v>
      </c>
      <c r="G74" s="16">
        <v>2960.07</v>
      </c>
      <c r="H74" s="13">
        <f t="shared" si="1"/>
        <v>0.82425422072226351</v>
      </c>
      <c r="I74" s="18">
        <v>464330000</v>
      </c>
      <c r="J74" s="18">
        <v>4675.7</v>
      </c>
      <c r="K74" s="3">
        <v>9.1577972999999993E-2</v>
      </c>
      <c r="L74" s="3">
        <v>6.3534327000000002E-4</v>
      </c>
      <c r="M74" s="18">
        <v>7.4354129999999997E-6</v>
      </c>
      <c r="N74" s="18">
        <v>8.7072250999999998E-8</v>
      </c>
      <c r="O74" s="18">
        <v>1.4983811000000001E-5</v>
      </c>
      <c r="P74" s="18">
        <v>4.8208831999999999E-7</v>
      </c>
      <c r="Q74" s="3">
        <v>9.6604644000000007E-3</v>
      </c>
      <c r="R74" s="3">
        <v>1.2001360000000001E-4</v>
      </c>
      <c r="S74" s="3">
        <v>1.9950703999999999</v>
      </c>
      <c r="T74" s="3">
        <v>8.0213674999999995E-3</v>
      </c>
      <c r="U74" s="18">
        <v>3.0015925999999998E-8</v>
      </c>
      <c r="V74" s="18">
        <v>4.5404512000000002E-10</v>
      </c>
      <c r="W74" s="3">
        <v>8.4688359000000002E-4</v>
      </c>
      <c r="X74" s="3">
        <v>1.6818432000000001E-4</v>
      </c>
    </row>
    <row r="75" spans="1:24" x14ac:dyDescent="0.3">
      <c r="A75" s="17" t="s">
        <v>109</v>
      </c>
      <c r="C75" s="10">
        <v>72</v>
      </c>
      <c r="E75" s="21">
        <f t="shared" si="2"/>
        <v>68</v>
      </c>
      <c r="F75" s="3">
        <v>6.37493</v>
      </c>
      <c r="G75" s="16">
        <v>2976.03</v>
      </c>
      <c r="H75" s="13">
        <f t="shared" ref="H75:H138" si="3">G75/MAX($G$10:$G$285)</f>
        <v>0.82869840527287464</v>
      </c>
      <c r="I75" s="18">
        <v>466834000</v>
      </c>
      <c r="J75" s="18">
        <v>5925.17</v>
      </c>
      <c r="K75" s="3">
        <v>7.8947545999999993E-2</v>
      </c>
      <c r="L75" s="3">
        <v>6.4411774000000001E-4</v>
      </c>
      <c r="M75" s="18">
        <v>7.5782564000000002E-6</v>
      </c>
      <c r="N75" s="18">
        <v>9.7574103E-8</v>
      </c>
      <c r="O75" s="18">
        <v>8.1356281000000004E-6</v>
      </c>
      <c r="P75" s="18">
        <v>6.1495423999999996E-7</v>
      </c>
      <c r="Q75" s="3">
        <v>7.7111497999999999E-3</v>
      </c>
      <c r="R75" s="3">
        <v>1.1382076E-4</v>
      </c>
      <c r="S75" s="3">
        <v>1.8974746</v>
      </c>
      <c r="T75" s="3">
        <v>9.5591267999999997E-3</v>
      </c>
      <c r="U75" s="18">
        <v>3.1941971000000003E-8</v>
      </c>
      <c r="V75" s="18">
        <v>5.8004769999999997E-10</v>
      </c>
      <c r="W75" s="3">
        <v>4.5171334999999997E-4</v>
      </c>
      <c r="X75" s="3">
        <v>1.6233923000000001E-4</v>
      </c>
    </row>
    <row r="76" spans="1:24" x14ac:dyDescent="0.3">
      <c r="A76" s="17" t="s">
        <v>109</v>
      </c>
      <c r="C76" s="10">
        <v>76</v>
      </c>
      <c r="E76" s="21">
        <f t="shared" si="2"/>
        <v>72</v>
      </c>
      <c r="F76" s="3">
        <v>6.37493</v>
      </c>
      <c r="G76" s="16">
        <v>2959.78</v>
      </c>
      <c r="H76" s="13">
        <f t="shared" si="3"/>
        <v>0.82417346799546676</v>
      </c>
      <c r="I76" s="18">
        <v>464284000</v>
      </c>
      <c r="J76" s="18">
        <v>5789.98</v>
      </c>
      <c r="K76" s="3">
        <v>8.9934089999999994E-2</v>
      </c>
      <c r="L76" s="3">
        <v>6.6351333E-4</v>
      </c>
      <c r="M76" s="18">
        <v>7.3238515000000001E-6</v>
      </c>
      <c r="N76" s="18">
        <v>9.1056508999999998E-8</v>
      </c>
      <c r="O76" s="18">
        <v>1.3529873E-5</v>
      </c>
      <c r="P76" s="18">
        <v>5.3100810000000003E-7</v>
      </c>
      <c r="Q76" s="3">
        <v>7.9136898000000001E-3</v>
      </c>
      <c r="R76" s="3">
        <v>1.2272870999999999E-4</v>
      </c>
      <c r="S76" s="3">
        <v>1.1595909</v>
      </c>
      <c r="T76" s="3">
        <v>9.9694064000000002E-3</v>
      </c>
      <c r="U76" s="18">
        <v>3.0572817000000003E-8</v>
      </c>
      <c r="V76" s="18">
        <v>5.7391243000000001E-10</v>
      </c>
      <c r="W76" s="3">
        <v>6.2369553000000001E-4</v>
      </c>
      <c r="X76" s="3">
        <v>1.7782362000000001E-4</v>
      </c>
    </row>
    <row r="77" spans="1:24" x14ac:dyDescent="0.3">
      <c r="A77" s="17" t="s">
        <v>109</v>
      </c>
      <c r="C77" s="10">
        <v>80</v>
      </c>
      <c r="E77" s="21">
        <f t="shared" si="2"/>
        <v>76</v>
      </c>
      <c r="F77" s="3">
        <v>6.37493</v>
      </c>
      <c r="G77" s="16">
        <v>2914.14</v>
      </c>
      <c r="H77" s="13">
        <f t="shared" si="3"/>
        <v>0.81146465954371916</v>
      </c>
      <c r="I77" s="18">
        <v>457125000</v>
      </c>
      <c r="J77" s="18">
        <v>10480.200000000001</v>
      </c>
      <c r="K77" s="3">
        <v>9.3093679999999998E-2</v>
      </c>
      <c r="L77" s="3">
        <v>6.6114828000000004E-4</v>
      </c>
      <c r="M77" s="18">
        <v>6.9578905999999997E-6</v>
      </c>
      <c r="N77" s="18">
        <v>9.1543290999999998E-8</v>
      </c>
      <c r="O77" s="18">
        <v>8.6084030000000003E-6</v>
      </c>
      <c r="P77" s="18">
        <v>5.6217858000000001E-7</v>
      </c>
      <c r="Q77" s="3">
        <v>6.4721843999999999E-3</v>
      </c>
      <c r="R77" s="3">
        <v>1.3665842999999999E-4</v>
      </c>
      <c r="S77" s="3">
        <v>2.4308968000000002</v>
      </c>
      <c r="T77" s="3">
        <v>1.3587268E-2</v>
      </c>
      <c r="U77" s="18">
        <v>2.9343952999999999E-8</v>
      </c>
      <c r="V77" s="18">
        <v>7.5275386000000004E-10</v>
      </c>
      <c r="W77" s="3">
        <v>1.3418691999999999E-4</v>
      </c>
      <c r="X77" s="3">
        <v>2.1019745000000001E-4</v>
      </c>
    </row>
    <row r="78" spans="1:24" x14ac:dyDescent="0.3">
      <c r="A78" s="17" t="s">
        <v>109</v>
      </c>
      <c r="C78" s="10">
        <v>84</v>
      </c>
      <c r="E78" s="21">
        <f t="shared" si="2"/>
        <v>80</v>
      </c>
      <c r="F78" s="3">
        <v>6.37493</v>
      </c>
      <c r="G78" s="16">
        <v>2868.23</v>
      </c>
      <c r="H78" s="13">
        <f t="shared" si="3"/>
        <v>0.79868066751874711</v>
      </c>
      <c r="I78" s="18">
        <v>449924000</v>
      </c>
      <c r="J78" s="18">
        <v>15142.6</v>
      </c>
      <c r="K78" s="3">
        <v>8.9185229000000005E-2</v>
      </c>
      <c r="L78" s="3">
        <v>6.6776081999999997E-4</v>
      </c>
      <c r="M78" s="18">
        <v>7.1456960999999999E-6</v>
      </c>
      <c r="N78" s="18">
        <v>9.2739382999999994E-8</v>
      </c>
      <c r="O78" s="18">
        <v>7.7073071000000007E-6</v>
      </c>
      <c r="P78" s="18">
        <v>5.9000433E-7</v>
      </c>
      <c r="Q78" s="3">
        <v>5.7445934000000002E-3</v>
      </c>
      <c r="R78" s="3">
        <v>1.3576878000000001E-4</v>
      </c>
      <c r="S78" s="3">
        <v>2.4114469999999999</v>
      </c>
      <c r="T78" s="3">
        <v>1.5185534000000001E-2</v>
      </c>
      <c r="U78" s="18">
        <v>2.8464462000000001E-8</v>
      </c>
      <c r="V78" s="18">
        <v>8.0888486000000004E-10</v>
      </c>
      <c r="W78" s="3">
        <v>5.1991247000000005E-4</v>
      </c>
      <c r="X78" s="3">
        <v>1.9432506E-4</v>
      </c>
    </row>
    <row r="79" spans="1:24" x14ac:dyDescent="0.3">
      <c r="A79" s="17" t="s">
        <v>109</v>
      </c>
      <c r="C79" s="10">
        <v>88</v>
      </c>
      <c r="E79" s="21">
        <f t="shared" si="2"/>
        <v>84</v>
      </c>
      <c r="F79" s="3">
        <v>6.37493</v>
      </c>
      <c r="G79" s="16">
        <v>2802.99</v>
      </c>
      <c r="H79" s="13">
        <f t="shared" si="3"/>
        <v>0.78051408856624915</v>
      </c>
      <c r="I79" s="18">
        <v>439690000</v>
      </c>
      <c r="J79" s="18">
        <v>24444.5</v>
      </c>
      <c r="K79" s="3">
        <v>8.6639331E-2</v>
      </c>
      <c r="L79" s="3">
        <v>8.4561681999999997E-4</v>
      </c>
      <c r="M79" s="18">
        <v>6.6211055000000001E-6</v>
      </c>
      <c r="N79" s="18">
        <v>1.2809877E-7</v>
      </c>
      <c r="O79" s="18">
        <v>5.5816998000000004E-6</v>
      </c>
      <c r="P79" s="18">
        <v>8.3264453999999997E-7</v>
      </c>
      <c r="Q79" s="18">
        <v>9.6982637999999999E-7</v>
      </c>
      <c r="R79" s="3">
        <v>1.0539172E-3</v>
      </c>
      <c r="S79" s="3">
        <v>-4.1739790000000001</v>
      </c>
      <c r="T79" s="3">
        <v>1066.1479999999999</v>
      </c>
      <c r="U79" s="18">
        <v>5.0218748E-9</v>
      </c>
      <c r="V79" s="3" t="s">
        <v>31</v>
      </c>
      <c r="W79" s="3">
        <v>-6.9444964999999998E-4</v>
      </c>
      <c r="X79" s="3">
        <v>3.0283395999999998E-4</v>
      </c>
    </row>
    <row r="80" spans="1:24" x14ac:dyDescent="0.3">
      <c r="A80" s="17" t="s">
        <v>109</v>
      </c>
      <c r="C80" s="10">
        <v>92</v>
      </c>
      <c r="E80" s="21">
        <f t="shared" si="2"/>
        <v>88</v>
      </c>
      <c r="F80" s="3">
        <v>6.37493</v>
      </c>
      <c r="G80" s="16">
        <v>3474.31</v>
      </c>
      <c r="H80" s="13">
        <f t="shared" si="3"/>
        <v>0.96744829737052407</v>
      </c>
      <c r="I80" s="18">
        <v>544996000</v>
      </c>
      <c r="J80" s="18">
        <v>46461.7</v>
      </c>
      <c r="K80" s="3">
        <v>8.6585404000000005E-2</v>
      </c>
      <c r="L80" s="3">
        <v>7.5369184000000002E-4</v>
      </c>
      <c r="M80" s="18">
        <v>7.2236568E-6</v>
      </c>
      <c r="N80" s="18">
        <v>1.0689857E-7</v>
      </c>
      <c r="O80" s="18">
        <v>4.8079101999999999E-6</v>
      </c>
      <c r="P80" s="18">
        <v>7.0414718E-7</v>
      </c>
      <c r="Q80" s="3">
        <v>4.6752240000000004E-3</v>
      </c>
      <c r="R80" s="3">
        <v>1.8229594E-4</v>
      </c>
      <c r="S80" s="3">
        <v>-0.77169447999999996</v>
      </c>
      <c r="T80" s="3">
        <v>2.5618985E-2</v>
      </c>
      <c r="U80" s="18">
        <v>2.2801461000000002E-8</v>
      </c>
      <c r="V80" s="18">
        <v>1.0433912E-9</v>
      </c>
      <c r="W80" s="3">
        <v>1.3928996E-4</v>
      </c>
      <c r="X80" s="3">
        <v>2.1711262999999999E-4</v>
      </c>
    </row>
    <row r="81" spans="1:24" x14ac:dyDescent="0.3">
      <c r="A81" s="17" t="s">
        <v>109</v>
      </c>
      <c r="C81" s="10">
        <v>96</v>
      </c>
      <c r="E81" s="21">
        <f t="shared" si="2"/>
        <v>92</v>
      </c>
      <c r="F81" s="3">
        <v>6.37493</v>
      </c>
      <c r="G81" s="16">
        <v>3511.66</v>
      </c>
      <c r="H81" s="13">
        <f t="shared" si="3"/>
        <v>0.97784869166659705</v>
      </c>
      <c r="I81" s="18">
        <v>550855000</v>
      </c>
      <c r="J81" s="18">
        <v>49982.6</v>
      </c>
      <c r="K81" s="3">
        <v>7.9992381000000001E-2</v>
      </c>
      <c r="L81" s="3">
        <v>7.7392048999999998E-4</v>
      </c>
      <c r="M81" s="18">
        <v>7.2014765000000003E-6</v>
      </c>
      <c r="N81" s="18">
        <v>1.1697823E-7</v>
      </c>
      <c r="O81" s="18">
        <v>2.5327130000000001E-6</v>
      </c>
      <c r="P81" s="18">
        <v>8.0691535999999998E-7</v>
      </c>
      <c r="Q81" s="3">
        <v>3.5791512000000001E-3</v>
      </c>
      <c r="R81" s="3">
        <v>1.6648623000000001E-4</v>
      </c>
      <c r="S81" s="3">
        <v>-1.3433204999999999</v>
      </c>
      <c r="T81" s="3">
        <v>3.0584005000000001E-2</v>
      </c>
      <c r="U81" s="18">
        <v>2.6106637E-8</v>
      </c>
      <c r="V81" s="18">
        <v>1.4562016999999999E-9</v>
      </c>
      <c r="W81" s="3">
        <v>3.8274385999999998E-4</v>
      </c>
      <c r="X81" s="3">
        <v>2.2262604E-4</v>
      </c>
    </row>
    <row r="82" spans="1:24" x14ac:dyDescent="0.3">
      <c r="A82" s="17" t="s">
        <v>109</v>
      </c>
      <c r="C82" s="10">
        <v>100</v>
      </c>
      <c r="E82" s="21">
        <f t="shared" si="2"/>
        <v>96</v>
      </c>
      <c r="F82" s="3">
        <v>6.37493</v>
      </c>
      <c r="G82" s="16">
        <v>3554.07</v>
      </c>
      <c r="H82" s="13">
        <f t="shared" si="3"/>
        <v>0.98965808181643522</v>
      </c>
      <c r="I82" s="18">
        <v>557507000</v>
      </c>
      <c r="J82" s="18">
        <v>29665.5</v>
      </c>
      <c r="K82" s="3">
        <v>9.0677850000000004E-2</v>
      </c>
      <c r="L82" s="3">
        <v>8.8245282999999998E-4</v>
      </c>
      <c r="M82" s="18">
        <v>7.2178312000000003E-6</v>
      </c>
      <c r="N82" s="18">
        <v>1.2046146999999999E-7</v>
      </c>
      <c r="O82" s="18">
        <v>8.9869714999999992E-6</v>
      </c>
      <c r="P82" s="18">
        <v>7.4934870000000002E-7</v>
      </c>
      <c r="Q82" s="3">
        <v>4.8558993E-3</v>
      </c>
      <c r="R82" s="3">
        <v>1.8039715E-4</v>
      </c>
      <c r="S82" s="3">
        <v>-1.9842458999999999</v>
      </c>
      <c r="T82" s="3">
        <v>2.4401155000000001E-2</v>
      </c>
      <c r="U82" s="18">
        <v>2.7489702000000001E-8</v>
      </c>
      <c r="V82" s="18">
        <v>1.2313876999999999E-9</v>
      </c>
      <c r="W82" s="3">
        <v>5.3672992999999997E-4</v>
      </c>
      <c r="X82" s="3">
        <v>2.5045097000000002E-4</v>
      </c>
    </row>
    <row r="83" spans="1:24" x14ac:dyDescent="0.3">
      <c r="A83" s="17" t="s">
        <v>109</v>
      </c>
      <c r="C83" s="10">
        <v>104</v>
      </c>
      <c r="E83" s="21">
        <f t="shared" si="2"/>
        <v>100</v>
      </c>
      <c r="F83" s="3">
        <v>6.37493</v>
      </c>
      <c r="G83" s="16">
        <v>3591.21</v>
      </c>
      <c r="H83" s="13">
        <f t="shared" si="3"/>
        <v>1</v>
      </c>
      <c r="I83" s="18">
        <v>563334000</v>
      </c>
      <c r="J83" s="18">
        <v>63809.2</v>
      </c>
      <c r="K83" s="3">
        <v>7.9852393999999993E-2</v>
      </c>
      <c r="L83" s="3">
        <v>7.7034577000000004E-4</v>
      </c>
      <c r="M83" s="18">
        <v>7.2621835000000004E-6</v>
      </c>
      <c r="N83" s="18">
        <v>1.2024996E-7</v>
      </c>
      <c r="O83" s="18">
        <v>5.8800124999999996E-6</v>
      </c>
      <c r="P83" s="18">
        <v>7.6533374E-7</v>
      </c>
      <c r="Q83" s="3">
        <v>2.6664156999999999E-3</v>
      </c>
      <c r="R83" s="3">
        <v>1.5482606999999999E-4</v>
      </c>
      <c r="S83" s="3">
        <v>-0.80221176999999999</v>
      </c>
      <c r="T83" s="3">
        <v>3.8502224000000002E-2</v>
      </c>
      <c r="U83" s="18">
        <v>2.8809378999999998E-8</v>
      </c>
      <c r="V83" s="18">
        <v>2.0600637E-9</v>
      </c>
      <c r="W83" s="3">
        <v>3.6036826000000001E-4</v>
      </c>
      <c r="X83" s="3">
        <v>2.2283665E-4</v>
      </c>
    </row>
    <row r="84" spans="1:24" x14ac:dyDescent="0.3">
      <c r="A84" s="17" t="s">
        <v>109</v>
      </c>
      <c r="C84" s="10">
        <v>108</v>
      </c>
      <c r="E84" s="21">
        <f t="shared" si="2"/>
        <v>104</v>
      </c>
      <c r="F84" s="3">
        <v>6.37493</v>
      </c>
      <c r="G84" s="16">
        <v>3500.87</v>
      </c>
      <c r="H84" s="13">
        <f t="shared" si="3"/>
        <v>0.97484413331439812</v>
      </c>
      <c r="I84" s="18">
        <v>549163000</v>
      </c>
      <c r="J84" s="18">
        <v>460787</v>
      </c>
      <c r="K84" s="3">
        <v>6.8444908999999998E-2</v>
      </c>
      <c r="L84" s="18">
        <v>9.8945528999999996E-5</v>
      </c>
      <c r="M84" s="18">
        <v>7.3720887000000002E-6</v>
      </c>
      <c r="N84" s="18">
        <v>6.7402009999999994E-8</v>
      </c>
      <c r="O84" s="18">
        <v>1.0928645999999999E-8</v>
      </c>
      <c r="P84" s="3" t="s">
        <v>31</v>
      </c>
      <c r="Q84" s="3">
        <v>1.6686883999999999E-3</v>
      </c>
      <c r="R84" s="3">
        <v>2.0799971000000001E-4</v>
      </c>
      <c r="S84" s="3">
        <v>-0.45562163</v>
      </c>
      <c r="T84" s="3">
        <v>7.9395579999999993E-2</v>
      </c>
      <c r="U84" s="18">
        <v>2.1625230000000001E-8</v>
      </c>
      <c r="V84" s="18">
        <v>3.0763142000000002E-9</v>
      </c>
      <c r="W84" s="3">
        <v>7.5308047999999997E-4</v>
      </c>
      <c r="X84" s="3">
        <v>1.3866504999999999E-4</v>
      </c>
    </row>
    <row r="85" spans="1:24" x14ac:dyDescent="0.3">
      <c r="A85" s="17" t="s">
        <v>109</v>
      </c>
      <c r="C85" s="10">
        <v>112</v>
      </c>
      <c r="E85" s="21">
        <f t="shared" si="2"/>
        <v>108</v>
      </c>
      <c r="F85" s="3">
        <v>6.37493</v>
      </c>
      <c r="G85" s="16">
        <v>2883.2</v>
      </c>
      <c r="H85" s="13">
        <f t="shared" si="3"/>
        <v>0.8028491789675346</v>
      </c>
      <c r="I85" s="18">
        <v>452271000</v>
      </c>
      <c r="J85" s="18">
        <v>18095</v>
      </c>
      <c r="K85" s="3">
        <v>7.7002679000000004E-2</v>
      </c>
      <c r="L85" s="3">
        <v>7.0157711999999995E-4</v>
      </c>
      <c r="M85" s="18">
        <v>7.5900572000000001E-6</v>
      </c>
      <c r="N85" s="18">
        <v>1.0840457E-7</v>
      </c>
      <c r="O85" s="18">
        <v>7.7090110000000003E-6</v>
      </c>
      <c r="P85" s="18">
        <v>6.8980534999999997E-7</v>
      </c>
      <c r="Q85" s="3">
        <v>5.1349146999999998E-3</v>
      </c>
      <c r="R85" s="3">
        <v>1.4441167999999999E-4</v>
      </c>
      <c r="S85" s="3">
        <v>2.2979242000000002</v>
      </c>
      <c r="T85" s="3">
        <v>1.7952293000000001E-2</v>
      </c>
      <c r="U85" s="18">
        <v>2.6558316E-8</v>
      </c>
      <c r="V85" s="18">
        <v>8.8821537000000001E-10</v>
      </c>
      <c r="W85" s="3">
        <v>9.2964781000000004E-4</v>
      </c>
      <c r="X85" s="3">
        <v>1.7560146999999999E-4</v>
      </c>
    </row>
    <row r="86" spans="1:24" x14ac:dyDescent="0.3">
      <c r="A86" s="17" t="s">
        <v>109</v>
      </c>
      <c r="C86" s="10">
        <v>116</v>
      </c>
      <c r="E86" s="21">
        <f t="shared" si="2"/>
        <v>112</v>
      </c>
      <c r="F86" s="3">
        <v>6.37493</v>
      </c>
      <c r="G86" s="16">
        <v>2938.22</v>
      </c>
      <c r="H86" s="13">
        <f t="shared" si="3"/>
        <v>0.81816992044464121</v>
      </c>
      <c r="I86" s="18">
        <v>460902000</v>
      </c>
      <c r="J86" s="18">
        <v>11733.5</v>
      </c>
      <c r="K86" s="3">
        <v>7.5714042999999995E-2</v>
      </c>
      <c r="L86" s="3">
        <v>6.2952823000000002E-4</v>
      </c>
      <c r="M86" s="18">
        <v>7.4132407000000003E-6</v>
      </c>
      <c r="N86" s="18">
        <v>9.8692021999999995E-8</v>
      </c>
      <c r="O86" s="18">
        <v>7.7318317000000005E-6</v>
      </c>
      <c r="P86" s="18">
        <v>6.4125173000000003E-7</v>
      </c>
      <c r="Q86" s="3">
        <v>6.1699939999999998E-3</v>
      </c>
      <c r="R86" s="3">
        <v>1.3001521000000001E-4</v>
      </c>
      <c r="S86" s="3">
        <v>1.3000769999999999</v>
      </c>
      <c r="T86" s="3">
        <v>1.3449957E-2</v>
      </c>
      <c r="U86" s="18">
        <v>2.6425107000000001E-8</v>
      </c>
      <c r="V86" s="18">
        <v>6.5617980000000004E-10</v>
      </c>
      <c r="W86" s="3">
        <v>7.6243299999999997E-4</v>
      </c>
      <c r="X86" s="3">
        <v>1.6320802999999999E-4</v>
      </c>
    </row>
    <row r="87" spans="1:24" x14ac:dyDescent="0.3">
      <c r="A87" s="17" t="s">
        <v>109</v>
      </c>
      <c r="C87" s="10">
        <v>120</v>
      </c>
      <c r="E87" s="21">
        <f t="shared" si="2"/>
        <v>116</v>
      </c>
      <c r="F87" s="3">
        <v>6.37493</v>
      </c>
      <c r="G87" s="16">
        <v>2955.42</v>
      </c>
      <c r="H87" s="13">
        <f t="shared" si="3"/>
        <v>0.82295939251672834</v>
      </c>
      <c r="I87" s="18">
        <v>463600000</v>
      </c>
      <c r="J87" s="18">
        <v>10601.5</v>
      </c>
      <c r="K87" s="3">
        <v>8.3000578000000005E-2</v>
      </c>
      <c r="L87" s="3">
        <v>7.1696881999999999E-4</v>
      </c>
      <c r="M87" s="18">
        <v>7.7852394999999993E-6</v>
      </c>
      <c r="N87" s="18">
        <v>1.0085852E-7</v>
      </c>
      <c r="O87" s="18">
        <v>9.9138723999999999E-6</v>
      </c>
      <c r="P87" s="18">
        <v>6.2738097999999995E-7</v>
      </c>
      <c r="Q87" s="3">
        <v>7.9729093000000008E-3</v>
      </c>
      <c r="R87" s="3">
        <v>1.4525747E-4</v>
      </c>
      <c r="S87" s="3">
        <v>1.2299484999999999</v>
      </c>
      <c r="T87" s="3">
        <v>1.1584410999999999E-2</v>
      </c>
      <c r="U87" s="18">
        <v>2.5931496999999999E-8</v>
      </c>
      <c r="V87" s="18">
        <v>5.5567175000000005E-10</v>
      </c>
      <c r="W87" s="3">
        <v>7.804E-4</v>
      </c>
      <c r="X87" s="3">
        <v>1.6538455E-4</v>
      </c>
    </row>
    <row r="88" spans="1:24" x14ac:dyDescent="0.3">
      <c r="A88" s="17" t="s">
        <v>109</v>
      </c>
      <c r="C88" s="10">
        <v>124</v>
      </c>
      <c r="E88" s="21">
        <f t="shared" si="2"/>
        <v>120</v>
      </c>
      <c r="F88" s="3">
        <v>6.37493</v>
      </c>
      <c r="G88" s="16">
        <v>3060.88</v>
      </c>
      <c r="H88" s="13">
        <f t="shared" si="3"/>
        <v>0.85232553930290911</v>
      </c>
      <c r="I88" s="18">
        <v>480144000</v>
      </c>
      <c r="J88" s="18">
        <v>5860.56</v>
      </c>
      <c r="K88" s="3">
        <v>8.3053089999999996E-2</v>
      </c>
      <c r="L88" s="3">
        <v>6.3447367999999997E-4</v>
      </c>
      <c r="M88" s="18">
        <v>7.8982571999999992E-6</v>
      </c>
      <c r="N88" s="18">
        <v>9.1993436000000002E-8</v>
      </c>
      <c r="O88" s="18">
        <v>1.2687637E-5</v>
      </c>
      <c r="P88" s="18">
        <v>5.2550214999999995E-7</v>
      </c>
      <c r="Q88" s="3">
        <v>8.1036389999999993E-3</v>
      </c>
      <c r="R88" s="3">
        <v>1.1916688E-4</v>
      </c>
      <c r="S88" s="3">
        <v>1.7240244</v>
      </c>
      <c r="T88" s="3">
        <v>9.5030306999999998E-3</v>
      </c>
      <c r="U88" s="18">
        <v>2.8782797999999999E-8</v>
      </c>
      <c r="V88" s="18">
        <v>5.1483958000000004E-10</v>
      </c>
      <c r="W88" s="3">
        <v>1.4234844E-3</v>
      </c>
      <c r="X88" s="3">
        <v>1.4603565000000001E-4</v>
      </c>
    </row>
    <row r="89" spans="1:24" x14ac:dyDescent="0.3">
      <c r="A89" s="17" t="s">
        <v>109</v>
      </c>
      <c r="C89" s="10">
        <v>128</v>
      </c>
      <c r="E89" s="21">
        <f t="shared" si="2"/>
        <v>124</v>
      </c>
      <c r="F89" s="3">
        <v>6.37493</v>
      </c>
      <c r="G89" s="16">
        <v>3071.2</v>
      </c>
      <c r="H89" s="13">
        <f t="shared" si="3"/>
        <v>0.85519922254616121</v>
      </c>
      <c r="I89" s="18">
        <v>481762000</v>
      </c>
      <c r="J89" s="18">
        <v>4799.47</v>
      </c>
      <c r="K89" s="3">
        <v>9.1259836999999996E-2</v>
      </c>
      <c r="L89" s="3">
        <v>6.5462832E-4</v>
      </c>
      <c r="M89" s="18">
        <v>7.3815718999999999E-6</v>
      </c>
      <c r="N89" s="18">
        <v>8.6895863999999996E-8</v>
      </c>
      <c r="O89" s="18">
        <v>1.1113134999999999E-5</v>
      </c>
      <c r="P89" s="18">
        <v>5.3062741999999999E-7</v>
      </c>
      <c r="Q89" s="3">
        <v>9.5574309000000003E-3</v>
      </c>
      <c r="R89" s="3">
        <v>1.2206243E-4</v>
      </c>
      <c r="S89" s="3">
        <v>0.24605054000000001</v>
      </c>
      <c r="T89" s="3">
        <v>8.2044202999999993E-3</v>
      </c>
      <c r="U89" s="18">
        <v>3.0014690999999999E-8</v>
      </c>
      <c r="V89" s="18">
        <v>4.6257593999999998E-10</v>
      </c>
      <c r="W89" s="3">
        <v>4.1670675999999998E-4</v>
      </c>
      <c r="X89" s="3">
        <v>1.7170105000000001E-4</v>
      </c>
    </row>
    <row r="90" spans="1:24" x14ac:dyDescent="0.3">
      <c r="A90" s="17" t="s">
        <v>109</v>
      </c>
      <c r="C90" s="10">
        <v>132</v>
      </c>
      <c r="E90" s="21">
        <f t="shared" si="2"/>
        <v>128</v>
      </c>
      <c r="F90" s="3">
        <v>6.37493</v>
      </c>
      <c r="G90" s="16">
        <v>3060.57</v>
      </c>
      <c r="H90" s="13">
        <f t="shared" si="3"/>
        <v>0.85223921742254005</v>
      </c>
      <c r="I90" s="18">
        <v>480095000</v>
      </c>
      <c r="J90" s="18">
        <v>5825.04</v>
      </c>
      <c r="K90" s="3">
        <v>7.2459270000000006E-2</v>
      </c>
      <c r="L90" s="18">
        <v>6.9313524999999995E-5</v>
      </c>
      <c r="M90" s="18">
        <v>7.4653826000000001E-6</v>
      </c>
      <c r="N90" s="18">
        <v>4.4733230000000001E-8</v>
      </c>
      <c r="O90" s="18">
        <v>1.5971369E-12</v>
      </c>
      <c r="P90" s="3" t="s">
        <v>31</v>
      </c>
      <c r="Q90" s="3">
        <v>1.0089545E-2</v>
      </c>
      <c r="R90" s="3">
        <v>1.1425018E-4</v>
      </c>
      <c r="S90" s="3">
        <v>1.8074585999999999</v>
      </c>
      <c r="T90" s="3">
        <v>7.3492282000000003E-3</v>
      </c>
      <c r="U90" s="18">
        <v>2.8286372999999999E-8</v>
      </c>
      <c r="V90" s="18">
        <v>3.8949072000000002E-10</v>
      </c>
      <c r="W90" s="3">
        <v>1.1818815E-3</v>
      </c>
      <c r="X90" s="18">
        <v>9.5797713000000002E-5</v>
      </c>
    </row>
    <row r="91" spans="1:24" x14ac:dyDescent="0.3">
      <c r="A91" s="17" t="s">
        <v>109</v>
      </c>
      <c r="C91" s="10">
        <v>136</v>
      </c>
      <c r="E91" s="21">
        <f t="shared" si="2"/>
        <v>132</v>
      </c>
      <c r="F91" s="3">
        <v>6.37493</v>
      </c>
      <c r="G91" s="16">
        <v>3021.78</v>
      </c>
      <c r="H91" s="13">
        <f t="shared" si="3"/>
        <v>0.84143784406926914</v>
      </c>
      <c r="I91" s="18">
        <v>474010000</v>
      </c>
      <c r="J91" s="18">
        <v>6273.26</v>
      </c>
      <c r="K91" s="3">
        <v>8.5707665000000002E-2</v>
      </c>
      <c r="L91" s="3">
        <v>6.2033656999999998E-4</v>
      </c>
      <c r="M91" s="18">
        <v>7.1246404000000004E-6</v>
      </c>
      <c r="N91" s="18">
        <v>8.9429604999999997E-8</v>
      </c>
      <c r="O91" s="18">
        <v>3.7890822000000001E-6</v>
      </c>
      <c r="P91" s="18">
        <v>5.9808280000000001E-7</v>
      </c>
      <c r="Q91" s="3">
        <v>1.0176872999999999E-2</v>
      </c>
      <c r="R91" s="3">
        <v>1.2533714999999999E-4</v>
      </c>
      <c r="S91" s="3">
        <v>1.7226793</v>
      </c>
      <c r="T91" s="3">
        <v>7.9467400000000007E-3</v>
      </c>
      <c r="U91" s="18">
        <v>2.9284043E-8</v>
      </c>
      <c r="V91" s="18">
        <v>4.3849716999999999E-10</v>
      </c>
      <c r="W91" s="3">
        <v>7.5606934E-4</v>
      </c>
      <c r="X91" s="3">
        <v>1.8528998000000001E-4</v>
      </c>
    </row>
    <row r="92" spans="1:24" x14ac:dyDescent="0.3">
      <c r="A92" s="17" t="s">
        <v>109</v>
      </c>
      <c r="C92" s="10">
        <v>140</v>
      </c>
      <c r="E92" s="21">
        <f t="shared" si="2"/>
        <v>136</v>
      </c>
      <c r="F92" s="3">
        <v>6.37493</v>
      </c>
      <c r="G92" s="16">
        <v>2972.46</v>
      </c>
      <c r="H92" s="13">
        <f t="shared" si="3"/>
        <v>0.82770431136023792</v>
      </c>
      <c r="I92" s="18">
        <v>466273000</v>
      </c>
      <c r="J92" s="18">
        <v>7570.37</v>
      </c>
      <c r="K92" s="3">
        <v>9.2879981E-2</v>
      </c>
      <c r="L92" s="3">
        <v>6.5787541999999999E-4</v>
      </c>
      <c r="M92" s="18">
        <v>7.1568670999999997E-6</v>
      </c>
      <c r="N92" s="18">
        <v>8.7029609000000004E-8</v>
      </c>
      <c r="O92" s="18">
        <v>6.3459353000000002E-6</v>
      </c>
      <c r="P92" s="18">
        <v>5.6707070999999999E-7</v>
      </c>
      <c r="Q92" s="3">
        <v>9.9228648000000003E-3</v>
      </c>
      <c r="R92" s="3">
        <v>1.3807009999999999E-4</v>
      </c>
      <c r="S92" s="3">
        <v>1.4127907</v>
      </c>
      <c r="T92" s="3">
        <v>8.8952347000000008E-3</v>
      </c>
      <c r="U92" s="18">
        <v>2.7422093999999999E-8</v>
      </c>
      <c r="V92" s="18">
        <v>4.5521862000000001E-10</v>
      </c>
      <c r="W92" s="18">
        <v>2.3424296000000001E-5</v>
      </c>
      <c r="X92" s="3">
        <v>1.9059354000000001E-4</v>
      </c>
    </row>
    <row r="93" spans="1:24" x14ac:dyDescent="0.3">
      <c r="A93" s="17" t="s">
        <v>109</v>
      </c>
      <c r="C93" s="10">
        <v>144</v>
      </c>
      <c r="E93" s="21">
        <f t="shared" si="2"/>
        <v>140</v>
      </c>
      <c r="F93" s="3">
        <v>6.37493</v>
      </c>
      <c r="G93" s="16">
        <v>2920.27</v>
      </c>
      <c r="H93" s="13">
        <f t="shared" si="3"/>
        <v>0.81317160511359676</v>
      </c>
      <c r="I93" s="18">
        <v>458087000</v>
      </c>
      <c r="J93" s="18">
        <v>8935.4</v>
      </c>
      <c r="K93" s="3">
        <v>9.3234732000000001E-2</v>
      </c>
      <c r="L93" s="3">
        <v>7.0113404000000002E-4</v>
      </c>
      <c r="M93" s="18">
        <v>7.3766801000000003E-6</v>
      </c>
      <c r="N93" s="18">
        <v>9.0839833000000001E-8</v>
      </c>
      <c r="O93" s="18">
        <v>1.0449687E-5</v>
      </c>
      <c r="P93" s="18">
        <v>5.6155054E-7</v>
      </c>
      <c r="Q93" s="3">
        <v>9.2434705999999995E-3</v>
      </c>
      <c r="R93" s="3">
        <v>1.4937859000000001E-4</v>
      </c>
      <c r="S93" s="3">
        <v>1.3820170000000001</v>
      </c>
      <c r="T93" s="3">
        <v>1.0282055999999999E-2</v>
      </c>
      <c r="U93" s="18">
        <v>2.5643936000000001E-8</v>
      </c>
      <c r="V93" s="18">
        <v>4.8517296000000004E-10</v>
      </c>
      <c r="W93" s="3">
        <v>6.8388795999999995E-4</v>
      </c>
      <c r="X93" s="3">
        <v>1.8423161999999999E-4</v>
      </c>
    </row>
    <row r="94" spans="1:24" x14ac:dyDescent="0.3">
      <c r="A94" s="17" t="s">
        <v>109</v>
      </c>
      <c r="C94" s="10">
        <v>148</v>
      </c>
      <c r="E94" s="21">
        <f t="shared" si="2"/>
        <v>144</v>
      </c>
      <c r="F94" s="3">
        <v>6.37493</v>
      </c>
      <c r="G94" s="16">
        <v>2877.33</v>
      </c>
      <c r="H94" s="13">
        <f t="shared" si="3"/>
        <v>0.80121463239409552</v>
      </c>
      <c r="I94" s="18">
        <v>451351000</v>
      </c>
      <c r="J94" s="18">
        <v>10816</v>
      </c>
      <c r="K94" s="3">
        <v>8.206782E-2</v>
      </c>
      <c r="L94" s="3">
        <v>6.3843232E-4</v>
      </c>
      <c r="M94" s="18">
        <v>6.8401222E-6</v>
      </c>
      <c r="N94" s="18">
        <v>9.4258539999999996E-8</v>
      </c>
      <c r="O94" s="18">
        <v>1.0824178999999999E-6</v>
      </c>
      <c r="P94" s="18">
        <v>6.8577784999999997E-7</v>
      </c>
      <c r="Q94" s="3">
        <v>8.8687313999999996E-3</v>
      </c>
      <c r="R94" s="3">
        <v>1.4329149999999999E-4</v>
      </c>
      <c r="S94" s="3">
        <v>1.2549528999999999</v>
      </c>
      <c r="T94" s="3">
        <v>1.0263913E-2</v>
      </c>
      <c r="U94" s="18">
        <v>2.5817309000000001E-8</v>
      </c>
      <c r="V94" s="18">
        <v>4.8591548999999998E-10</v>
      </c>
      <c r="W94" s="18">
        <v>4.2841620000000001E-5</v>
      </c>
      <c r="X94" s="3">
        <v>2.0140395000000001E-4</v>
      </c>
    </row>
    <row r="95" spans="1:24" x14ac:dyDescent="0.3">
      <c r="A95" s="17" t="s">
        <v>109</v>
      </c>
      <c r="C95" s="10">
        <v>152</v>
      </c>
      <c r="E95" s="21">
        <f t="shared" si="2"/>
        <v>148</v>
      </c>
      <c r="F95" s="3">
        <v>6.37493</v>
      </c>
      <c r="G95" s="16">
        <v>2830.87</v>
      </c>
      <c r="H95" s="13">
        <f t="shared" si="3"/>
        <v>0.78827748864588809</v>
      </c>
      <c r="I95" s="18">
        <v>444063000</v>
      </c>
      <c r="J95" s="18">
        <v>9930.42</v>
      </c>
      <c r="K95" s="3">
        <v>8.5824383000000004E-2</v>
      </c>
      <c r="L95" s="3">
        <v>6.4614407000000002E-4</v>
      </c>
      <c r="M95" s="18">
        <v>7.1727137000000001E-6</v>
      </c>
      <c r="N95" s="18">
        <v>9.0802371999999994E-8</v>
      </c>
      <c r="O95" s="18">
        <v>5.6201445999999998E-6</v>
      </c>
      <c r="P95" s="18">
        <v>6.0886901999999996E-7</v>
      </c>
      <c r="Q95" s="3">
        <v>7.3849585000000002E-3</v>
      </c>
      <c r="R95" s="3">
        <v>1.3075245E-4</v>
      </c>
      <c r="S95" s="3">
        <v>2.1379264999999998</v>
      </c>
      <c r="T95" s="3">
        <v>1.1316822000000001E-2</v>
      </c>
      <c r="U95" s="18">
        <v>2.8084955999999999E-8</v>
      </c>
      <c r="V95" s="18">
        <v>5.9238732999999995E-10</v>
      </c>
      <c r="W95" s="3">
        <v>6.1218335999999995E-4</v>
      </c>
      <c r="X95" s="3">
        <v>1.8289686E-4</v>
      </c>
    </row>
    <row r="96" spans="1:24" x14ac:dyDescent="0.3">
      <c r="A96" s="17" t="s">
        <v>109</v>
      </c>
      <c r="C96" s="10">
        <v>156</v>
      </c>
      <c r="E96" s="21">
        <f t="shared" si="2"/>
        <v>152</v>
      </c>
      <c r="F96" s="3">
        <v>6.37493</v>
      </c>
      <c r="G96" s="16">
        <v>2798.05</v>
      </c>
      <c r="H96" s="13">
        <f t="shared" si="3"/>
        <v>0.77913850763391734</v>
      </c>
      <c r="I96" s="18">
        <v>438915000</v>
      </c>
      <c r="J96" s="18">
        <v>10555.9</v>
      </c>
      <c r="K96" s="3">
        <v>9.1569324999999993E-2</v>
      </c>
      <c r="L96" s="3">
        <v>6.1980597999999995E-4</v>
      </c>
      <c r="M96" s="18">
        <v>6.9521120000000002E-6</v>
      </c>
      <c r="N96" s="18">
        <v>8.6887913999999996E-8</v>
      </c>
      <c r="O96" s="18">
        <v>8.9693532000000005E-6</v>
      </c>
      <c r="P96" s="18">
        <v>5.3442437000000001E-7</v>
      </c>
      <c r="Q96" s="3">
        <v>6.9505900000000004E-3</v>
      </c>
      <c r="R96" s="3">
        <v>1.2957113000000001E-4</v>
      </c>
      <c r="S96" s="3">
        <v>3.0506674999999999</v>
      </c>
      <c r="T96" s="3">
        <v>1.1952951999999999E-2</v>
      </c>
      <c r="U96" s="18">
        <v>2.8728786E-8</v>
      </c>
      <c r="V96" s="18">
        <v>6.4600958999999996E-10</v>
      </c>
      <c r="W96" s="3">
        <v>1.2019302999999999E-4</v>
      </c>
      <c r="X96" s="3">
        <v>1.9583630999999999E-4</v>
      </c>
    </row>
    <row r="97" spans="1:24" x14ac:dyDescent="0.3">
      <c r="A97" s="17" t="s">
        <v>109</v>
      </c>
      <c r="C97" s="10">
        <v>160</v>
      </c>
      <c r="E97" s="21">
        <f t="shared" si="2"/>
        <v>156</v>
      </c>
      <c r="F97" s="3">
        <v>6.37493</v>
      </c>
      <c r="G97" s="16">
        <v>2783.84</v>
      </c>
      <c r="H97" s="13">
        <f t="shared" si="3"/>
        <v>0.77518162402087321</v>
      </c>
      <c r="I97" s="18">
        <v>436686000</v>
      </c>
      <c r="J97" s="18">
        <v>9544.02</v>
      </c>
      <c r="K97" s="3">
        <v>9.5685523999999994E-2</v>
      </c>
      <c r="L97" s="3">
        <v>7.0941560000000001E-4</v>
      </c>
      <c r="M97" s="18">
        <v>7.1128037000000002E-6</v>
      </c>
      <c r="N97" s="18">
        <v>9.1771553000000003E-8</v>
      </c>
      <c r="O97" s="18">
        <v>9.5087798999999998E-6</v>
      </c>
      <c r="P97" s="18">
        <v>5.7431433000000005E-7</v>
      </c>
      <c r="Q97" s="3">
        <v>7.4750017999999996E-3</v>
      </c>
      <c r="R97" s="3">
        <v>1.4010530000000001E-4</v>
      </c>
      <c r="S97" s="3">
        <v>2.4177138</v>
      </c>
      <c r="T97" s="3">
        <v>1.1970028000000001E-2</v>
      </c>
      <c r="U97" s="18">
        <v>2.9256044000000002E-8</v>
      </c>
      <c r="V97" s="18">
        <v>6.5745910000000005E-10</v>
      </c>
      <c r="W97" s="18">
        <v>-6.9215221000000005E-5</v>
      </c>
      <c r="X97" s="3">
        <v>2.0544051999999999E-4</v>
      </c>
    </row>
    <row r="98" spans="1:24" x14ac:dyDescent="0.3">
      <c r="A98" s="17" t="s">
        <v>109</v>
      </c>
      <c r="C98" s="10">
        <v>164</v>
      </c>
      <c r="E98" s="21">
        <f t="shared" si="2"/>
        <v>160</v>
      </c>
      <c r="F98" s="3">
        <v>6.37493</v>
      </c>
      <c r="G98" s="16">
        <v>2783.86</v>
      </c>
      <c r="H98" s="13">
        <f t="shared" si="3"/>
        <v>0.7751871931744454</v>
      </c>
      <c r="I98" s="18">
        <v>436689000</v>
      </c>
      <c r="J98" s="18">
        <v>10547.7</v>
      </c>
      <c r="K98" s="3">
        <v>0.10523159999999999</v>
      </c>
      <c r="L98" s="3">
        <v>7.1928157E-4</v>
      </c>
      <c r="M98" s="18">
        <v>7.3611466000000002E-6</v>
      </c>
      <c r="N98" s="18">
        <v>8.6899999E-8</v>
      </c>
      <c r="O98" s="18">
        <v>1.7418979E-5</v>
      </c>
      <c r="P98" s="18">
        <v>4.6257441999999999E-7</v>
      </c>
      <c r="Q98" s="3">
        <v>7.2248377000000003E-3</v>
      </c>
      <c r="R98" s="3">
        <v>1.4863461E-4</v>
      </c>
      <c r="S98" s="3">
        <v>2.6829947000000001</v>
      </c>
      <c r="T98" s="3">
        <v>1.3095658E-2</v>
      </c>
      <c r="U98" s="18">
        <v>2.7147446999999998E-8</v>
      </c>
      <c r="V98" s="18">
        <v>6.6406707000000004E-10</v>
      </c>
      <c r="W98" s="3">
        <v>6.1878781999999996E-4</v>
      </c>
      <c r="X98" s="3">
        <v>1.9366823999999999E-4</v>
      </c>
    </row>
    <row r="99" spans="1:24" x14ac:dyDescent="0.3">
      <c r="A99" s="17" t="s">
        <v>109</v>
      </c>
      <c r="C99" s="10">
        <v>168</v>
      </c>
      <c r="E99" s="21">
        <f t="shared" si="2"/>
        <v>164</v>
      </c>
      <c r="F99" s="3">
        <v>6.37493</v>
      </c>
      <c r="G99" s="16">
        <v>2785.65</v>
      </c>
      <c r="H99" s="13">
        <f t="shared" si="3"/>
        <v>0.77568563241915678</v>
      </c>
      <c r="I99" s="18">
        <v>436970000</v>
      </c>
      <c r="J99" s="18">
        <v>14283.8</v>
      </c>
      <c r="K99" s="3">
        <v>8.6612444999999996E-2</v>
      </c>
      <c r="L99" s="3">
        <v>6.8542861999999999E-4</v>
      </c>
      <c r="M99" s="18">
        <v>7.0282480000000004E-6</v>
      </c>
      <c r="N99" s="18">
        <v>9.6014376000000003E-8</v>
      </c>
      <c r="O99" s="18">
        <v>6.1537359000000003E-6</v>
      </c>
      <c r="P99" s="18">
        <v>6.4595849999999995E-7</v>
      </c>
      <c r="Q99" s="3">
        <v>7.4998299999999999E-3</v>
      </c>
      <c r="R99" s="3">
        <v>1.5347871000000001E-4</v>
      </c>
      <c r="S99" s="3">
        <v>1.9705929</v>
      </c>
      <c r="T99" s="3">
        <v>1.2960774E-2</v>
      </c>
      <c r="U99" s="18">
        <v>2.5149021999999999E-8</v>
      </c>
      <c r="V99" s="18">
        <v>5.9585190999999999E-10</v>
      </c>
      <c r="W99" s="3">
        <v>1.0219538E-3</v>
      </c>
      <c r="X99" s="3">
        <v>2.0129263999999999E-4</v>
      </c>
    </row>
    <row r="100" spans="1:24" x14ac:dyDescent="0.3">
      <c r="A100" s="17" t="s">
        <v>109</v>
      </c>
      <c r="C100" s="10">
        <v>172</v>
      </c>
      <c r="E100" s="21">
        <f t="shared" si="2"/>
        <v>168</v>
      </c>
      <c r="F100" s="3">
        <v>6.37493</v>
      </c>
      <c r="G100" s="16">
        <v>2817.8</v>
      </c>
      <c r="H100" s="13">
        <f t="shared" si="3"/>
        <v>0.78463804678645921</v>
      </c>
      <c r="I100" s="18">
        <v>442012000</v>
      </c>
      <c r="J100" s="18">
        <v>9134.9500000000007</v>
      </c>
      <c r="K100" s="3">
        <v>0.10253579</v>
      </c>
      <c r="L100" s="3">
        <v>7.2131924999999997E-4</v>
      </c>
      <c r="M100" s="18">
        <v>7.0689178000000004E-6</v>
      </c>
      <c r="N100" s="18">
        <v>9.0487648000000003E-8</v>
      </c>
      <c r="O100" s="18">
        <v>1.3476303999999999E-5</v>
      </c>
      <c r="P100" s="18">
        <v>5.1830322000000001E-7</v>
      </c>
      <c r="Q100" s="3">
        <v>7.3225724000000004E-3</v>
      </c>
      <c r="R100" s="3">
        <v>1.4278621E-4</v>
      </c>
      <c r="S100" s="3">
        <v>2.6687238999999998</v>
      </c>
      <c r="T100" s="3">
        <v>1.2510297E-2</v>
      </c>
      <c r="U100" s="18">
        <v>2.9861798999999998E-8</v>
      </c>
      <c r="V100" s="18">
        <v>7.0504474E-10</v>
      </c>
      <c r="W100" s="3">
        <v>5.7375825000000004E-4</v>
      </c>
      <c r="X100" s="3">
        <v>2.1626792999999999E-4</v>
      </c>
    </row>
    <row r="101" spans="1:24" x14ac:dyDescent="0.3">
      <c r="A101" s="17" t="s">
        <v>109</v>
      </c>
      <c r="C101" s="10">
        <v>176</v>
      </c>
      <c r="E101" s="21">
        <f t="shared" si="2"/>
        <v>172</v>
      </c>
      <c r="F101" s="3">
        <v>6.37493</v>
      </c>
      <c r="G101" s="16">
        <v>2858.45</v>
      </c>
      <c r="H101" s="13">
        <f t="shared" si="3"/>
        <v>0.79595735142194413</v>
      </c>
      <c r="I101" s="18">
        <v>448389000</v>
      </c>
      <c r="J101" s="18">
        <v>11068.7</v>
      </c>
      <c r="K101" s="3">
        <v>8.6892964000000003E-2</v>
      </c>
      <c r="L101" s="3">
        <v>6.4378253999999998E-4</v>
      </c>
      <c r="M101" s="18">
        <v>6.7711746999999998E-6</v>
      </c>
      <c r="N101" s="18">
        <v>9.5411066999999998E-8</v>
      </c>
      <c r="O101" s="18">
        <v>7.7937946999999996E-6</v>
      </c>
      <c r="P101" s="18">
        <v>6.0635348999999998E-7</v>
      </c>
      <c r="Q101" s="3">
        <v>7.0927287999999998E-3</v>
      </c>
      <c r="R101" s="3">
        <v>1.4365299999999999E-4</v>
      </c>
      <c r="S101" s="3">
        <v>2.2097337000000001</v>
      </c>
      <c r="T101" s="3">
        <v>1.2954063E-2</v>
      </c>
      <c r="U101" s="18">
        <v>2.6866914000000001E-8</v>
      </c>
      <c r="V101" s="18">
        <v>6.4530439999999999E-10</v>
      </c>
      <c r="W101" s="3">
        <v>-5.9181260000000003E-4</v>
      </c>
      <c r="X101" s="3">
        <v>2.1443303999999999E-4</v>
      </c>
    </row>
    <row r="102" spans="1:24" x14ac:dyDescent="0.3">
      <c r="A102" s="17" t="s">
        <v>109</v>
      </c>
      <c r="C102" s="10">
        <v>180</v>
      </c>
      <c r="E102" s="21">
        <f t="shared" si="2"/>
        <v>176</v>
      </c>
      <c r="F102" s="3">
        <v>6.37493</v>
      </c>
      <c r="G102" s="16">
        <v>2900.92</v>
      </c>
      <c r="H102" s="13">
        <f t="shared" si="3"/>
        <v>0.80778344903249877</v>
      </c>
      <c r="I102" s="18">
        <v>455051000</v>
      </c>
      <c r="J102" s="18">
        <v>14414</v>
      </c>
      <c r="K102" s="3">
        <v>6.6559383E-2</v>
      </c>
      <c r="L102" s="3">
        <v>5.6735056000000003E-4</v>
      </c>
      <c r="M102" s="18">
        <v>7.3183571999999998E-6</v>
      </c>
      <c r="N102" s="18">
        <v>1.0374993E-7</v>
      </c>
      <c r="O102" s="18">
        <v>5.2761597000000003E-6</v>
      </c>
      <c r="P102" s="18">
        <v>6.8006105000000001E-7</v>
      </c>
      <c r="Q102" s="3">
        <v>6.8447263000000003E-3</v>
      </c>
      <c r="R102" s="3">
        <v>1.4241595000000001E-4</v>
      </c>
      <c r="S102" s="3">
        <v>2.7509171000000001</v>
      </c>
      <c r="T102" s="3">
        <v>1.3296028999999999E-2</v>
      </c>
      <c r="U102" s="18">
        <v>2.1939962000000001E-8</v>
      </c>
      <c r="V102" s="18">
        <v>5.2603377000000004E-10</v>
      </c>
      <c r="W102" s="3">
        <v>1.0688104E-3</v>
      </c>
      <c r="X102" s="3">
        <v>1.5774148000000001E-4</v>
      </c>
    </row>
    <row r="103" spans="1:24" x14ac:dyDescent="0.3">
      <c r="A103" s="17" t="s">
        <v>109</v>
      </c>
      <c r="C103" s="10">
        <v>184</v>
      </c>
      <c r="E103" s="21">
        <f t="shared" si="2"/>
        <v>180</v>
      </c>
      <c r="F103" s="3">
        <v>6.37493</v>
      </c>
      <c r="G103" s="16">
        <v>2936.09</v>
      </c>
      <c r="H103" s="13">
        <f t="shared" si="3"/>
        <v>0.81757680558920254</v>
      </c>
      <c r="I103" s="18">
        <v>460568000</v>
      </c>
      <c r="J103" s="18">
        <v>7196.61</v>
      </c>
      <c r="K103" s="3">
        <v>7.8580359000000002E-2</v>
      </c>
      <c r="L103" s="3">
        <v>6.0359624999999995E-4</v>
      </c>
      <c r="M103" s="18">
        <v>7.5918156999999997E-6</v>
      </c>
      <c r="N103" s="18">
        <v>9.2764481999999998E-8</v>
      </c>
      <c r="O103" s="18">
        <v>1.1917629E-5</v>
      </c>
      <c r="P103" s="18">
        <v>5.5031366999999998E-7</v>
      </c>
      <c r="Q103" s="3">
        <v>7.3984452000000001E-3</v>
      </c>
      <c r="R103" s="3">
        <v>1.2101788E-4</v>
      </c>
      <c r="S103" s="3">
        <v>1.7388713</v>
      </c>
      <c r="T103" s="3">
        <v>1.0457446E-2</v>
      </c>
      <c r="U103" s="18">
        <v>2.7138655000000002E-8</v>
      </c>
      <c r="V103" s="18">
        <v>5.2868373999999999E-10</v>
      </c>
      <c r="W103" s="3">
        <v>9.2237804999999997E-4</v>
      </c>
      <c r="X103" s="3">
        <v>1.4976362000000001E-4</v>
      </c>
    </row>
    <row r="104" spans="1:24" x14ac:dyDescent="0.3">
      <c r="A104" s="17" t="s">
        <v>110</v>
      </c>
      <c r="C104" s="3">
        <v>0</v>
      </c>
      <c r="E104" s="21">
        <f>C104</f>
        <v>0</v>
      </c>
      <c r="F104" s="3">
        <v>6.3582700000000001</v>
      </c>
      <c r="G104" s="16">
        <v>2873.43</v>
      </c>
      <c r="H104" s="13">
        <f t="shared" si="3"/>
        <v>0.80012864744751766</v>
      </c>
      <c r="I104" s="18">
        <v>451919000</v>
      </c>
      <c r="J104" s="18">
        <v>17217.2</v>
      </c>
      <c r="K104" s="3">
        <v>5.7330362000000003E-2</v>
      </c>
      <c r="L104" s="3">
        <v>6.3530761000000005E-4</v>
      </c>
      <c r="M104" s="18">
        <v>7.7588056999999992E-6</v>
      </c>
      <c r="N104" s="18">
        <v>1.2493296000000001E-7</v>
      </c>
      <c r="O104" s="18">
        <v>2.8073367999999999E-6</v>
      </c>
      <c r="P104" s="18">
        <v>8.8108427000000003E-7</v>
      </c>
      <c r="Q104" s="3">
        <v>6.3221149999999997E-3</v>
      </c>
      <c r="R104" s="3">
        <v>1.4689312E-4</v>
      </c>
      <c r="S104" s="3">
        <v>2.4029126000000001</v>
      </c>
      <c r="T104" s="3">
        <v>1.4818082E-2</v>
      </c>
      <c r="U104" s="18">
        <v>2.2248663000000001E-8</v>
      </c>
      <c r="V104" s="18">
        <v>5.9296526999999999E-10</v>
      </c>
      <c r="W104" s="3">
        <v>1.2892596000000001E-3</v>
      </c>
      <c r="X104" s="3">
        <v>1.473217E-4</v>
      </c>
    </row>
    <row r="105" spans="1:24" x14ac:dyDescent="0.3">
      <c r="A105" s="17" t="s">
        <v>110</v>
      </c>
      <c r="C105" s="3">
        <v>4</v>
      </c>
      <c r="E105" s="21">
        <f t="shared" ref="E105:E137" si="4">C105</f>
        <v>4</v>
      </c>
      <c r="F105" s="3">
        <v>6.3582700000000001</v>
      </c>
      <c r="G105" s="16">
        <v>2946.6</v>
      </c>
      <c r="H105" s="13">
        <f t="shared" si="3"/>
        <v>0.82050339579139064</v>
      </c>
      <c r="I105" s="18">
        <v>463428000</v>
      </c>
      <c r="J105" s="18">
        <v>9897.15</v>
      </c>
      <c r="K105" s="3">
        <v>5.8263903999999998E-2</v>
      </c>
      <c r="L105" s="3">
        <v>6.7999626999999999E-4</v>
      </c>
      <c r="M105" s="18">
        <v>8.1291604000000004E-6</v>
      </c>
      <c r="N105" s="18">
        <v>1.2991359E-7</v>
      </c>
      <c r="O105" s="18">
        <v>9.2163999000000005E-6</v>
      </c>
      <c r="P105" s="18">
        <v>8.3387900000000003E-7</v>
      </c>
      <c r="Q105" s="3">
        <v>6.0573564E-3</v>
      </c>
      <c r="R105" s="3">
        <v>1.3231353E-4</v>
      </c>
      <c r="S105" s="3">
        <v>1.1290123999999999</v>
      </c>
      <c r="T105" s="3">
        <v>1.3907088999999999E-2</v>
      </c>
      <c r="U105" s="18">
        <v>2.5630083999999999E-8</v>
      </c>
      <c r="V105" s="18">
        <v>6.5553796E-10</v>
      </c>
      <c r="W105" s="3">
        <v>1.4207263999999999E-3</v>
      </c>
      <c r="X105" s="3">
        <v>1.3717016999999999E-4</v>
      </c>
    </row>
    <row r="106" spans="1:24" x14ac:dyDescent="0.3">
      <c r="A106" s="17" t="s">
        <v>110</v>
      </c>
      <c r="C106" s="3">
        <v>8</v>
      </c>
      <c r="E106" s="21">
        <f t="shared" si="4"/>
        <v>8</v>
      </c>
      <c r="F106" s="3">
        <v>6.3582700000000001</v>
      </c>
      <c r="G106" s="16">
        <v>2967.71</v>
      </c>
      <c r="H106" s="13">
        <f t="shared" si="3"/>
        <v>0.82638163738684178</v>
      </c>
      <c r="I106" s="18">
        <v>466749000</v>
      </c>
      <c r="J106" s="18">
        <v>6325.63</v>
      </c>
      <c r="K106" s="3">
        <v>5.1794694000000002E-2</v>
      </c>
      <c r="L106" s="3">
        <v>6.0997313999999996E-4</v>
      </c>
      <c r="M106" s="18">
        <v>8.2951857E-6</v>
      </c>
      <c r="N106" s="18">
        <v>1.3039155E-7</v>
      </c>
      <c r="O106" s="18">
        <v>9.3081927999999994E-6</v>
      </c>
      <c r="P106" s="18">
        <v>8.2981936000000001E-7</v>
      </c>
      <c r="Q106" s="3">
        <v>5.7306511999999999E-3</v>
      </c>
      <c r="R106" s="3">
        <v>1.0704903E-4</v>
      </c>
      <c r="S106" s="3">
        <v>1.1859439000000001</v>
      </c>
      <c r="T106" s="3">
        <v>1.1960177000000001E-2</v>
      </c>
      <c r="U106" s="18">
        <v>2.8621777000000002E-8</v>
      </c>
      <c r="V106" s="18">
        <v>6.4102945999999998E-10</v>
      </c>
      <c r="W106" s="3">
        <v>1.7204388E-3</v>
      </c>
      <c r="X106" s="3">
        <v>1.1793531E-4</v>
      </c>
    </row>
    <row r="107" spans="1:24" x14ac:dyDescent="0.3">
      <c r="A107" s="17" t="s">
        <v>110</v>
      </c>
      <c r="C107" s="3">
        <v>12</v>
      </c>
      <c r="E107" s="21">
        <f t="shared" si="4"/>
        <v>12</v>
      </c>
      <c r="F107" s="3">
        <v>6.3582700000000001</v>
      </c>
      <c r="G107" s="16">
        <v>2961.07</v>
      </c>
      <c r="H107" s="13">
        <f t="shared" si="3"/>
        <v>0.8245326784008733</v>
      </c>
      <c r="I107" s="18">
        <v>465704000</v>
      </c>
      <c r="J107" s="18">
        <v>6415.35</v>
      </c>
      <c r="K107" s="3">
        <v>6.1078960000000002E-2</v>
      </c>
      <c r="L107" s="3">
        <v>6.3705450000000002E-4</v>
      </c>
      <c r="M107" s="18">
        <v>7.7070617000000007E-6</v>
      </c>
      <c r="N107" s="18">
        <v>1.2006378999999999E-7</v>
      </c>
      <c r="O107" s="18">
        <v>5.9388694999999999E-6</v>
      </c>
      <c r="P107" s="18">
        <v>7.9980019E-7</v>
      </c>
      <c r="Q107" s="3">
        <v>8.0504774000000005E-3</v>
      </c>
      <c r="R107" s="3">
        <v>1.2388381E-4</v>
      </c>
      <c r="S107" s="3">
        <v>1.5910367000000001</v>
      </c>
      <c r="T107" s="3">
        <v>9.8690293000000002E-3</v>
      </c>
      <c r="U107" s="18">
        <v>2.7462701E-8</v>
      </c>
      <c r="V107" s="18">
        <v>5.0490119999999995E-10</v>
      </c>
      <c r="W107" s="3">
        <v>1.2363967999999999E-3</v>
      </c>
      <c r="X107" s="3">
        <v>1.5040974999999999E-4</v>
      </c>
    </row>
    <row r="108" spans="1:24" x14ac:dyDescent="0.3">
      <c r="A108" s="17" t="s">
        <v>110</v>
      </c>
      <c r="C108" s="3">
        <v>16</v>
      </c>
      <c r="E108" s="21">
        <f t="shared" si="4"/>
        <v>16</v>
      </c>
      <c r="F108" s="3">
        <v>6.3582700000000001</v>
      </c>
      <c r="G108" s="16">
        <v>2910.31</v>
      </c>
      <c r="H108" s="13">
        <f t="shared" si="3"/>
        <v>0.81039816663464403</v>
      </c>
      <c r="I108" s="18">
        <v>457720000</v>
      </c>
      <c r="J108" s="18">
        <v>10561.1</v>
      </c>
      <c r="K108" s="3">
        <v>6.0100303000000001E-2</v>
      </c>
      <c r="L108" s="3">
        <v>6.5417673000000003E-4</v>
      </c>
      <c r="M108" s="18">
        <v>8.1686199999999997E-6</v>
      </c>
      <c r="N108" s="18">
        <v>1.2191834999999999E-7</v>
      </c>
      <c r="O108" s="18">
        <v>7.0724712000000002E-6</v>
      </c>
      <c r="P108" s="18">
        <v>7.9502653E-7</v>
      </c>
      <c r="Q108" s="3">
        <v>7.1890226999999996E-3</v>
      </c>
      <c r="R108" s="3">
        <v>1.3712125000000001E-4</v>
      </c>
      <c r="S108" s="3">
        <v>2.4782149000000002</v>
      </c>
      <c r="T108" s="3">
        <v>1.2258781999999999E-2</v>
      </c>
      <c r="U108" s="18">
        <v>2.3736025E-8</v>
      </c>
      <c r="V108" s="18">
        <v>5.2911283000000004E-10</v>
      </c>
      <c r="W108" s="3">
        <v>1.8505652E-3</v>
      </c>
      <c r="X108" s="3">
        <v>1.3405101000000001E-4</v>
      </c>
    </row>
    <row r="109" spans="1:24" x14ac:dyDescent="0.3">
      <c r="A109" s="17" t="s">
        <v>110</v>
      </c>
      <c r="C109" s="3">
        <v>20</v>
      </c>
      <c r="E109" s="21">
        <f t="shared" si="4"/>
        <v>20</v>
      </c>
      <c r="F109" s="3">
        <v>6.3582700000000001</v>
      </c>
      <c r="G109" s="16">
        <v>2879.67</v>
      </c>
      <c r="H109" s="13">
        <f t="shared" si="3"/>
        <v>0.80186622336204239</v>
      </c>
      <c r="I109" s="18">
        <v>452902000</v>
      </c>
      <c r="J109" s="18">
        <v>8465.92</v>
      </c>
      <c r="K109" s="3">
        <v>6.0160709E-2</v>
      </c>
      <c r="L109" s="3">
        <v>6.0098276999999997E-4</v>
      </c>
      <c r="M109" s="18">
        <v>7.4144974999999997E-6</v>
      </c>
      <c r="N109" s="18">
        <v>1.1542043E-7</v>
      </c>
      <c r="O109" s="18">
        <v>3.8610556000000001E-6</v>
      </c>
      <c r="P109" s="18">
        <v>8.0639928999999999E-7</v>
      </c>
      <c r="Q109" s="3">
        <v>7.0208591000000004E-3</v>
      </c>
      <c r="R109" s="3">
        <v>1.2481956000000001E-4</v>
      </c>
      <c r="S109" s="3">
        <v>1.615964</v>
      </c>
      <c r="T109" s="3">
        <v>1.1309751999999999E-2</v>
      </c>
      <c r="U109" s="18">
        <v>2.6134979999999999E-8</v>
      </c>
      <c r="V109" s="18">
        <v>5.4578675999999997E-10</v>
      </c>
      <c r="W109" s="3">
        <v>8.7130504000000001E-4</v>
      </c>
      <c r="X109" s="3">
        <v>1.5393140999999999E-4</v>
      </c>
    </row>
    <row r="110" spans="1:24" x14ac:dyDescent="0.3">
      <c r="A110" s="17" t="s">
        <v>110</v>
      </c>
      <c r="C110" s="3">
        <v>24</v>
      </c>
      <c r="E110" s="21">
        <f t="shared" si="4"/>
        <v>24</v>
      </c>
      <c r="F110" s="3">
        <v>6.3582700000000001</v>
      </c>
      <c r="G110" s="16">
        <v>2837.42</v>
      </c>
      <c r="H110" s="13">
        <f t="shared" si="3"/>
        <v>0.79010138644078176</v>
      </c>
      <c r="I110" s="18">
        <v>446256000</v>
      </c>
      <c r="J110" s="18">
        <v>8891.09</v>
      </c>
      <c r="K110" s="3">
        <v>5.8698618000000001E-2</v>
      </c>
      <c r="L110" s="3">
        <v>6.3338692000000001E-4</v>
      </c>
      <c r="M110" s="18">
        <v>7.6257140999999996E-6</v>
      </c>
      <c r="N110" s="18">
        <v>1.2385312E-7</v>
      </c>
      <c r="O110" s="18">
        <v>5.2499830999999998E-6</v>
      </c>
      <c r="P110" s="18">
        <v>8.4113925999999999E-7</v>
      </c>
      <c r="Q110" s="3">
        <v>6.5628644E-3</v>
      </c>
      <c r="R110" s="3">
        <v>1.2880281999999999E-4</v>
      </c>
      <c r="S110" s="3">
        <v>2.3605944000000001</v>
      </c>
      <c r="T110" s="3">
        <v>1.2550898E-2</v>
      </c>
      <c r="U110" s="18">
        <v>2.6113064000000001E-8</v>
      </c>
      <c r="V110" s="18">
        <v>6.0471735000000004E-10</v>
      </c>
      <c r="W110" s="3">
        <v>9.1682017000000002E-4</v>
      </c>
      <c r="X110" s="3">
        <v>1.5227510000000001E-4</v>
      </c>
    </row>
    <row r="111" spans="1:24" x14ac:dyDescent="0.3">
      <c r="A111" s="17" t="s">
        <v>110</v>
      </c>
      <c r="C111" s="3">
        <v>28</v>
      </c>
      <c r="E111" s="21">
        <f t="shared" si="4"/>
        <v>28</v>
      </c>
      <c r="F111" s="3">
        <v>6.3582700000000001</v>
      </c>
      <c r="G111" s="16">
        <v>2781.1</v>
      </c>
      <c r="H111" s="13">
        <f t="shared" si="3"/>
        <v>0.77441864998148258</v>
      </c>
      <c r="I111" s="18">
        <v>437398000</v>
      </c>
      <c r="J111" s="18">
        <v>8066.9</v>
      </c>
      <c r="K111" s="3">
        <v>6.2416443000000002E-2</v>
      </c>
      <c r="L111" s="3">
        <v>6.9217943000000003E-4</v>
      </c>
      <c r="M111" s="18">
        <v>7.7835638999999994E-6</v>
      </c>
      <c r="N111" s="18">
        <v>1.2279198000000001E-7</v>
      </c>
      <c r="O111" s="18">
        <v>6.1930841000000004E-6</v>
      </c>
      <c r="P111" s="18">
        <v>8.4908309000000002E-7</v>
      </c>
      <c r="Q111" s="3">
        <v>6.6903589000000003E-3</v>
      </c>
      <c r="R111" s="3">
        <v>1.2765802999999999E-4</v>
      </c>
      <c r="S111" s="3">
        <v>1.7997132</v>
      </c>
      <c r="T111" s="3">
        <v>1.2162454E-2</v>
      </c>
      <c r="U111" s="18">
        <v>2.7863119000000001E-8</v>
      </c>
      <c r="V111" s="18">
        <v>6.2696876999999996E-10</v>
      </c>
      <c r="W111" s="3">
        <v>1.2663368999999999E-3</v>
      </c>
      <c r="X111" s="3">
        <v>1.5232999000000001E-4</v>
      </c>
    </row>
    <row r="112" spans="1:24" x14ac:dyDescent="0.3">
      <c r="A112" s="17" t="s">
        <v>110</v>
      </c>
      <c r="C112" s="3">
        <v>32</v>
      </c>
      <c r="E112" s="21">
        <f t="shared" si="4"/>
        <v>32</v>
      </c>
      <c r="F112" s="3">
        <v>6.3582700000000001</v>
      </c>
      <c r="G112" s="16">
        <v>2766.05</v>
      </c>
      <c r="H112" s="13">
        <f t="shared" si="3"/>
        <v>0.77022786191840642</v>
      </c>
      <c r="I112" s="18">
        <v>435032000</v>
      </c>
      <c r="J112" s="18">
        <v>8356.6</v>
      </c>
      <c r="K112" s="3">
        <v>6.3079930000000006E-2</v>
      </c>
      <c r="L112" s="3">
        <v>7.0854206000000002E-4</v>
      </c>
      <c r="M112" s="18">
        <v>8.1186333000000006E-6</v>
      </c>
      <c r="N112" s="18">
        <v>1.2053337999999999E-7</v>
      </c>
      <c r="O112" s="18">
        <v>8.1565134999999992E-6</v>
      </c>
      <c r="P112" s="18">
        <v>8.2145981E-7</v>
      </c>
      <c r="Q112" s="3">
        <v>6.450346E-3</v>
      </c>
      <c r="R112" s="3">
        <v>1.2822975999999999E-4</v>
      </c>
      <c r="S112" s="3">
        <v>1.2318308</v>
      </c>
      <c r="T112" s="3">
        <v>1.2544293E-2</v>
      </c>
      <c r="U112" s="18">
        <v>2.7041177000000001E-8</v>
      </c>
      <c r="V112" s="18">
        <v>6.2488840000000001E-10</v>
      </c>
      <c r="W112" s="3">
        <v>1.6127685000000001E-3</v>
      </c>
      <c r="X112" s="3">
        <v>1.3729802999999999E-4</v>
      </c>
    </row>
    <row r="113" spans="1:24" x14ac:dyDescent="0.3">
      <c r="A113" s="17" t="s">
        <v>110</v>
      </c>
      <c r="C113" s="3">
        <v>36</v>
      </c>
      <c r="E113" s="21">
        <f t="shared" si="4"/>
        <v>36</v>
      </c>
      <c r="F113" s="3">
        <v>6.3582700000000001</v>
      </c>
      <c r="G113" s="16">
        <v>2759.42</v>
      </c>
      <c r="H113" s="13">
        <f t="shared" si="3"/>
        <v>0.76838168750922398</v>
      </c>
      <c r="I113" s="18">
        <v>433990000</v>
      </c>
      <c r="J113" s="18">
        <v>9486.24</v>
      </c>
      <c r="K113" s="3">
        <v>6.1494144000000001E-2</v>
      </c>
      <c r="L113" s="3">
        <v>7.1457712000000005E-4</v>
      </c>
      <c r="M113" s="18">
        <v>8.0205332000000007E-6</v>
      </c>
      <c r="N113" s="18">
        <v>1.2454727999999999E-7</v>
      </c>
      <c r="O113" s="18">
        <v>6.360824E-6</v>
      </c>
      <c r="P113" s="18">
        <v>8.7608423999999997E-7</v>
      </c>
      <c r="Q113" s="3">
        <v>6.3534634999999999E-3</v>
      </c>
      <c r="R113" s="3">
        <v>1.3133299000000001E-4</v>
      </c>
      <c r="S113" s="3">
        <v>1.3612835000000001</v>
      </c>
      <c r="T113" s="3">
        <v>1.3066454E-2</v>
      </c>
      <c r="U113" s="18">
        <v>2.6839836999999998E-8</v>
      </c>
      <c r="V113" s="18">
        <v>6.4441587000000004E-10</v>
      </c>
      <c r="W113" s="3">
        <v>1.6403406999999999E-3</v>
      </c>
      <c r="X113" s="3">
        <v>1.4292830000000001E-4</v>
      </c>
    </row>
    <row r="114" spans="1:24" x14ac:dyDescent="0.3">
      <c r="A114" s="17" t="s">
        <v>110</v>
      </c>
      <c r="C114" s="3">
        <v>40</v>
      </c>
      <c r="E114" s="21">
        <f t="shared" si="4"/>
        <v>40</v>
      </c>
      <c r="F114" s="3">
        <v>6.3582700000000001</v>
      </c>
      <c r="G114" s="16">
        <v>2757.31</v>
      </c>
      <c r="H114" s="13">
        <f t="shared" si="3"/>
        <v>0.76779414180735739</v>
      </c>
      <c r="I114" s="18">
        <v>433658000</v>
      </c>
      <c r="J114" s="18">
        <v>11410.7</v>
      </c>
      <c r="K114" s="3">
        <v>6.2451841000000001E-2</v>
      </c>
      <c r="L114" s="3">
        <v>7.1629029999999995E-4</v>
      </c>
      <c r="M114" s="18">
        <v>8.1094814000000003E-6</v>
      </c>
      <c r="N114" s="18">
        <v>1.2257561000000001E-7</v>
      </c>
      <c r="O114" s="18">
        <v>4.3605651000000003E-6</v>
      </c>
      <c r="P114" s="18">
        <v>8.8018186000000001E-7</v>
      </c>
      <c r="Q114" s="3">
        <v>7.4989258999999999E-3</v>
      </c>
      <c r="R114" s="3">
        <v>1.4492087000000001E-4</v>
      </c>
      <c r="S114" s="3">
        <v>1.9021121999999999</v>
      </c>
      <c r="T114" s="3">
        <v>1.2195507E-2</v>
      </c>
      <c r="U114" s="18">
        <v>2.4075777999999999E-8</v>
      </c>
      <c r="V114" s="18">
        <v>5.3175979999999997E-10</v>
      </c>
      <c r="W114" s="3">
        <v>1.5090603000000001E-3</v>
      </c>
      <c r="X114" s="3">
        <v>1.4212689000000001E-4</v>
      </c>
    </row>
    <row r="115" spans="1:24" x14ac:dyDescent="0.3">
      <c r="A115" s="17" t="s">
        <v>110</v>
      </c>
      <c r="C115" s="3">
        <v>44</v>
      </c>
      <c r="E115" s="21">
        <f t="shared" si="4"/>
        <v>44</v>
      </c>
      <c r="F115" s="3">
        <v>6.3582700000000001</v>
      </c>
      <c r="G115" s="16">
        <v>2783.57</v>
      </c>
      <c r="H115" s="13">
        <f t="shared" si="3"/>
        <v>0.77510644044764865</v>
      </c>
      <c r="I115" s="18">
        <v>437787000</v>
      </c>
      <c r="J115" s="18">
        <v>12192</v>
      </c>
      <c r="K115" s="3">
        <v>6.2198716000000001E-2</v>
      </c>
      <c r="L115" s="3">
        <v>7.1206619999999998E-4</v>
      </c>
      <c r="M115" s="18">
        <v>8.2279766000000005E-6</v>
      </c>
      <c r="N115" s="18">
        <v>1.2082562E-7</v>
      </c>
      <c r="O115" s="18">
        <v>6.5655545999999999E-6</v>
      </c>
      <c r="P115" s="18">
        <v>8.4960488E-7</v>
      </c>
      <c r="Q115" s="3">
        <v>6.5844342999999998E-3</v>
      </c>
      <c r="R115" s="3">
        <v>1.3958332E-4</v>
      </c>
      <c r="S115" s="3">
        <v>1.3031010000000001</v>
      </c>
      <c r="T115" s="3">
        <v>1.3405360999999999E-2</v>
      </c>
      <c r="U115" s="18">
        <v>2.4252214E-8</v>
      </c>
      <c r="V115" s="18">
        <v>5.8538572999999999E-10</v>
      </c>
      <c r="W115" s="3">
        <v>1.3997771000000001E-3</v>
      </c>
      <c r="X115" s="3">
        <v>1.3335417E-4</v>
      </c>
    </row>
    <row r="116" spans="1:24" x14ac:dyDescent="0.3">
      <c r="A116" s="17" t="s">
        <v>110</v>
      </c>
      <c r="C116" s="3">
        <v>48</v>
      </c>
      <c r="E116" s="21">
        <f t="shared" si="4"/>
        <v>48</v>
      </c>
      <c r="F116" s="3">
        <v>6.3582700000000001</v>
      </c>
      <c r="G116" s="16">
        <v>2804.39</v>
      </c>
      <c r="H116" s="13">
        <f t="shared" si="3"/>
        <v>0.78090392931630281</v>
      </c>
      <c r="I116" s="18">
        <v>441061000</v>
      </c>
      <c r="J116" s="18">
        <v>10309.5</v>
      </c>
      <c r="K116" s="3">
        <v>6.2580505999999994E-2</v>
      </c>
      <c r="L116" s="3">
        <v>6.9305653E-4</v>
      </c>
      <c r="M116" s="18">
        <v>8.2985111000000003E-6</v>
      </c>
      <c r="N116" s="18">
        <v>1.1999011999999999E-7</v>
      </c>
      <c r="O116" s="18">
        <v>8.9046405000000002E-6</v>
      </c>
      <c r="P116" s="18">
        <v>7.8875816000000003E-7</v>
      </c>
      <c r="Q116" s="3">
        <v>6.7457321000000004E-3</v>
      </c>
      <c r="R116" s="3">
        <v>1.3519108000000001E-4</v>
      </c>
      <c r="S116" s="3">
        <v>1.930436</v>
      </c>
      <c r="T116" s="3">
        <v>1.2755127E-2</v>
      </c>
      <c r="U116" s="18">
        <v>2.4615920000000001E-8</v>
      </c>
      <c r="V116" s="18">
        <v>5.6979306999999998E-10</v>
      </c>
      <c r="W116" s="3">
        <v>1.5800806E-3</v>
      </c>
      <c r="X116" s="3">
        <v>1.3040020000000001E-4</v>
      </c>
    </row>
    <row r="117" spans="1:24" x14ac:dyDescent="0.3">
      <c r="A117" s="17" t="s">
        <v>110</v>
      </c>
      <c r="C117" s="3">
        <v>52</v>
      </c>
      <c r="E117" s="21">
        <f t="shared" si="4"/>
        <v>52</v>
      </c>
      <c r="F117" s="3">
        <v>6.3582700000000001</v>
      </c>
      <c r="G117" s="16">
        <v>2842.51</v>
      </c>
      <c r="H117" s="13">
        <f t="shared" si="3"/>
        <v>0.7915187360249053</v>
      </c>
      <c r="I117" s="18">
        <v>447057000</v>
      </c>
      <c r="J117" s="18">
        <v>13234.8</v>
      </c>
      <c r="K117" s="3">
        <v>6.3509712999999995E-2</v>
      </c>
      <c r="L117" s="3">
        <v>6.9743896000000005E-4</v>
      </c>
      <c r="M117" s="18">
        <v>8.2827982000000008E-6</v>
      </c>
      <c r="N117" s="18">
        <v>1.1460742E-7</v>
      </c>
      <c r="O117" s="18">
        <v>5.1854058000000002E-6</v>
      </c>
      <c r="P117" s="18">
        <v>8.2730503000000004E-7</v>
      </c>
      <c r="Q117" s="3">
        <v>6.4446740999999997E-3</v>
      </c>
      <c r="R117" s="3">
        <v>1.3551186E-4</v>
      </c>
      <c r="S117" s="3">
        <v>0.97652468999999997</v>
      </c>
      <c r="T117" s="3">
        <v>1.3387757E-2</v>
      </c>
      <c r="U117" s="18">
        <v>2.4227135999999999E-8</v>
      </c>
      <c r="V117" s="18">
        <v>5.8138156000000003E-10</v>
      </c>
      <c r="W117" s="3">
        <v>1.6683758E-3</v>
      </c>
      <c r="X117" s="3">
        <v>1.2842598999999999E-4</v>
      </c>
    </row>
    <row r="118" spans="1:24" x14ac:dyDescent="0.3">
      <c r="A118" s="17" t="s">
        <v>110</v>
      </c>
      <c r="C118" s="3">
        <v>56</v>
      </c>
      <c r="E118" s="21">
        <f t="shared" si="4"/>
        <v>56</v>
      </c>
      <c r="F118" s="3">
        <v>6.3582700000000001</v>
      </c>
      <c r="G118" s="16">
        <v>2844.33</v>
      </c>
      <c r="H118" s="13">
        <f t="shared" si="3"/>
        <v>0.79202552899997491</v>
      </c>
      <c r="I118" s="18">
        <v>447344000</v>
      </c>
      <c r="J118" s="18">
        <v>9859.26</v>
      </c>
      <c r="K118" s="3">
        <v>7.3433188999999996E-2</v>
      </c>
      <c r="L118" s="3">
        <v>7.8600944999999999E-4</v>
      </c>
      <c r="M118" s="18">
        <v>8.2669932999999996E-6</v>
      </c>
      <c r="N118" s="18">
        <v>1.1548214000000001E-7</v>
      </c>
      <c r="O118" s="18">
        <v>8.8946622000000007E-6</v>
      </c>
      <c r="P118" s="18">
        <v>7.6523139999999997E-7</v>
      </c>
      <c r="Q118" s="3">
        <v>8.4948284999999991E-3</v>
      </c>
      <c r="R118" s="3">
        <v>1.6445640999999999E-4</v>
      </c>
      <c r="S118" s="3">
        <v>1.2511152999999999</v>
      </c>
      <c r="T118" s="3">
        <v>1.2224352000000001E-2</v>
      </c>
      <c r="U118" s="18">
        <v>2.2755998999999998E-8</v>
      </c>
      <c r="V118" s="18">
        <v>4.9771736999999998E-10</v>
      </c>
      <c r="W118" s="3">
        <v>1.9561245999999998E-3</v>
      </c>
      <c r="X118" s="3">
        <v>1.4800397000000001E-4</v>
      </c>
    </row>
    <row r="119" spans="1:24" x14ac:dyDescent="0.3">
      <c r="A119" s="17" t="s">
        <v>110</v>
      </c>
      <c r="C119" s="3">
        <v>60</v>
      </c>
      <c r="E119" s="21">
        <f t="shared" si="4"/>
        <v>60</v>
      </c>
      <c r="F119" s="3">
        <v>6.3582700000000001</v>
      </c>
      <c r="G119" s="16">
        <v>2921.44</v>
      </c>
      <c r="H119" s="13">
        <f t="shared" si="3"/>
        <v>0.81349740059757014</v>
      </c>
      <c r="I119" s="18">
        <v>459470000</v>
      </c>
      <c r="J119" s="18">
        <v>8133.29</v>
      </c>
      <c r="K119" s="3">
        <v>7.041335E-2</v>
      </c>
      <c r="L119" s="3">
        <v>6.9669312000000003E-4</v>
      </c>
      <c r="M119" s="18">
        <v>7.9083005999999998E-6</v>
      </c>
      <c r="N119" s="18">
        <v>1.1235999E-7</v>
      </c>
      <c r="O119" s="18">
        <v>9.6786797999999998E-6</v>
      </c>
      <c r="P119" s="18">
        <v>7.1330114999999995E-7</v>
      </c>
      <c r="Q119" s="3">
        <v>7.6783347E-3</v>
      </c>
      <c r="R119" s="3">
        <v>1.4134213E-4</v>
      </c>
      <c r="S119" s="3">
        <v>1.2921863</v>
      </c>
      <c r="T119" s="3">
        <v>1.1695097E-2</v>
      </c>
      <c r="U119" s="18">
        <v>2.5129106E-8</v>
      </c>
      <c r="V119" s="18">
        <v>5.3925946999999997E-10</v>
      </c>
      <c r="W119" s="3">
        <v>1.6088774E-3</v>
      </c>
      <c r="X119" s="3">
        <v>1.5077018000000001E-4</v>
      </c>
    </row>
    <row r="120" spans="1:24" x14ac:dyDescent="0.3">
      <c r="A120" s="17" t="s">
        <v>110</v>
      </c>
      <c r="C120" s="3">
        <v>64</v>
      </c>
      <c r="E120" s="21">
        <f t="shared" si="4"/>
        <v>64</v>
      </c>
      <c r="F120" s="3">
        <v>6.3582700000000001</v>
      </c>
      <c r="G120" s="16">
        <v>2971.84</v>
      </c>
      <c r="H120" s="13">
        <f t="shared" si="3"/>
        <v>0.82753166759949992</v>
      </c>
      <c r="I120" s="18">
        <v>467398000</v>
      </c>
      <c r="J120" s="18">
        <v>9767.4</v>
      </c>
      <c r="K120" s="3">
        <v>6.7461530000000006E-2</v>
      </c>
      <c r="L120" s="3">
        <v>7.6547099999999999E-4</v>
      </c>
      <c r="M120" s="18">
        <v>8.1756889000000003E-6</v>
      </c>
      <c r="N120" s="18">
        <v>1.2058861000000001E-7</v>
      </c>
      <c r="O120" s="18">
        <v>4.6862856999999997E-6</v>
      </c>
      <c r="P120" s="18">
        <v>8.6323125000000002E-7</v>
      </c>
      <c r="Q120" s="3">
        <v>6.2478033999999998E-3</v>
      </c>
      <c r="R120" s="3">
        <v>1.3452612999999999E-4</v>
      </c>
      <c r="S120" s="3">
        <v>0.43675394000000001</v>
      </c>
      <c r="T120" s="3">
        <v>1.3837268999999999E-2</v>
      </c>
      <c r="U120" s="18">
        <v>2.7908261000000001E-8</v>
      </c>
      <c r="V120" s="18">
        <v>7.1103916000000004E-10</v>
      </c>
      <c r="W120" s="3">
        <v>1.2052954E-3</v>
      </c>
      <c r="X120" s="3">
        <v>1.4823810000000001E-4</v>
      </c>
    </row>
    <row r="121" spans="1:24" x14ac:dyDescent="0.3">
      <c r="A121" s="17" t="s">
        <v>110</v>
      </c>
      <c r="C121" s="3">
        <v>68</v>
      </c>
      <c r="E121" s="21">
        <f t="shared" si="4"/>
        <v>68</v>
      </c>
      <c r="F121" s="3">
        <v>6.3582700000000001</v>
      </c>
      <c r="G121" s="16">
        <v>2985.9</v>
      </c>
      <c r="H121" s="13">
        <f t="shared" si="3"/>
        <v>0.83144678256075255</v>
      </c>
      <c r="I121" s="18">
        <v>469608000</v>
      </c>
      <c r="J121" s="18">
        <v>8353.1299999999992</v>
      </c>
      <c r="K121" s="3">
        <v>6.7948587000000005E-2</v>
      </c>
      <c r="L121" s="3">
        <v>6.9116450000000003E-4</v>
      </c>
      <c r="M121" s="18">
        <v>8.2055619999999992E-6</v>
      </c>
      <c r="N121" s="18">
        <v>1.1422807E-7</v>
      </c>
      <c r="O121" s="18">
        <v>8.2231598000000002E-6</v>
      </c>
      <c r="P121" s="18">
        <v>7.2941494000000004E-7</v>
      </c>
      <c r="Q121" s="3">
        <v>5.8455594999999999E-3</v>
      </c>
      <c r="R121" s="3">
        <v>1.2301693000000001E-4</v>
      </c>
      <c r="S121" s="3">
        <v>1.8681578000000001</v>
      </c>
      <c r="T121" s="3">
        <v>1.3616801E-2</v>
      </c>
      <c r="U121" s="18">
        <v>2.8758599000000001E-8</v>
      </c>
      <c r="V121" s="18">
        <v>7.3264932000000002E-10</v>
      </c>
      <c r="W121" s="3">
        <v>1.3088920999999999E-3</v>
      </c>
      <c r="X121" s="3">
        <v>1.3986327E-4</v>
      </c>
    </row>
    <row r="122" spans="1:24" x14ac:dyDescent="0.3">
      <c r="A122" s="17" t="s">
        <v>110</v>
      </c>
      <c r="C122" s="3">
        <v>72</v>
      </c>
      <c r="E122" s="21">
        <f t="shared" si="4"/>
        <v>72</v>
      </c>
      <c r="F122" s="3">
        <v>6.3582700000000001</v>
      </c>
      <c r="G122" s="16">
        <v>2977.04</v>
      </c>
      <c r="H122" s="13">
        <f t="shared" si="3"/>
        <v>0.82897964752827036</v>
      </c>
      <c r="I122" s="18">
        <v>468216000</v>
      </c>
      <c r="J122" s="18">
        <v>9592.66</v>
      </c>
      <c r="K122" s="3">
        <v>6.3788401999999994E-2</v>
      </c>
      <c r="L122" s="3">
        <v>6.8756033000000002E-4</v>
      </c>
      <c r="M122" s="18">
        <v>8.3359411999999996E-6</v>
      </c>
      <c r="N122" s="18">
        <v>1.1722883E-7</v>
      </c>
      <c r="O122" s="18">
        <v>9.0538765000000006E-6</v>
      </c>
      <c r="P122" s="18">
        <v>7.6282688999999995E-7</v>
      </c>
      <c r="Q122" s="3">
        <v>5.0336473000000001E-3</v>
      </c>
      <c r="R122" s="3">
        <v>1.1684008000000001E-4</v>
      </c>
      <c r="S122" s="3">
        <v>0.70642163999999996</v>
      </c>
      <c r="T122" s="3">
        <v>1.4878588999999999E-2</v>
      </c>
      <c r="U122" s="18">
        <v>2.9082759999999999E-8</v>
      </c>
      <c r="V122" s="18">
        <v>8.0776926000000001E-10</v>
      </c>
      <c r="W122" s="3">
        <v>1.6002588999999999E-3</v>
      </c>
      <c r="X122" s="3">
        <v>1.2885811E-4</v>
      </c>
    </row>
    <row r="123" spans="1:24" x14ac:dyDescent="0.3">
      <c r="A123" s="17" t="s">
        <v>110</v>
      </c>
      <c r="C123" s="3">
        <v>76</v>
      </c>
      <c r="E123" s="21">
        <f t="shared" si="4"/>
        <v>76</v>
      </c>
      <c r="F123" s="3">
        <v>6.3582700000000001</v>
      </c>
      <c r="G123" s="16">
        <v>2934.94</v>
      </c>
      <c r="H123" s="13">
        <f t="shared" si="3"/>
        <v>0.81725657925880135</v>
      </c>
      <c r="I123" s="18">
        <v>461595000</v>
      </c>
      <c r="J123" s="18">
        <v>15020.2</v>
      </c>
      <c r="K123" s="3">
        <v>6.8667292000000005E-2</v>
      </c>
      <c r="L123" s="3">
        <v>7.4382571000000002E-4</v>
      </c>
      <c r="M123" s="18">
        <v>8.5758191000000004E-6</v>
      </c>
      <c r="N123" s="18">
        <v>1.2050179999999999E-7</v>
      </c>
      <c r="O123" s="18">
        <v>1.1480402E-5</v>
      </c>
      <c r="P123" s="18">
        <v>7.2415868000000002E-7</v>
      </c>
      <c r="Q123" s="3">
        <v>4.5178824000000001E-3</v>
      </c>
      <c r="R123" s="3">
        <v>1.3641523999999999E-4</v>
      </c>
      <c r="S123" s="3">
        <v>2.0454951000000001</v>
      </c>
      <c r="T123" s="3">
        <v>1.9357302999999999E-2</v>
      </c>
      <c r="U123" s="18">
        <v>2.6615398000000002E-8</v>
      </c>
      <c r="V123" s="18">
        <v>9.5752749000000009E-10</v>
      </c>
      <c r="W123" s="3">
        <v>1.4451411999999999E-3</v>
      </c>
      <c r="X123" s="3">
        <v>1.3448822999999999E-4</v>
      </c>
    </row>
    <row r="124" spans="1:24" x14ac:dyDescent="0.3">
      <c r="A124" s="17" t="s">
        <v>110</v>
      </c>
      <c r="C124" s="3">
        <v>80</v>
      </c>
      <c r="E124" s="21">
        <f t="shared" si="4"/>
        <v>80</v>
      </c>
      <c r="F124" s="3">
        <v>6.3582700000000001</v>
      </c>
      <c r="G124" s="16">
        <v>2882.74</v>
      </c>
      <c r="H124" s="13">
        <f t="shared" si="3"/>
        <v>0.80272108843537404</v>
      </c>
      <c r="I124" s="18">
        <v>453385000</v>
      </c>
      <c r="J124" s="18">
        <v>34799.1</v>
      </c>
      <c r="K124" s="3">
        <v>6.7330145999999994E-2</v>
      </c>
      <c r="L124" s="3">
        <v>7.5857343999999999E-4</v>
      </c>
      <c r="M124" s="18">
        <v>8.0034206999999996E-6</v>
      </c>
      <c r="N124" s="18">
        <v>1.2318072000000001E-7</v>
      </c>
      <c r="O124" s="18">
        <v>6.5889582999999999E-6</v>
      </c>
      <c r="P124" s="18">
        <v>8.4379423000000001E-7</v>
      </c>
      <c r="Q124" s="3">
        <v>3.3596692000000001E-3</v>
      </c>
      <c r="R124" s="3">
        <v>1.5157049000000001E-4</v>
      </c>
      <c r="S124" s="3">
        <v>0.91257938999999999</v>
      </c>
      <c r="T124" s="3">
        <v>2.8444401000000001E-2</v>
      </c>
      <c r="U124" s="18">
        <v>2.5030464999999999E-8</v>
      </c>
      <c r="V124" s="18">
        <v>1.3041896999999999E-9</v>
      </c>
      <c r="W124" s="3">
        <v>1.26077E-3</v>
      </c>
      <c r="X124" s="3">
        <v>1.5612212999999999E-4</v>
      </c>
    </row>
    <row r="125" spans="1:24" x14ac:dyDescent="0.3">
      <c r="A125" s="17" t="s">
        <v>110</v>
      </c>
      <c r="C125" s="3">
        <v>84</v>
      </c>
      <c r="E125" s="21">
        <f t="shared" si="4"/>
        <v>84</v>
      </c>
      <c r="F125" s="3">
        <v>6.3582700000000001</v>
      </c>
      <c r="G125" s="16">
        <v>3415.9</v>
      </c>
      <c r="H125" s="13">
        <f t="shared" si="3"/>
        <v>0.9511835843629306</v>
      </c>
      <c r="I125" s="18">
        <v>537237000</v>
      </c>
      <c r="J125" s="18">
        <v>44274.7</v>
      </c>
      <c r="K125" s="3">
        <v>6.8731955999999997E-2</v>
      </c>
      <c r="L125" s="3">
        <v>7.6422236000000003E-4</v>
      </c>
      <c r="M125" s="18">
        <v>8.0699565E-6</v>
      </c>
      <c r="N125" s="18">
        <v>1.3013244E-7</v>
      </c>
      <c r="O125" s="18">
        <v>1.0173332000000001E-5</v>
      </c>
      <c r="P125" s="18">
        <v>7.7888919000000003E-7</v>
      </c>
      <c r="Q125" s="3">
        <v>2.6431606000000001E-3</v>
      </c>
      <c r="R125" s="3">
        <v>1.3925459999999999E-4</v>
      </c>
      <c r="S125" s="3">
        <v>-9.8175731000000002E-2</v>
      </c>
      <c r="T125" s="3">
        <v>3.4686084999999998E-2</v>
      </c>
      <c r="U125" s="18">
        <v>2.8908945E-8</v>
      </c>
      <c r="V125" s="18">
        <v>1.8715209E-9</v>
      </c>
      <c r="W125" s="3">
        <v>1.6034784999999999E-3</v>
      </c>
      <c r="X125" s="3">
        <v>1.6590375E-4</v>
      </c>
    </row>
    <row r="126" spans="1:24" x14ac:dyDescent="0.3">
      <c r="A126" s="17" t="s">
        <v>110</v>
      </c>
      <c r="C126" s="3">
        <v>88</v>
      </c>
      <c r="E126" s="21">
        <f t="shared" si="4"/>
        <v>88</v>
      </c>
      <c r="F126" s="3">
        <v>6.3582700000000001</v>
      </c>
      <c r="G126" s="16">
        <v>3444.88</v>
      </c>
      <c r="H126" s="13">
        <f t="shared" si="3"/>
        <v>0.95925328788904018</v>
      </c>
      <c r="I126" s="18">
        <v>541796000</v>
      </c>
      <c r="J126" s="18">
        <v>24190.799999999999</v>
      </c>
      <c r="K126" s="3">
        <v>6.789125E-2</v>
      </c>
      <c r="L126" s="3">
        <v>7.5016294999999996E-4</v>
      </c>
      <c r="M126" s="18">
        <v>8.0111176999999997E-6</v>
      </c>
      <c r="N126" s="18">
        <v>1.3161197E-7</v>
      </c>
      <c r="O126" s="18">
        <v>1.1106996E-5</v>
      </c>
      <c r="P126" s="18">
        <v>7.6585349E-7</v>
      </c>
      <c r="Q126" s="3">
        <v>4.1707467999999998E-3</v>
      </c>
      <c r="R126" s="3">
        <v>1.5602992999999999E-4</v>
      </c>
      <c r="S126" s="3">
        <v>0.15859235999999999</v>
      </c>
      <c r="T126" s="3">
        <v>2.4679870999999999E-2</v>
      </c>
      <c r="U126" s="18">
        <v>2.4844044999999998E-8</v>
      </c>
      <c r="V126" s="18">
        <v>1.1194208999999999E-9</v>
      </c>
      <c r="W126" s="3">
        <v>1.7198769E-3</v>
      </c>
      <c r="X126" s="3">
        <v>1.6775859999999999E-4</v>
      </c>
    </row>
    <row r="127" spans="1:24" x14ac:dyDescent="0.3">
      <c r="A127" s="17" t="s">
        <v>110</v>
      </c>
      <c r="C127" s="3">
        <v>92</v>
      </c>
      <c r="E127" s="21">
        <f t="shared" si="4"/>
        <v>92</v>
      </c>
      <c r="F127" s="3">
        <v>6.3582700000000001</v>
      </c>
      <c r="G127" s="16">
        <v>3462.63</v>
      </c>
      <c r="H127" s="13">
        <f t="shared" si="3"/>
        <v>0.96419591168436269</v>
      </c>
      <c r="I127" s="18">
        <v>544587000</v>
      </c>
      <c r="J127" s="18">
        <v>27935.9</v>
      </c>
      <c r="K127" s="3">
        <v>6.8716525000000001E-2</v>
      </c>
      <c r="L127" s="3">
        <v>7.9267672999999998E-4</v>
      </c>
      <c r="M127" s="18">
        <v>8.4990354999999999E-6</v>
      </c>
      <c r="N127" s="18">
        <v>1.2856588E-7</v>
      </c>
      <c r="O127" s="18">
        <v>9.4584729000000005E-6</v>
      </c>
      <c r="P127" s="18">
        <v>7.9644408999999996E-7</v>
      </c>
      <c r="Q127" s="3">
        <v>4.1136562000000003E-3</v>
      </c>
      <c r="R127" s="3">
        <v>1.5361437000000001E-4</v>
      </c>
      <c r="S127" s="3">
        <v>-0.85096742000000003</v>
      </c>
      <c r="T127" s="3">
        <v>2.4539682E-2</v>
      </c>
      <c r="U127" s="18">
        <v>2.4872753000000001E-8</v>
      </c>
      <c r="V127" s="18">
        <v>1.1074786E-9</v>
      </c>
      <c r="W127" s="3">
        <v>1.6028974E-3</v>
      </c>
      <c r="X127" s="3">
        <v>1.4817475999999999E-4</v>
      </c>
    </row>
    <row r="128" spans="1:24" x14ac:dyDescent="0.3">
      <c r="A128" s="17" t="s">
        <v>110</v>
      </c>
      <c r="C128" s="3">
        <v>94</v>
      </c>
      <c r="E128" s="21">
        <f t="shared" si="4"/>
        <v>94</v>
      </c>
      <c r="F128" s="3">
        <v>6.3582700000000001</v>
      </c>
      <c r="G128" s="16">
        <v>3503.28</v>
      </c>
      <c r="H128" s="13">
        <f t="shared" si="3"/>
        <v>0.97551521631984772</v>
      </c>
      <c r="I128" s="18">
        <v>550980000</v>
      </c>
      <c r="J128" s="18">
        <v>31403.4</v>
      </c>
      <c r="K128" s="3">
        <v>5.5464041999999998E-2</v>
      </c>
      <c r="L128" s="3">
        <v>7.3381138999999997E-4</v>
      </c>
      <c r="M128" s="18">
        <v>7.7994736999999995E-6</v>
      </c>
      <c r="N128" s="18">
        <v>1.4975776000000001E-7</v>
      </c>
      <c r="O128" s="18">
        <v>1.6322721E-6</v>
      </c>
      <c r="P128" s="18">
        <v>1.0609005E-6</v>
      </c>
      <c r="Q128" s="3">
        <v>3.3820877E-3</v>
      </c>
      <c r="R128" s="3">
        <v>1.4358259000000001E-4</v>
      </c>
      <c r="S128" s="3">
        <v>-1.0324656999999999</v>
      </c>
      <c r="T128" s="3">
        <v>2.7984035000000001E-2</v>
      </c>
      <c r="U128" s="18">
        <v>2.6868811E-8</v>
      </c>
      <c r="V128" s="18">
        <v>1.3794261000000001E-9</v>
      </c>
      <c r="W128" s="3">
        <v>1.1191354E-3</v>
      </c>
      <c r="X128" s="3">
        <v>1.7089553000000001E-4</v>
      </c>
    </row>
    <row r="129" spans="1:24" x14ac:dyDescent="0.3">
      <c r="A129" s="17" t="s">
        <v>110</v>
      </c>
      <c r="C129" s="3">
        <v>98</v>
      </c>
      <c r="E129" s="21">
        <f t="shared" si="4"/>
        <v>98</v>
      </c>
      <c r="F129" s="3">
        <v>6.3582700000000001</v>
      </c>
      <c r="G129" s="16">
        <v>3503.22</v>
      </c>
      <c r="H129" s="13">
        <f t="shared" si="3"/>
        <v>0.97549850885913103</v>
      </c>
      <c r="I129" s="18">
        <v>550971000</v>
      </c>
      <c r="J129" s="18">
        <v>17828.3</v>
      </c>
      <c r="K129" s="3">
        <v>7.0074376999999993E-2</v>
      </c>
      <c r="L129" s="3">
        <v>9.6430406000000001E-4</v>
      </c>
      <c r="M129" s="18">
        <v>7.9695969999999992E-6</v>
      </c>
      <c r="N129" s="18">
        <v>1.4226057000000001E-7</v>
      </c>
      <c r="O129" s="18">
        <v>1.0546613000000001E-5</v>
      </c>
      <c r="P129" s="18">
        <v>9.9997661000000002E-7</v>
      </c>
      <c r="Q129" s="3">
        <v>4.9276668000000001E-3</v>
      </c>
      <c r="R129" s="3">
        <v>1.7437869E-4</v>
      </c>
      <c r="S129" s="3">
        <v>1.4384579</v>
      </c>
      <c r="T129" s="3">
        <v>2.2292889999999999E-2</v>
      </c>
      <c r="U129" s="18">
        <v>2.5455585E-8</v>
      </c>
      <c r="V129" s="18">
        <v>1.0031961E-9</v>
      </c>
      <c r="W129" s="3">
        <v>1.312777E-3</v>
      </c>
      <c r="X129" s="3">
        <v>1.8031813E-4</v>
      </c>
    </row>
    <row r="130" spans="1:24" x14ac:dyDescent="0.3">
      <c r="A130" s="17" t="s">
        <v>110</v>
      </c>
      <c r="C130" s="3">
        <v>102</v>
      </c>
      <c r="E130" s="21">
        <f t="shared" si="4"/>
        <v>102</v>
      </c>
      <c r="F130" s="3">
        <v>6.3582700000000001</v>
      </c>
      <c r="G130" s="16">
        <v>3525.03</v>
      </c>
      <c r="H130" s="13">
        <f t="shared" si="3"/>
        <v>0.98157167082960906</v>
      </c>
      <c r="I130" s="18">
        <v>554401000</v>
      </c>
      <c r="J130" s="18">
        <v>32642.2</v>
      </c>
      <c r="K130" s="3">
        <v>6.8491329000000004E-2</v>
      </c>
      <c r="L130" s="3">
        <v>8.8661242E-4</v>
      </c>
      <c r="M130" s="18">
        <v>7.8879037000000006E-6</v>
      </c>
      <c r="N130" s="18">
        <v>1.3557939999999999E-7</v>
      </c>
      <c r="O130" s="18">
        <v>8.5542059999999999E-6</v>
      </c>
      <c r="P130" s="18">
        <v>9.6746582999999998E-7</v>
      </c>
      <c r="Q130" s="3">
        <v>3.0127203000000001E-3</v>
      </c>
      <c r="R130" s="3">
        <v>1.4750605000000001E-4</v>
      </c>
      <c r="S130" s="3">
        <v>2.1613207000000001</v>
      </c>
      <c r="T130" s="3">
        <v>3.1141292000000001E-2</v>
      </c>
      <c r="U130" s="18">
        <v>2.8705319E-8</v>
      </c>
      <c r="V130" s="18">
        <v>1.624281E-9</v>
      </c>
      <c r="W130" s="3">
        <v>1.2621652000000001E-3</v>
      </c>
      <c r="X130" s="3">
        <v>1.7416441E-4</v>
      </c>
    </row>
    <row r="131" spans="1:24" x14ac:dyDescent="0.3">
      <c r="A131" s="17" t="s">
        <v>110</v>
      </c>
      <c r="C131" s="3">
        <v>106</v>
      </c>
      <c r="E131" s="21">
        <f t="shared" si="4"/>
        <v>106</v>
      </c>
      <c r="F131" s="3">
        <v>6.3582700000000001</v>
      </c>
      <c r="G131" s="16">
        <v>3566.99</v>
      </c>
      <c r="H131" s="13">
        <f t="shared" si="3"/>
        <v>0.9932557550240726</v>
      </c>
      <c r="I131" s="18">
        <v>561001000</v>
      </c>
      <c r="J131" s="18">
        <v>34740.5</v>
      </c>
      <c r="K131" s="3">
        <v>7.1624486000000001E-2</v>
      </c>
      <c r="L131" s="3">
        <v>9.2232516999999996E-4</v>
      </c>
      <c r="M131" s="18">
        <v>8.5502840999999996E-6</v>
      </c>
      <c r="N131" s="18">
        <v>1.4865881000000001E-7</v>
      </c>
      <c r="O131" s="18">
        <v>1.3845658E-5</v>
      </c>
      <c r="P131" s="18">
        <v>8.2701619999999998E-7</v>
      </c>
      <c r="Q131" s="3">
        <v>3.609733E-3</v>
      </c>
      <c r="R131" s="3">
        <v>1.6331648999999999E-4</v>
      </c>
      <c r="S131" s="3">
        <v>-0.91199414000000001</v>
      </c>
      <c r="T131" s="3">
        <v>2.9940159000000001E-2</v>
      </c>
      <c r="U131" s="18">
        <v>2.8009104E-8</v>
      </c>
      <c r="V131" s="18">
        <v>1.5528811000000001E-9</v>
      </c>
      <c r="W131" s="3">
        <v>1.5575222000000001E-3</v>
      </c>
      <c r="X131" s="3">
        <v>1.7333891000000001E-4</v>
      </c>
    </row>
    <row r="132" spans="1:24" x14ac:dyDescent="0.3">
      <c r="A132" s="17" t="s">
        <v>110</v>
      </c>
      <c r="C132" s="3">
        <v>110</v>
      </c>
      <c r="E132" s="21">
        <f t="shared" si="4"/>
        <v>110</v>
      </c>
      <c r="F132" s="3">
        <v>6.3582700000000001</v>
      </c>
      <c r="G132" s="16">
        <v>2910.02</v>
      </c>
      <c r="H132" s="13">
        <f t="shared" si="3"/>
        <v>0.81031741390784717</v>
      </c>
      <c r="I132" s="18">
        <v>457674000</v>
      </c>
      <c r="J132" s="18">
        <v>35976.800000000003</v>
      </c>
      <c r="K132" s="3">
        <v>6.9853375999999995E-2</v>
      </c>
      <c r="L132" s="3">
        <v>7.7080767000000001E-4</v>
      </c>
      <c r="M132" s="18">
        <v>7.8448021000000003E-6</v>
      </c>
      <c r="N132" s="18">
        <v>1.2733831000000001E-7</v>
      </c>
      <c r="O132" s="18">
        <v>6.4728824999999999E-6</v>
      </c>
      <c r="P132" s="18">
        <v>8.2936812999999996E-7</v>
      </c>
      <c r="Q132" s="3">
        <v>5.7172114E-3</v>
      </c>
      <c r="R132" s="3">
        <v>1.9656205E-4</v>
      </c>
      <c r="S132" s="3">
        <v>2.5297537000000001</v>
      </c>
      <c r="T132" s="3">
        <v>2.1827025E-2</v>
      </c>
      <c r="U132" s="18">
        <v>2.0049667000000001E-8</v>
      </c>
      <c r="V132" s="18">
        <v>7.7749234999999999E-10</v>
      </c>
      <c r="W132" s="3">
        <v>1.7907457999999999E-3</v>
      </c>
      <c r="X132" s="3">
        <v>1.7666196999999999E-4</v>
      </c>
    </row>
    <row r="133" spans="1:24" x14ac:dyDescent="0.3">
      <c r="A133" s="17" t="s">
        <v>110</v>
      </c>
      <c r="C133" s="3">
        <v>114</v>
      </c>
      <c r="E133" s="21">
        <f t="shared" si="4"/>
        <v>114</v>
      </c>
      <c r="F133" s="3">
        <v>6.3582700000000001</v>
      </c>
      <c r="G133" s="16">
        <v>2983.39</v>
      </c>
      <c r="H133" s="13">
        <f t="shared" si="3"/>
        <v>0.83074785378744209</v>
      </c>
      <c r="I133" s="18">
        <v>469214000</v>
      </c>
      <c r="J133" s="18">
        <v>21149.1</v>
      </c>
      <c r="K133" s="3">
        <v>7.2844832999999998E-2</v>
      </c>
      <c r="L133" s="3">
        <v>7.6229909999999995E-4</v>
      </c>
      <c r="M133" s="18">
        <v>8.1712408999999995E-6</v>
      </c>
      <c r="N133" s="18">
        <v>1.1917180000000001E-7</v>
      </c>
      <c r="O133" s="18">
        <v>1.0329544E-5</v>
      </c>
      <c r="P133" s="18">
        <v>7.3027479000000005E-7</v>
      </c>
      <c r="Q133" s="3">
        <v>4.0989169000000001E-3</v>
      </c>
      <c r="R133" s="3">
        <v>1.4396634999999999E-4</v>
      </c>
      <c r="S133" s="3">
        <v>1.7221222</v>
      </c>
      <c r="T133" s="3">
        <v>2.2565285000000001E-2</v>
      </c>
      <c r="U133" s="18">
        <v>2.6955491E-8</v>
      </c>
      <c r="V133" s="18">
        <v>1.131372E-9</v>
      </c>
      <c r="W133" s="3">
        <v>1.4727633000000001E-3</v>
      </c>
      <c r="X133" s="3">
        <v>1.5599082000000001E-4</v>
      </c>
    </row>
    <row r="134" spans="1:24" x14ac:dyDescent="0.3">
      <c r="A134" s="17" t="s">
        <v>110</v>
      </c>
      <c r="C134" s="3">
        <v>118</v>
      </c>
      <c r="E134" s="21">
        <f t="shared" si="4"/>
        <v>118</v>
      </c>
      <c r="F134" s="3">
        <v>6.3582700000000001</v>
      </c>
      <c r="G134" s="16">
        <v>2990.8</v>
      </c>
      <c r="H134" s="13">
        <f t="shared" si="3"/>
        <v>0.8328112251859402</v>
      </c>
      <c r="I134" s="18">
        <v>470379000</v>
      </c>
      <c r="J134" s="18">
        <v>12361</v>
      </c>
      <c r="K134" s="3">
        <v>5.8097399000000001E-2</v>
      </c>
      <c r="L134" s="3">
        <v>6.2426460999999997E-4</v>
      </c>
      <c r="M134" s="18">
        <v>7.5561336000000003E-6</v>
      </c>
      <c r="N134" s="18">
        <v>1.2209349000000001E-7</v>
      </c>
      <c r="O134" s="18">
        <v>5.4999754E-7</v>
      </c>
      <c r="P134" s="18">
        <v>8.9095079999999996E-7</v>
      </c>
      <c r="Q134" s="3">
        <v>6.9587542000000002E-3</v>
      </c>
      <c r="R134" s="3">
        <v>1.4010138000000001E-4</v>
      </c>
      <c r="S134" s="3">
        <v>1.4139155000000001</v>
      </c>
      <c r="T134" s="3">
        <v>1.285325E-2</v>
      </c>
      <c r="U134" s="18">
        <v>2.3668770000000001E-8</v>
      </c>
      <c r="V134" s="18">
        <v>5.5360728E-10</v>
      </c>
      <c r="W134" s="3">
        <v>1.0096257999999999E-3</v>
      </c>
      <c r="X134" s="3">
        <v>1.5496056999999999E-4</v>
      </c>
    </row>
    <row r="135" spans="1:24" x14ac:dyDescent="0.3">
      <c r="A135" s="17" t="s">
        <v>110</v>
      </c>
      <c r="C135" s="3">
        <v>122</v>
      </c>
      <c r="E135" s="21">
        <f t="shared" si="4"/>
        <v>122</v>
      </c>
      <c r="F135" s="3">
        <v>6.3582700000000001</v>
      </c>
      <c r="G135" s="16">
        <v>3051.54</v>
      </c>
      <c r="H135" s="13">
        <f t="shared" si="3"/>
        <v>0.84972474458469427</v>
      </c>
      <c r="I135" s="18">
        <v>479933000</v>
      </c>
      <c r="J135" s="18">
        <v>7984.17</v>
      </c>
      <c r="K135" s="3">
        <v>6.1375119999999998E-2</v>
      </c>
      <c r="L135" s="3">
        <v>6.9474876000000002E-4</v>
      </c>
      <c r="M135" s="18">
        <v>7.8364095999999993E-6</v>
      </c>
      <c r="N135" s="18">
        <v>1.2473515E-7</v>
      </c>
      <c r="O135" s="18">
        <v>2.4830650000000001E-6</v>
      </c>
      <c r="P135" s="18">
        <v>9.0119401999999996E-7</v>
      </c>
      <c r="Q135" s="3">
        <v>7.6078480000000004E-3</v>
      </c>
      <c r="R135" s="3">
        <v>1.3658480999999999E-4</v>
      </c>
      <c r="S135" s="3">
        <v>0.34612078000000002</v>
      </c>
      <c r="T135" s="3">
        <v>1.1469161E-2</v>
      </c>
      <c r="U135" s="18">
        <v>2.6244931999999999E-8</v>
      </c>
      <c r="V135" s="18">
        <v>5.5480049E-10</v>
      </c>
      <c r="W135" s="3">
        <v>7.5858477000000004E-4</v>
      </c>
      <c r="X135" s="3">
        <v>1.5396969000000001E-4</v>
      </c>
    </row>
    <row r="136" spans="1:24" x14ac:dyDescent="0.3">
      <c r="A136" s="17" t="s">
        <v>110</v>
      </c>
      <c r="C136" s="3">
        <v>126</v>
      </c>
      <c r="E136" s="21">
        <f t="shared" si="4"/>
        <v>126</v>
      </c>
      <c r="F136" s="3">
        <v>6.3582700000000001</v>
      </c>
      <c r="G136" s="16">
        <v>3072.55</v>
      </c>
      <c r="H136" s="13">
        <f t="shared" si="3"/>
        <v>0.85557514041228444</v>
      </c>
      <c r="I136" s="18">
        <v>483237000</v>
      </c>
      <c r="J136" s="18">
        <v>5391.25</v>
      </c>
      <c r="K136" s="3">
        <v>7.1776009000000002E-2</v>
      </c>
      <c r="L136" s="3">
        <v>6.7130947E-4</v>
      </c>
      <c r="M136" s="18">
        <v>8.1999184999999998E-6</v>
      </c>
      <c r="N136" s="18">
        <v>1.0828746E-7</v>
      </c>
      <c r="O136" s="18">
        <v>1.1382553999999999E-5</v>
      </c>
      <c r="P136" s="18">
        <v>6.3929216E-7</v>
      </c>
      <c r="Q136" s="3">
        <v>7.7442042000000003E-3</v>
      </c>
      <c r="R136" s="3">
        <v>1.2253146E-4</v>
      </c>
      <c r="S136" s="3">
        <v>1.8059786</v>
      </c>
      <c r="T136" s="3">
        <v>1.0280427999999999E-2</v>
      </c>
      <c r="U136" s="18">
        <v>2.8336541E-8</v>
      </c>
      <c r="V136" s="18">
        <v>5.4513635000000002E-10</v>
      </c>
      <c r="W136" s="3">
        <v>1.4577492E-3</v>
      </c>
      <c r="X136" s="3">
        <v>1.3858514E-4</v>
      </c>
    </row>
    <row r="137" spans="1:24" x14ac:dyDescent="0.3">
      <c r="A137" s="17" t="s">
        <v>110</v>
      </c>
      <c r="C137" s="3">
        <v>130</v>
      </c>
      <c r="E137" s="21">
        <f t="shared" si="4"/>
        <v>130</v>
      </c>
      <c r="F137" s="3">
        <v>6.3582700000000001</v>
      </c>
      <c r="G137" s="16">
        <v>3074.09</v>
      </c>
      <c r="H137" s="13">
        <f t="shared" si="3"/>
        <v>0.85600396523734346</v>
      </c>
      <c r="I137" s="18">
        <v>483478000</v>
      </c>
      <c r="J137" s="18">
        <v>4477.43</v>
      </c>
      <c r="K137" s="3">
        <v>7.1112897999999994E-2</v>
      </c>
      <c r="L137" s="3">
        <v>7.0766201999999999E-4</v>
      </c>
      <c r="M137" s="18">
        <v>7.8714251000000006E-6</v>
      </c>
      <c r="N137" s="18">
        <v>1.125353E-7</v>
      </c>
      <c r="O137" s="18">
        <v>8.2539034000000003E-6</v>
      </c>
      <c r="P137" s="18">
        <v>7.3329574000000004E-7</v>
      </c>
      <c r="Q137" s="3">
        <v>8.2248330000000008E-3</v>
      </c>
      <c r="R137" s="3">
        <v>1.2320066999999999E-4</v>
      </c>
      <c r="S137" s="3">
        <v>0.23610122</v>
      </c>
      <c r="T137" s="3">
        <v>9.6448825999999998E-3</v>
      </c>
      <c r="U137" s="18">
        <v>3.0210822000000001E-8</v>
      </c>
      <c r="V137" s="18">
        <v>5.4708257999999995E-10</v>
      </c>
      <c r="W137" s="3">
        <v>1.4505598E-3</v>
      </c>
      <c r="X137" s="3">
        <v>1.5499460999999999E-4</v>
      </c>
    </row>
    <row r="138" spans="1:24" x14ac:dyDescent="0.3">
      <c r="A138" s="17" t="s">
        <v>111</v>
      </c>
      <c r="C138" s="3">
        <v>-4</v>
      </c>
      <c r="D138" s="3">
        <v>332</v>
      </c>
      <c r="E138" s="21">
        <f>C138+4</f>
        <v>0</v>
      </c>
      <c r="F138" s="3">
        <v>6.3747100000000003</v>
      </c>
      <c r="G138" s="16">
        <v>2941.46</v>
      </c>
      <c r="H138" s="13">
        <f t="shared" si="3"/>
        <v>0.81907212332333668</v>
      </c>
      <c r="I138" s="18">
        <v>461427000</v>
      </c>
      <c r="J138" s="18">
        <v>31967.8</v>
      </c>
      <c r="K138" s="3">
        <v>7.1848105999999995E-2</v>
      </c>
      <c r="L138" s="3">
        <v>5.4276366999999996E-4</v>
      </c>
      <c r="M138" s="18">
        <v>5.5504163999999996E-6</v>
      </c>
      <c r="N138" s="18">
        <v>1.1208279E-7</v>
      </c>
      <c r="O138" s="18">
        <v>4.6461684000000001E-8</v>
      </c>
      <c r="P138" s="18">
        <v>7.9175051999999996E-7</v>
      </c>
      <c r="Q138" s="3">
        <v>2.5775702E-3</v>
      </c>
      <c r="R138" s="3">
        <v>1.3080753999999999E-4</v>
      </c>
      <c r="S138" s="3">
        <v>1.050805</v>
      </c>
      <c r="T138" s="3">
        <v>3.2811561000000003E-2</v>
      </c>
      <c r="U138" s="18">
        <v>3.0884854000000001E-8</v>
      </c>
      <c r="V138" s="18">
        <v>1.8951272999999998E-9</v>
      </c>
      <c r="W138" s="3">
        <v>-2.9856587999999998E-3</v>
      </c>
      <c r="X138" s="3" t="s">
        <v>51</v>
      </c>
    </row>
    <row r="139" spans="1:24" x14ac:dyDescent="0.3">
      <c r="A139" s="17" t="s">
        <v>111</v>
      </c>
      <c r="C139" s="10">
        <v>0</v>
      </c>
      <c r="D139" s="3">
        <v>336</v>
      </c>
      <c r="E139" s="21">
        <f t="shared" ref="E139:E186" si="5">C139+4</f>
        <v>4</v>
      </c>
      <c r="F139" s="3">
        <v>6.3747100000000003</v>
      </c>
      <c r="G139" s="16">
        <v>2989.97</v>
      </c>
      <c r="H139" s="13">
        <f t="shared" ref="H139:H202" si="6">G139/MAX($G$10:$G$285)</f>
        <v>0.832580105312694</v>
      </c>
      <c r="I139" s="18">
        <v>469036000</v>
      </c>
      <c r="J139" s="18">
        <v>22959</v>
      </c>
      <c r="K139" s="3">
        <v>6.5886803999999993E-2</v>
      </c>
      <c r="L139" s="18">
        <v>9.1151611000000007E-5</v>
      </c>
      <c r="M139" s="18">
        <v>5.9700567999999998E-6</v>
      </c>
      <c r="N139" s="18">
        <v>5.3325025000000001E-8</v>
      </c>
      <c r="O139" s="18">
        <v>1.4883622000000001E-9</v>
      </c>
      <c r="P139" s="3" t="s">
        <v>31</v>
      </c>
      <c r="Q139" s="3">
        <v>3.6093064000000002E-3</v>
      </c>
      <c r="R139" s="3">
        <v>1.3451792E-4</v>
      </c>
      <c r="S139" s="3">
        <v>9.1680620000000004E-2</v>
      </c>
      <c r="T139" s="3">
        <v>2.3994957000000001E-2</v>
      </c>
      <c r="U139" s="18">
        <v>2.7338228E-8</v>
      </c>
      <c r="V139" s="18">
        <v>1.1997349000000001E-9</v>
      </c>
      <c r="W139" s="3">
        <v>-1.5919864E-3</v>
      </c>
      <c r="X139" s="3" t="s">
        <v>52</v>
      </c>
    </row>
    <row r="140" spans="1:24" x14ac:dyDescent="0.3">
      <c r="A140" s="17" t="s">
        <v>111</v>
      </c>
      <c r="C140" s="10">
        <v>4</v>
      </c>
      <c r="D140" s="3">
        <v>340</v>
      </c>
      <c r="E140" s="21">
        <f t="shared" si="5"/>
        <v>8</v>
      </c>
      <c r="F140" s="3">
        <v>6.3747100000000003</v>
      </c>
      <c r="G140" s="16">
        <v>2982.85</v>
      </c>
      <c r="H140" s="13">
        <f t="shared" si="6"/>
        <v>0.83059748664099287</v>
      </c>
      <c r="I140" s="18">
        <v>467920000</v>
      </c>
      <c r="J140" s="18">
        <v>14809.9</v>
      </c>
      <c r="K140" s="3">
        <v>9.3542534999999996E-2</v>
      </c>
      <c r="L140" s="3">
        <v>1.9496554E-4</v>
      </c>
      <c r="M140" s="18">
        <v>8.2001465000000002E-6</v>
      </c>
      <c r="N140" s="18">
        <v>5.8144312999999998E-8</v>
      </c>
      <c r="O140" s="18">
        <v>2.9261970999999998E-11</v>
      </c>
      <c r="P140" s="3" t="s">
        <v>31</v>
      </c>
      <c r="Q140" s="3">
        <v>6.9170719999999998E-3</v>
      </c>
      <c r="R140" s="3">
        <v>3.3151665999999998E-4</v>
      </c>
      <c r="S140" s="3">
        <v>0.82643471000000002</v>
      </c>
      <c r="T140" s="3">
        <v>2.1943711000000001E-2</v>
      </c>
      <c r="U140" s="18">
        <v>3.2453754999999999E-8</v>
      </c>
      <c r="V140" s="18">
        <v>1.0912434000000001E-9</v>
      </c>
      <c r="W140" s="3">
        <v>1.5286471E-3</v>
      </c>
      <c r="X140" s="3" t="s">
        <v>53</v>
      </c>
    </row>
    <row r="141" spans="1:24" x14ac:dyDescent="0.3">
      <c r="A141" s="17" t="s">
        <v>111</v>
      </c>
      <c r="C141" s="10">
        <v>8</v>
      </c>
      <c r="D141" s="3">
        <v>344</v>
      </c>
      <c r="E141" s="21">
        <f t="shared" si="5"/>
        <v>12</v>
      </c>
      <c r="F141" s="3">
        <v>6.3747100000000003</v>
      </c>
      <c r="G141" s="16">
        <v>2956.57</v>
      </c>
      <c r="H141" s="13">
        <f t="shared" si="6"/>
        <v>0.82327961884712952</v>
      </c>
      <c r="I141" s="18">
        <v>463796000</v>
      </c>
      <c r="J141" s="18">
        <v>28868</v>
      </c>
      <c r="K141" s="3">
        <v>7.1368588999999996E-2</v>
      </c>
      <c r="L141" s="3">
        <v>5.3248612000000005E-4</v>
      </c>
      <c r="M141" s="18">
        <v>5.4307754000000003E-6</v>
      </c>
      <c r="N141" s="18">
        <v>1.0802754000000001E-7</v>
      </c>
      <c r="O141" s="18">
        <v>6.5043178999999996E-7</v>
      </c>
      <c r="P141" s="18">
        <v>7.9584992E-7</v>
      </c>
      <c r="Q141" s="3">
        <v>2.0721953999999999E-3</v>
      </c>
      <c r="R141" s="3">
        <v>1.0275564000000001E-4</v>
      </c>
      <c r="S141" s="3">
        <v>3.0916823999999998</v>
      </c>
      <c r="T141" s="3">
        <v>3.1860214999999997E-2</v>
      </c>
      <c r="U141" s="18">
        <v>3.9516241999999999E-8</v>
      </c>
      <c r="V141" s="18">
        <v>2.4205529E-9</v>
      </c>
      <c r="W141" s="3">
        <v>-2.6150101000000001E-3</v>
      </c>
      <c r="X141" s="3" t="s">
        <v>54</v>
      </c>
    </row>
    <row r="142" spans="1:24" x14ac:dyDescent="0.3">
      <c r="A142" s="17" t="s">
        <v>111</v>
      </c>
      <c r="C142" s="10">
        <v>12</v>
      </c>
      <c r="D142" s="3">
        <v>348</v>
      </c>
      <c r="E142" s="21">
        <f t="shared" si="5"/>
        <v>16</v>
      </c>
      <c r="F142" s="3">
        <v>6.3747100000000003</v>
      </c>
      <c r="G142" s="16">
        <v>2894.84</v>
      </c>
      <c r="H142" s="13">
        <f t="shared" si="6"/>
        <v>0.8060904263465517</v>
      </c>
      <c r="I142" s="18">
        <v>454113000</v>
      </c>
      <c r="J142" s="18">
        <v>35874.400000000001</v>
      </c>
      <c r="K142" s="3">
        <v>6.0033823E-2</v>
      </c>
      <c r="L142" s="18">
        <v>7.4762108000000002E-5</v>
      </c>
      <c r="M142" s="18">
        <v>6.5237443000000001E-6</v>
      </c>
      <c r="N142" s="18">
        <v>5.4057902000000002E-8</v>
      </c>
      <c r="O142" s="18">
        <v>2.9933333999999998E-14</v>
      </c>
      <c r="P142" s="3" t="s">
        <v>31</v>
      </c>
      <c r="Q142" s="3">
        <v>2.3591088999999998E-3</v>
      </c>
      <c r="R142" s="3">
        <v>1.0770361E-4</v>
      </c>
      <c r="S142" s="3">
        <v>7.7934244E-2</v>
      </c>
      <c r="T142" s="3">
        <v>2.9256305999999999E-2</v>
      </c>
      <c r="U142" s="18">
        <v>3.2808864000000002E-8</v>
      </c>
      <c r="V142" s="18">
        <v>1.8078019999999999E-9</v>
      </c>
      <c r="W142" s="3">
        <v>-6.8685888E-4</v>
      </c>
      <c r="X142" s="3" t="s">
        <v>55</v>
      </c>
    </row>
    <row r="143" spans="1:24" x14ac:dyDescent="0.3">
      <c r="A143" s="17" t="s">
        <v>111</v>
      </c>
      <c r="C143" s="10">
        <v>16</v>
      </c>
      <c r="D143" s="3">
        <v>352</v>
      </c>
      <c r="E143" s="21">
        <f t="shared" si="5"/>
        <v>20</v>
      </c>
      <c r="F143" s="3">
        <v>6.3747100000000003</v>
      </c>
      <c r="G143" s="16">
        <v>2757.5</v>
      </c>
      <c r="H143" s="13">
        <f t="shared" si="6"/>
        <v>0.76784704876629328</v>
      </c>
      <c r="I143" s="18">
        <v>432569000</v>
      </c>
      <c r="J143" s="18">
        <v>375132</v>
      </c>
      <c r="K143" s="3">
        <v>6.4337085000000002E-2</v>
      </c>
      <c r="L143" s="18">
        <v>8.7578961999999999E-5</v>
      </c>
      <c r="M143" s="18">
        <v>6.0160943E-6</v>
      </c>
      <c r="N143" s="18">
        <v>5.3667894999999998E-8</v>
      </c>
      <c r="O143" s="18">
        <v>5.3038971000000002E-9</v>
      </c>
      <c r="P143" s="3" t="s">
        <v>31</v>
      </c>
      <c r="Q143" s="3">
        <v>4.1559326000000004E-3</v>
      </c>
      <c r="R143" s="3">
        <v>2.7973422E-4</v>
      </c>
      <c r="S143" s="3">
        <v>1.6623697</v>
      </c>
      <c r="T143" s="3">
        <v>7.0051949000000002E-2</v>
      </c>
      <c r="U143" s="18">
        <v>9.1126873999999999E-9</v>
      </c>
      <c r="V143" s="3" t="s">
        <v>31</v>
      </c>
      <c r="W143" s="3">
        <v>-1.1164399E-3</v>
      </c>
      <c r="X143" s="3" t="s">
        <v>56</v>
      </c>
    </row>
    <row r="144" spans="1:24" x14ac:dyDescent="0.3">
      <c r="A144" s="17" t="s">
        <v>111</v>
      </c>
      <c r="C144" s="10">
        <v>20</v>
      </c>
      <c r="D144" s="3">
        <v>356</v>
      </c>
      <c r="E144" s="21">
        <f t="shared" si="5"/>
        <v>24</v>
      </c>
      <c r="F144" s="3">
        <v>6.3747100000000003</v>
      </c>
      <c r="G144" s="16">
        <v>2811.09</v>
      </c>
      <c r="H144" s="13">
        <f t="shared" si="6"/>
        <v>0.78276959576298799</v>
      </c>
      <c r="I144" s="18">
        <v>440976000</v>
      </c>
      <c r="J144" s="18">
        <v>10386.200000000001</v>
      </c>
      <c r="K144" s="3">
        <v>6.0041754000000003E-2</v>
      </c>
      <c r="L144" s="18">
        <v>9.7114453999999994E-5</v>
      </c>
      <c r="M144" s="18">
        <v>5.6746284000000004E-6</v>
      </c>
      <c r="N144" s="18">
        <v>5.6970692999999999E-8</v>
      </c>
      <c r="O144" s="18">
        <v>1.7746474999999999E-10</v>
      </c>
      <c r="P144" s="3" t="s">
        <v>31</v>
      </c>
      <c r="Q144" s="3">
        <v>5.5721358999999996E-3</v>
      </c>
      <c r="R144" s="3">
        <v>1.2264569000000001E-4</v>
      </c>
      <c r="S144" s="3">
        <v>1.4333393000000001</v>
      </c>
      <c r="T144" s="3">
        <v>1.4041352E-2</v>
      </c>
      <c r="U144" s="18">
        <v>2.9363568999999999E-8</v>
      </c>
      <c r="V144" s="18">
        <v>7.7001560000000004E-10</v>
      </c>
      <c r="W144" s="3">
        <v>-1.9592426000000001E-3</v>
      </c>
      <c r="X144" s="3" t="s">
        <v>57</v>
      </c>
    </row>
    <row r="145" spans="1:24" x14ac:dyDescent="0.3">
      <c r="A145" s="17" t="s">
        <v>111</v>
      </c>
      <c r="C145" s="10">
        <v>24</v>
      </c>
      <c r="D145" s="3">
        <v>0</v>
      </c>
      <c r="E145" s="21">
        <f t="shared" si="5"/>
        <v>28</v>
      </c>
      <c r="F145" s="3">
        <v>6.3747100000000003</v>
      </c>
      <c r="G145" s="16">
        <v>2792.37</v>
      </c>
      <c r="H145" s="13">
        <f t="shared" si="6"/>
        <v>0.77755686801941404</v>
      </c>
      <c r="I145" s="18">
        <v>438039000</v>
      </c>
      <c r="J145" s="18">
        <v>23794.799999999999</v>
      </c>
      <c r="K145" s="3">
        <v>5.2908748999999998E-2</v>
      </c>
      <c r="L145" s="18">
        <v>7.4965061999999994E-5</v>
      </c>
      <c r="M145" s="18">
        <v>6.2961376999999997E-6</v>
      </c>
      <c r="N145" s="18">
        <v>5.9501813999999999E-8</v>
      </c>
      <c r="O145" s="18">
        <v>1.2580960999999999E-8</v>
      </c>
      <c r="P145" s="3" t="s">
        <v>31</v>
      </c>
      <c r="Q145" s="3">
        <v>2.5319752000000002E-3</v>
      </c>
      <c r="R145" s="3">
        <v>1.0606392E-4</v>
      </c>
      <c r="S145" s="3">
        <v>0.22873265000000001</v>
      </c>
      <c r="T145" s="3">
        <v>2.6749216999999999E-2</v>
      </c>
      <c r="U145" s="18">
        <v>3.2582840000000003E-8</v>
      </c>
      <c r="V145" s="18">
        <v>1.6324520000000001E-9</v>
      </c>
      <c r="W145" s="3">
        <v>-4.5599863999999998E-4</v>
      </c>
      <c r="X145" s="3" t="s">
        <v>58</v>
      </c>
    </row>
    <row r="146" spans="1:24" x14ac:dyDescent="0.3">
      <c r="A146" s="17" t="s">
        <v>111</v>
      </c>
      <c r="C146" s="10">
        <v>28</v>
      </c>
      <c r="D146" s="3">
        <v>4</v>
      </c>
      <c r="E146" s="21">
        <f t="shared" si="5"/>
        <v>32</v>
      </c>
      <c r="F146" s="3">
        <v>6.3747100000000003</v>
      </c>
      <c r="G146" s="16">
        <v>2773.83</v>
      </c>
      <c r="H146" s="13">
        <f t="shared" si="6"/>
        <v>0.77239426265798994</v>
      </c>
      <c r="I146" s="18">
        <v>435130000</v>
      </c>
      <c r="J146" s="18">
        <v>15253.1</v>
      </c>
      <c r="K146" s="3">
        <v>4.9528084999999999E-2</v>
      </c>
      <c r="L146" s="3">
        <v>5.1202694999999995E-4</v>
      </c>
      <c r="M146" s="18">
        <v>6.2709114000000002E-6</v>
      </c>
      <c r="N146" s="18">
        <v>1.3147827999999999E-7</v>
      </c>
      <c r="O146" s="18">
        <v>3.4541051000000002E-7</v>
      </c>
      <c r="P146" s="18">
        <v>9.7668978999999992E-7</v>
      </c>
      <c r="Q146" s="3">
        <v>3.0873773999999998E-3</v>
      </c>
      <c r="R146" s="3">
        <v>1.0017586E-4</v>
      </c>
      <c r="S146" s="3">
        <v>1.5416430999999999</v>
      </c>
      <c r="T146" s="3">
        <v>2.0853015999999999E-2</v>
      </c>
      <c r="U146" s="18">
        <v>3.3009826E-8</v>
      </c>
      <c r="V146" s="18">
        <v>1.2971806E-9</v>
      </c>
      <c r="W146" s="3">
        <v>-5.5343104000000001E-4</v>
      </c>
      <c r="X146" s="3" t="s">
        <v>59</v>
      </c>
    </row>
    <row r="147" spans="1:24" x14ac:dyDescent="0.3">
      <c r="A147" s="17" t="s">
        <v>111</v>
      </c>
      <c r="C147" s="10">
        <v>32</v>
      </c>
      <c r="D147" s="3">
        <v>8</v>
      </c>
      <c r="E147" s="21">
        <f t="shared" si="5"/>
        <v>36</v>
      </c>
      <c r="F147" s="3">
        <v>6.3747100000000003</v>
      </c>
      <c r="G147" s="16">
        <v>2760.11</v>
      </c>
      <c r="H147" s="13">
        <f t="shared" si="6"/>
        <v>0.7685738233074646</v>
      </c>
      <c r="I147" s="18">
        <v>432978000</v>
      </c>
      <c r="J147" s="18">
        <v>22597.4</v>
      </c>
      <c r="K147" s="3">
        <v>6.4179860000000005E-2</v>
      </c>
      <c r="L147" s="3">
        <v>1.0662486999999999E-4</v>
      </c>
      <c r="M147" s="18">
        <v>7.5580044000000002E-6</v>
      </c>
      <c r="N147" s="18">
        <v>6.1529843999999999E-8</v>
      </c>
      <c r="O147" s="18">
        <v>1.8004305E-13</v>
      </c>
      <c r="P147" s="3" t="s">
        <v>31</v>
      </c>
      <c r="Q147" s="3">
        <v>4.9318013999999997E-3</v>
      </c>
      <c r="R147" s="3">
        <v>2.4302463999999999E-4</v>
      </c>
      <c r="S147" s="3">
        <v>2.3952631000000002</v>
      </c>
      <c r="T147" s="3">
        <v>2.4460631E-2</v>
      </c>
      <c r="U147" s="18">
        <v>2.7864543999999999E-8</v>
      </c>
      <c r="V147" s="18">
        <v>1.0622382999999999E-9</v>
      </c>
      <c r="W147" s="3">
        <v>8.2325634999999998E-4</v>
      </c>
      <c r="X147" s="3" t="s">
        <v>60</v>
      </c>
    </row>
    <row r="148" spans="1:24" x14ac:dyDescent="0.3">
      <c r="A148" s="17" t="s">
        <v>111</v>
      </c>
      <c r="C148" s="10">
        <v>36</v>
      </c>
      <c r="D148" s="3">
        <v>12</v>
      </c>
      <c r="E148" s="21">
        <f t="shared" si="5"/>
        <v>40</v>
      </c>
      <c r="F148" s="3">
        <v>6.3747100000000003</v>
      </c>
      <c r="G148" s="16">
        <v>2773.31</v>
      </c>
      <c r="H148" s="13">
        <f t="shared" si="6"/>
        <v>0.77224946466511279</v>
      </c>
      <c r="I148" s="18">
        <v>435048000</v>
      </c>
      <c r="J148" s="18">
        <v>6734.64</v>
      </c>
      <c r="K148" s="3">
        <v>5.6580892000000001E-2</v>
      </c>
      <c r="L148" s="3">
        <v>1.2954983000000001E-4</v>
      </c>
      <c r="M148" s="18">
        <v>6.0148456999999998E-6</v>
      </c>
      <c r="N148" s="18">
        <v>8.8054657999999994E-8</v>
      </c>
      <c r="O148" s="18">
        <v>2.5497647000000001E-12</v>
      </c>
      <c r="P148" s="3" t="s">
        <v>31</v>
      </c>
      <c r="Q148" s="18">
        <v>3.5195335999999998E-6</v>
      </c>
      <c r="R148" s="3">
        <v>1.0144953999999999E-3</v>
      </c>
      <c r="S148" s="3">
        <v>3.7986390000000001</v>
      </c>
      <c r="T148" s="3">
        <v>309.52555999999998</v>
      </c>
      <c r="U148" s="18">
        <v>5.0002345000000004E-9</v>
      </c>
      <c r="V148" s="3" t="s">
        <v>31</v>
      </c>
      <c r="W148" s="3">
        <v>-1.0130403000000001E-3</v>
      </c>
      <c r="X148" s="3" t="s">
        <v>61</v>
      </c>
    </row>
    <row r="149" spans="1:24" x14ac:dyDescent="0.3">
      <c r="A149" s="17" t="s">
        <v>111</v>
      </c>
      <c r="C149" s="10">
        <v>40</v>
      </c>
      <c r="D149" s="3">
        <v>16</v>
      </c>
      <c r="E149" s="21">
        <f t="shared" si="5"/>
        <v>44</v>
      </c>
      <c r="F149" s="3">
        <v>6.3747100000000003</v>
      </c>
      <c r="G149" s="16">
        <v>2791.4</v>
      </c>
      <c r="H149" s="13">
        <f t="shared" si="6"/>
        <v>0.77728676407116271</v>
      </c>
      <c r="I149" s="18">
        <v>437886000</v>
      </c>
      <c r="J149" s="18">
        <v>7585.82</v>
      </c>
      <c r="K149" s="3">
        <v>5.6478451999999998E-2</v>
      </c>
      <c r="L149" s="3">
        <v>4.8056808000000002E-4</v>
      </c>
      <c r="M149" s="18">
        <v>5.7759768999999999E-6</v>
      </c>
      <c r="N149" s="18">
        <v>1.1979608E-7</v>
      </c>
      <c r="O149" s="18">
        <v>3.5976310999999998E-6</v>
      </c>
      <c r="P149" s="18">
        <v>8.3156242999999999E-7</v>
      </c>
      <c r="Q149" s="3">
        <v>2.7838974000000002E-3</v>
      </c>
      <c r="R149" s="18">
        <v>8.3586036000000001E-5</v>
      </c>
      <c r="S149" s="3">
        <v>1.3135829999999999</v>
      </c>
      <c r="T149" s="3">
        <v>1.9383344E-2</v>
      </c>
      <c r="U149" s="18">
        <v>4.3563647999999999E-8</v>
      </c>
      <c r="V149" s="18">
        <v>1.6594848E-9</v>
      </c>
      <c r="W149" s="3">
        <v>-1.7233659E-3</v>
      </c>
      <c r="X149" s="3" t="s">
        <v>62</v>
      </c>
    </row>
    <row r="150" spans="1:24" x14ac:dyDescent="0.3">
      <c r="A150" s="17" t="s">
        <v>111</v>
      </c>
      <c r="C150" s="10">
        <v>44</v>
      </c>
      <c r="D150" s="3">
        <v>20</v>
      </c>
      <c r="E150" s="21">
        <f t="shared" si="5"/>
        <v>48</v>
      </c>
      <c r="F150" s="3">
        <v>6.3747100000000003</v>
      </c>
      <c r="G150" s="16">
        <v>2812.66</v>
      </c>
      <c r="H150" s="13">
        <f t="shared" si="6"/>
        <v>0.78320677431840513</v>
      </c>
      <c r="I150" s="18">
        <v>441221000</v>
      </c>
      <c r="J150" s="18">
        <v>10944.1</v>
      </c>
      <c r="K150" s="3">
        <v>5.8620493000000003E-2</v>
      </c>
      <c r="L150" s="3">
        <v>4.9064490000000002E-4</v>
      </c>
      <c r="M150" s="18">
        <v>5.9999988E-6</v>
      </c>
      <c r="N150" s="18">
        <v>1.1413283E-7</v>
      </c>
      <c r="O150" s="18">
        <v>4.4070027000000004E-6</v>
      </c>
      <c r="P150" s="18">
        <v>7.8414506000000002E-7</v>
      </c>
      <c r="Q150" s="3">
        <v>2.5977139000000001E-3</v>
      </c>
      <c r="R150" s="18">
        <v>9.0415846000000002E-5</v>
      </c>
      <c r="S150" s="3">
        <v>1.4106538</v>
      </c>
      <c r="T150" s="3">
        <v>2.2467567000000001E-2</v>
      </c>
      <c r="U150" s="18">
        <v>3.8331161000000003E-8</v>
      </c>
      <c r="V150" s="18">
        <v>1.6604572E-9</v>
      </c>
      <c r="W150" s="3">
        <v>-1.7136081E-3</v>
      </c>
      <c r="X150" s="3" t="s">
        <v>63</v>
      </c>
    </row>
    <row r="151" spans="1:24" x14ac:dyDescent="0.3">
      <c r="A151" s="17" t="s">
        <v>111</v>
      </c>
      <c r="C151" s="10">
        <v>48</v>
      </c>
      <c r="D151" s="3">
        <v>24</v>
      </c>
      <c r="E151" s="21">
        <f t="shared" si="5"/>
        <v>52</v>
      </c>
      <c r="F151" s="3">
        <v>6.3747100000000003</v>
      </c>
      <c r="G151" s="16">
        <v>2842.87</v>
      </c>
      <c r="H151" s="13">
        <f t="shared" si="6"/>
        <v>0.79161898078920467</v>
      </c>
      <c r="I151" s="18">
        <v>445960000</v>
      </c>
      <c r="J151" s="18">
        <v>36910.5</v>
      </c>
      <c r="K151" s="3">
        <v>5.0443970999999997E-2</v>
      </c>
      <c r="L151" s="18">
        <v>6.4073633E-5</v>
      </c>
      <c r="M151" s="18">
        <v>6.7476130000000001E-6</v>
      </c>
      <c r="N151" s="18">
        <v>5.6890662000000001E-8</v>
      </c>
      <c r="O151" s="18">
        <v>8.1478459000000001E-9</v>
      </c>
      <c r="P151" s="3" t="s">
        <v>31</v>
      </c>
      <c r="Q151" s="3">
        <v>2.5320784999999998E-3</v>
      </c>
      <c r="R151" s="3">
        <v>1.1137727000000001E-4</v>
      </c>
      <c r="S151" s="3">
        <v>0.48382979999999998</v>
      </c>
      <c r="T151" s="3">
        <v>2.8124177E-2</v>
      </c>
      <c r="U151" s="18">
        <v>2.7075942999999999E-8</v>
      </c>
      <c r="V151" s="18">
        <v>1.3851779999999999E-9</v>
      </c>
      <c r="W151" s="3">
        <v>-3.7140369999999999E-4</v>
      </c>
      <c r="X151" s="3" t="s">
        <v>64</v>
      </c>
    </row>
    <row r="152" spans="1:24" x14ac:dyDescent="0.3">
      <c r="A152" s="17" t="s">
        <v>111</v>
      </c>
      <c r="C152" s="10">
        <v>52</v>
      </c>
      <c r="D152" s="3">
        <v>28</v>
      </c>
      <c r="E152" s="21">
        <f t="shared" si="5"/>
        <v>56</v>
      </c>
      <c r="F152" s="3">
        <v>6.3747100000000003</v>
      </c>
      <c r="G152" s="16">
        <v>2966.14</v>
      </c>
      <c r="H152" s="13">
        <f t="shared" si="6"/>
        <v>0.82594445883142442</v>
      </c>
      <c r="I152" s="18">
        <v>465298000</v>
      </c>
      <c r="J152" s="18">
        <v>376714</v>
      </c>
      <c r="K152" s="3">
        <v>6.0991199000000003E-2</v>
      </c>
      <c r="L152" s="3">
        <v>5.2422212000000003E-4</v>
      </c>
      <c r="M152" s="18">
        <v>5.8861772999999999E-6</v>
      </c>
      <c r="N152" s="18">
        <v>1.0978462E-7</v>
      </c>
      <c r="O152" s="18">
        <v>2.4156082999999998E-6</v>
      </c>
      <c r="P152" s="18">
        <v>8.4102044E-7</v>
      </c>
      <c r="Q152" s="3">
        <v>1.5360886999999999E-3</v>
      </c>
      <c r="R152" s="3">
        <v>1.5254898999999999E-4</v>
      </c>
      <c r="S152" s="3">
        <v>0.37726073999999998</v>
      </c>
      <c r="T152" s="3">
        <v>0.10158728</v>
      </c>
      <c r="U152" s="18">
        <v>1.3526851E-8</v>
      </c>
      <c r="V152" s="3" t="s">
        <v>31</v>
      </c>
      <c r="W152" s="3">
        <v>-1.8578612E-3</v>
      </c>
      <c r="X152" s="3" t="s">
        <v>65</v>
      </c>
    </row>
    <row r="153" spans="1:24" x14ac:dyDescent="0.3">
      <c r="A153" s="17" t="s">
        <v>111</v>
      </c>
      <c r="C153" s="10">
        <v>56</v>
      </c>
      <c r="D153" s="3">
        <v>32</v>
      </c>
      <c r="E153" s="21">
        <f t="shared" si="5"/>
        <v>60</v>
      </c>
      <c r="F153" s="3">
        <v>6.3747100000000003</v>
      </c>
      <c r="G153" s="16">
        <v>2924.6</v>
      </c>
      <c r="H153" s="13">
        <f t="shared" si="6"/>
        <v>0.81437732686197684</v>
      </c>
      <c r="I153" s="18">
        <v>458781000</v>
      </c>
      <c r="J153" s="18">
        <v>13854.2</v>
      </c>
      <c r="K153" s="3">
        <v>5.6802422999999998E-2</v>
      </c>
      <c r="L153" s="18">
        <v>7.7197807000000001E-5</v>
      </c>
      <c r="M153" s="18">
        <v>6.2243720000000001E-6</v>
      </c>
      <c r="N153" s="18">
        <v>5.5474623999999998E-8</v>
      </c>
      <c r="O153" s="18">
        <v>4.5708546E-9</v>
      </c>
      <c r="P153" s="3" t="s">
        <v>31</v>
      </c>
      <c r="Q153" s="3">
        <v>2.1911767999999998E-3</v>
      </c>
      <c r="R153" s="18">
        <v>8.4927368000000002E-5</v>
      </c>
      <c r="S153" s="3">
        <v>1.0060673</v>
      </c>
      <c r="T153" s="3">
        <v>2.5304739E-2</v>
      </c>
      <c r="U153" s="18">
        <v>4.2672108999999998E-8</v>
      </c>
      <c r="V153" s="18">
        <v>2.1076653999999998E-9</v>
      </c>
      <c r="W153" s="3">
        <v>-9.0280351999999996E-4</v>
      </c>
      <c r="X153" s="3" t="s">
        <v>66</v>
      </c>
    </row>
    <row r="154" spans="1:24" x14ac:dyDescent="0.3">
      <c r="A154" s="17" t="s">
        <v>111</v>
      </c>
      <c r="C154" s="10">
        <v>60</v>
      </c>
      <c r="D154" s="3">
        <v>36</v>
      </c>
      <c r="E154" s="21">
        <f t="shared" si="5"/>
        <v>64</v>
      </c>
      <c r="F154" s="3">
        <v>6.3747100000000003</v>
      </c>
      <c r="G154" s="16">
        <v>2950.39</v>
      </c>
      <c r="H154" s="13">
        <f t="shared" si="6"/>
        <v>0.82155875039332138</v>
      </c>
      <c r="I154" s="18">
        <v>462827000</v>
      </c>
      <c r="J154" s="18">
        <v>19431.2</v>
      </c>
      <c r="K154" s="3">
        <v>5.6960426000000002E-2</v>
      </c>
      <c r="L154" s="3">
        <v>5.4831849E-4</v>
      </c>
      <c r="M154" s="18">
        <v>6.3114483999999996E-6</v>
      </c>
      <c r="N154" s="18">
        <v>1.2137785E-7</v>
      </c>
      <c r="O154" s="18">
        <v>9.8940542999999996E-8</v>
      </c>
      <c r="P154" s="18">
        <v>9.0725594999999996E-7</v>
      </c>
      <c r="Q154" s="3">
        <v>3.2817838000000002E-3</v>
      </c>
      <c r="R154" s="3">
        <v>1.2247258E-4</v>
      </c>
      <c r="S154" s="3">
        <v>0.18899717999999999</v>
      </c>
      <c r="T154" s="3">
        <v>2.3951935000000001E-2</v>
      </c>
      <c r="U154" s="18">
        <v>2.779129E-8</v>
      </c>
      <c r="V154" s="18">
        <v>1.2192915999999999E-9</v>
      </c>
      <c r="W154" s="3">
        <v>-8.2143294000000002E-4</v>
      </c>
      <c r="X154" s="3" t="s">
        <v>67</v>
      </c>
    </row>
    <row r="155" spans="1:24" x14ac:dyDescent="0.3">
      <c r="A155" s="17" t="s">
        <v>111</v>
      </c>
      <c r="C155" s="10">
        <v>64</v>
      </c>
      <c r="D155" s="3">
        <v>40</v>
      </c>
      <c r="E155" s="21">
        <f t="shared" si="5"/>
        <v>68</v>
      </c>
      <c r="F155" s="3">
        <v>6.3747100000000003</v>
      </c>
      <c r="G155" s="16">
        <v>2976.78</v>
      </c>
      <c r="H155" s="13">
        <f t="shared" si="6"/>
        <v>0.82890724853183195</v>
      </c>
      <c r="I155" s="18">
        <v>466968000</v>
      </c>
      <c r="J155" s="18">
        <v>8203.49</v>
      </c>
      <c r="K155" s="3">
        <v>4.6768532000000002E-2</v>
      </c>
      <c r="L155" s="3">
        <v>5.6801028000000005E-4</v>
      </c>
      <c r="M155" s="18">
        <v>6.0339458000000001E-6</v>
      </c>
      <c r="N155" s="18">
        <v>1.4635728E-7</v>
      </c>
      <c r="O155" s="18">
        <v>1.2267176E-7</v>
      </c>
      <c r="P155" s="18">
        <v>1.1955666E-6</v>
      </c>
      <c r="Q155" s="3">
        <v>4.3405995000000003E-3</v>
      </c>
      <c r="R155" s="3">
        <v>1.1423276E-4</v>
      </c>
      <c r="S155" s="3">
        <v>-1.4584788</v>
      </c>
      <c r="T155" s="3">
        <v>1.6364713999999999E-2</v>
      </c>
      <c r="U155" s="18">
        <v>3.0125201000000001E-8</v>
      </c>
      <c r="V155" s="18">
        <v>9.0201709999999996E-10</v>
      </c>
      <c r="W155" s="3">
        <v>-1.248601E-3</v>
      </c>
      <c r="X155" s="3" t="s">
        <v>68</v>
      </c>
    </row>
    <row r="156" spans="1:24" x14ac:dyDescent="0.3">
      <c r="A156" s="17" t="s">
        <v>111</v>
      </c>
      <c r="C156" s="10">
        <v>68</v>
      </c>
      <c r="D156" s="3">
        <v>44</v>
      </c>
      <c r="E156" s="21">
        <f t="shared" si="5"/>
        <v>72</v>
      </c>
      <c r="F156" s="3">
        <v>6.3716999999999997</v>
      </c>
      <c r="G156" s="16">
        <v>2997.11</v>
      </c>
      <c r="H156" s="13">
        <f t="shared" si="6"/>
        <v>0.83456829313796743</v>
      </c>
      <c r="I156" s="18">
        <v>470378000</v>
      </c>
      <c r="J156" s="18">
        <v>32618.400000000001</v>
      </c>
      <c r="K156" s="3">
        <v>5.6152408000000001E-2</v>
      </c>
      <c r="L156" s="3">
        <v>6.6278680999999997E-4</v>
      </c>
      <c r="M156" s="18">
        <v>6.3805535999999998E-6</v>
      </c>
      <c r="N156" s="18">
        <v>1.4963457E-7</v>
      </c>
      <c r="O156" s="18">
        <v>8.9996558000000004E-7</v>
      </c>
      <c r="P156" s="18">
        <v>1.0919834E-6</v>
      </c>
      <c r="Q156" s="3">
        <v>2.2173487999999999E-3</v>
      </c>
      <c r="R156" s="3">
        <v>1.3953935999999999E-4</v>
      </c>
      <c r="S156" s="3">
        <v>0.49439466999999998</v>
      </c>
      <c r="T156" s="3">
        <v>4.0790909E-2</v>
      </c>
      <c r="U156" s="18">
        <v>2.9751771E-8</v>
      </c>
      <c r="V156" s="18">
        <v>2.2467641999999999E-9</v>
      </c>
      <c r="W156" s="3">
        <v>-6.8048983999999995E-4</v>
      </c>
      <c r="X156" s="3" t="s">
        <v>69</v>
      </c>
    </row>
    <row r="157" spans="1:24" x14ac:dyDescent="0.3">
      <c r="A157" s="17" t="s">
        <v>111</v>
      </c>
      <c r="C157" s="10">
        <v>72</v>
      </c>
      <c r="D157" s="3">
        <v>48</v>
      </c>
      <c r="E157" s="21">
        <f t="shared" si="5"/>
        <v>76</v>
      </c>
      <c r="F157" s="3">
        <v>6.3716999999999997</v>
      </c>
      <c r="G157" s="16">
        <v>2989.88</v>
      </c>
      <c r="H157" s="13">
        <f t="shared" si="6"/>
        <v>0.83255504412161918</v>
      </c>
      <c r="I157" s="18">
        <v>469244000</v>
      </c>
      <c r="J157" s="18">
        <v>20596.099999999999</v>
      </c>
      <c r="K157" s="3">
        <v>6.9301162999999999E-2</v>
      </c>
      <c r="L157" s="3">
        <v>6.9737431000000002E-4</v>
      </c>
      <c r="M157" s="18">
        <v>7.8607561000000006E-6</v>
      </c>
      <c r="N157" s="18">
        <v>1.1195579000000001E-7</v>
      </c>
      <c r="O157" s="18">
        <v>1.0079768E-5</v>
      </c>
      <c r="P157" s="18">
        <v>7.2942472999999998E-7</v>
      </c>
      <c r="Q157" s="3">
        <v>2.2644008E-3</v>
      </c>
      <c r="R157" s="3">
        <v>1.0366676000000001E-4</v>
      </c>
      <c r="S157" s="3">
        <v>0.12163205000000001</v>
      </c>
      <c r="T157" s="3">
        <v>2.9671446000000001E-2</v>
      </c>
      <c r="U157" s="18">
        <v>3.5892027999999997E-8</v>
      </c>
      <c r="V157" s="18">
        <v>2.0272254E-9</v>
      </c>
      <c r="W157" s="3">
        <v>1.232405E-3</v>
      </c>
      <c r="X157" s="3" t="s">
        <v>70</v>
      </c>
    </row>
    <row r="158" spans="1:24" x14ac:dyDescent="0.3">
      <c r="A158" s="17" t="s">
        <v>111</v>
      </c>
      <c r="C158" s="10">
        <v>76</v>
      </c>
      <c r="D158" s="3">
        <v>52</v>
      </c>
      <c r="E158" s="21">
        <f t="shared" si="5"/>
        <v>80</v>
      </c>
      <c r="F158" s="3">
        <v>6.3716999999999997</v>
      </c>
      <c r="G158" s="16">
        <v>2823.99</v>
      </c>
      <c r="H158" s="13">
        <f t="shared" si="6"/>
        <v>0.78636169981705328</v>
      </c>
      <c r="I158" s="18">
        <v>443207000</v>
      </c>
      <c r="J158" s="18">
        <v>310188</v>
      </c>
      <c r="K158" s="3">
        <v>6.9571393999999995E-2</v>
      </c>
      <c r="L158" s="3">
        <v>7.9370459000000003E-4</v>
      </c>
      <c r="M158" s="18">
        <v>7.8402462000000006E-6</v>
      </c>
      <c r="N158" s="18">
        <v>1.1676464E-7</v>
      </c>
      <c r="O158" s="18">
        <v>6.1998093999999997E-6</v>
      </c>
      <c r="P158" s="18">
        <v>8.8580041999999999E-7</v>
      </c>
      <c r="Q158" s="3">
        <v>2.2860444999999998E-3</v>
      </c>
      <c r="R158" s="3">
        <v>1.5783588E-4</v>
      </c>
      <c r="S158" s="3">
        <v>0.91335317000000005</v>
      </c>
      <c r="T158" s="3">
        <v>6.7592228000000004E-2</v>
      </c>
      <c r="U158" s="18">
        <v>1.5109915E-8</v>
      </c>
      <c r="V158" s="3" t="s">
        <v>31</v>
      </c>
      <c r="W158" s="3">
        <v>9.0738508000000003E-4</v>
      </c>
      <c r="X158" s="3" t="s">
        <v>71</v>
      </c>
    </row>
    <row r="159" spans="1:24" x14ac:dyDescent="0.3">
      <c r="A159" s="17" t="s">
        <v>111</v>
      </c>
      <c r="C159" s="10">
        <v>80</v>
      </c>
      <c r="D159" s="3">
        <v>56</v>
      </c>
      <c r="E159" s="21">
        <f t="shared" si="5"/>
        <v>84</v>
      </c>
      <c r="F159" s="3">
        <v>6.3716999999999997</v>
      </c>
      <c r="G159" s="16">
        <v>3405.66</v>
      </c>
      <c r="H159" s="13">
        <f t="shared" si="6"/>
        <v>0.94833217773396705</v>
      </c>
      <c r="I159" s="18">
        <v>534498000</v>
      </c>
      <c r="J159" s="18">
        <v>151105</v>
      </c>
      <c r="K159" s="3">
        <v>7.4287663000000004E-2</v>
      </c>
      <c r="L159" s="3">
        <v>7.0634596999999996E-4</v>
      </c>
      <c r="M159" s="18">
        <v>7.6448477999999998E-6</v>
      </c>
      <c r="N159" s="18">
        <v>1.1068145E-7</v>
      </c>
      <c r="O159" s="18">
        <v>8.0774222999999999E-6</v>
      </c>
      <c r="P159" s="18">
        <v>7.1285865000000002E-7</v>
      </c>
      <c r="Q159" s="3">
        <v>1.3912950999999999E-3</v>
      </c>
      <c r="R159" s="3">
        <v>1.5036927E-4</v>
      </c>
      <c r="S159" s="3">
        <v>-1.4934174</v>
      </c>
      <c r="T159" s="3">
        <v>6.9903508000000003E-2</v>
      </c>
      <c r="U159" s="18">
        <v>2.4945040999999999E-8</v>
      </c>
      <c r="V159" s="18">
        <v>3.1786183999999998E-9</v>
      </c>
      <c r="W159" s="3">
        <v>5.4516411999999995E-4</v>
      </c>
      <c r="X159" s="3" t="s">
        <v>72</v>
      </c>
    </row>
    <row r="160" spans="1:24" x14ac:dyDescent="0.3">
      <c r="A160" s="17" t="s">
        <v>111</v>
      </c>
      <c r="C160" s="10">
        <v>84</v>
      </c>
      <c r="D160" s="3">
        <v>60</v>
      </c>
      <c r="E160" s="21">
        <f t="shared" si="5"/>
        <v>88</v>
      </c>
      <c r="F160" s="3">
        <v>6.3716999999999997</v>
      </c>
      <c r="G160" s="16">
        <v>3416.92</v>
      </c>
      <c r="H160" s="13">
        <f t="shared" si="6"/>
        <v>0.95146761119511247</v>
      </c>
      <c r="I160" s="18">
        <v>536265000</v>
      </c>
      <c r="J160" s="18">
        <v>155787</v>
      </c>
      <c r="K160" s="3">
        <v>6.5924800000000006E-2</v>
      </c>
      <c r="L160" s="3">
        <v>6.6649801999999999E-4</v>
      </c>
      <c r="M160" s="18">
        <v>7.4672309000000001E-6</v>
      </c>
      <c r="N160" s="18">
        <v>1.1275275E-7</v>
      </c>
      <c r="O160" s="18">
        <v>2.1723334999999999E-6</v>
      </c>
      <c r="P160" s="18">
        <v>8.3353236000000001E-7</v>
      </c>
      <c r="Q160" s="3">
        <v>1.0816495E-3</v>
      </c>
      <c r="R160" s="3">
        <v>1.1731258E-4</v>
      </c>
      <c r="S160" s="3">
        <v>-1.9897047999999999</v>
      </c>
      <c r="T160" s="3">
        <v>7.0285820999999998E-2</v>
      </c>
      <c r="U160" s="18">
        <v>3.0926627E-8</v>
      </c>
      <c r="V160" s="18">
        <v>4.0511190000000001E-9</v>
      </c>
      <c r="W160" s="3">
        <v>3.4498302999999998E-4</v>
      </c>
      <c r="X160" s="3" t="s">
        <v>73</v>
      </c>
    </row>
    <row r="161" spans="1:24" x14ac:dyDescent="0.3">
      <c r="A161" s="17" t="s">
        <v>111</v>
      </c>
      <c r="C161" s="10">
        <v>88</v>
      </c>
      <c r="D161" s="3">
        <v>64</v>
      </c>
      <c r="E161" s="21">
        <f t="shared" si="5"/>
        <v>92</v>
      </c>
      <c r="F161" s="3">
        <v>6.3716999999999997</v>
      </c>
      <c r="G161" s="16">
        <v>3446.72</v>
      </c>
      <c r="H161" s="13">
        <f t="shared" si="6"/>
        <v>0.95976565001768199</v>
      </c>
      <c r="I161" s="18">
        <v>540942000</v>
      </c>
      <c r="J161" s="18">
        <v>92267.3</v>
      </c>
      <c r="K161" s="3">
        <v>6.6552734000000002E-2</v>
      </c>
      <c r="L161" s="3">
        <v>8.1592499000000005E-4</v>
      </c>
      <c r="M161" s="18">
        <v>7.5638183000000002E-6</v>
      </c>
      <c r="N161" s="18">
        <v>1.2703535E-7</v>
      </c>
      <c r="O161" s="18">
        <v>4.7048890000000004E-6</v>
      </c>
      <c r="P161" s="18">
        <v>9.8948291000000006E-7</v>
      </c>
      <c r="Q161" s="3">
        <v>1.6851883999999999E-3</v>
      </c>
      <c r="R161" s="3">
        <v>1.5123683E-4</v>
      </c>
      <c r="S161" s="3">
        <v>2.0847695000000002</v>
      </c>
      <c r="T161" s="3">
        <v>5.6640523999999998E-2</v>
      </c>
      <c r="U161" s="18">
        <v>2.6303156000000001E-8</v>
      </c>
      <c r="V161" s="18">
        <v>2.6499549999999999E-9</v>
      </c>
      <c r="W161" s="3">
        <v>6.2171400999999995E-4</v>
      </c>
      <c r="X161" s="3" t="s">
        <v>74</v>
      </c>
    </row>
    <row r="162" spans="1:24" x14ac:dyDescent="0.3">
      <c r="A162" s="17" t="s">
        <v>111</v>
      </c>
      <c r="C162" s="10">
        <v>92</v>
      </c>
      <c r="D162" s="3">
        <v>68</v>
      </c>
      <c r="E162" s="21">
        <f t="shared" si="5"/>
        <v>96</v>
      </c>
      <c r="F162" s="3">
        <v>6.3716999999999997</v>
      </c>
      <c r="G162" s="16">
        <v>3479.07</v>
      </c>
      <c r="H162" s="13">
        <f t="shared" si="6"/>
        <v>0.96877375592070647</v>
      </c>
      <c r="I162" s="18">
        <v>546019000</v>
      </c>
      <c r="J162" s="18">
        <v>80578.100000000006</v>
      </c>
      <c r="K162" s="3">
        <v>7.2732767000000004E-2</v>
      </c>
      <c r="L162" s="3">
        <v>6.6556104999999997E-4</v>
      </c>
      <c r="M162" s="18">
        <v>7.9777337999999997E-6</v>
      </c>
      <c r="N162" s="18">
        <v>1.0714803E-7</v>
      </c>
      <c r="O162" s="18">
        <v>8.2316769E-6</v>
      </c>
      <c r="P162" s="18">
        <v>6.6246813999999995E-7</v>
      </c>
      <c r="Q162" s="3">
        <v>1.2504345999999999E-3</v>
      </c>
      <c r="R162" s="3">
        <v>1.1298531E-4</v>
      </c>
      <c r="S162" s="3">
        <v>-0.31199664999999999</v>
      </c>
      <c r="T162" s="3">
        <v>5.9591766999999997E-2</v>
      </c>
      <c r="U162" s="18">
        <v>3.2874708999999998E-8</v>
      </c>
      <c r="V162" s="18">
        <v>3.7268291000000002E-9</v>
      </c>
      <c r="W162" s="3">
        <v>1.1590843E-3</v>
      </c>
      <c r="X162" s="3" t="s">
        <v>75</v>
      </c>
    </row>
    <row r="163" spans="1:24" x14ac:dyDescent="0.3">
      <c r="A163" s="17" t="s">
        <v>111</v>
      </c>
      <c r="C163" s="10">
        <v>96</v>
      </c>
      <c r="D163" s="3">
        <v>72</v>
      </c>
      <c r="E163" s="21">
        <f t="shared" si="5"/>
        <v>100</v>
      </c>
      <c r="F163" s="3">
        <v>6.3716999999999997</v>
      </c>
      <c r="G163" s="16">
        <v>3517.28</v>
      </c>
      <c r="H163" s="13">
        <f t="shared" si="6"/>
        <v>0.97941362382038366</v>
      </c>
      <c r="I163" s="18">
        <v>552016000</v>
      </c>
      <c r="J163" s="18">
        <v>64663.199999999997</v>
      </c>
      <c r="K163" s="3">
        <v>6.8536334000000004E-2</v>
      </c>
      <c r="L163" s="3">
        <v>8.0008957000000003E-4</v>
      </c>
      <c r="M163" s="18">
        <v>7.3952685999999998E-6</v>
      </c>
      <c r="N163" s="18">
        <v>1.226484E-7</v>
      </c>
      <c r="O163" s="18">
        <v>4.3005834999999998E-6</v>
      </c>
      <c r="P163" s="18">
        <v>9.5850960999999993E-7</v>
      </c>
      <c r="Q163" s="3">
        <v>2.5642741000000001E-3</v>
      </c>
      <c r="R163" s="3">
        <v>1.7488175999999999E-4</v>
      </c>
      <c r="S163" s="3">
        <v>1.4715214999999999</v>
      </c>
      <c r="T163" s="3">
        <v>4.280573E-2</v>
      </c>
      <c r="U163" s="18">
        <v>2.2565335999999998E-8</v>
      </c>
      <c r="V163" s="18">
        <v>1.6617134999999999E-9</v>
      </c>
      <c r="W163" s="3">
        <v>6.9143272000000001E-4</v>
      </c>
      <c r="X163" s="3" t="s">
        <v>76</v>
      </c>
    </row>
    <row r="164" spans="1:24" x14ac:dyDescent="0.3">
      <c r="A164" s="17" t="s">
        <v>111</v>
      </c>
      <c r="C164" s="10">
        <v>100</v>
      </c>
      <c r="D164" s="3">
        <v>76</v>
      </c>
      <c r="E164" s="21">
        <f t="shared" si="5"/>
        <v>104</v>
      </c>
      <c r="F164" s="3">
        <v>6.3716999999999997</v>
      </c>
      <c r="G164" s="16">
        <v>3564.02</v>
      </c>
      <c r="H164" s="13">
        <f t="shared" si="6"/>
        <v>0.9924287357186018</v>
      </c>
      <c r="I164" s="18">
        <v>559351000</v>
      </c>
      <c r="J164" s="18">
        <v>52320.3</v>
      </c>
      <c r="K164" s="3">
        <v>7.5066301000000002E-2</v>
      </c>
      <c r="L164" s="3">
        <v>7.6803425999999995E-4</v>
      </c>
      <c r="M164" s="18">
        <v>7.7398833000000002E-6</v>
      </c>
      <c r="N164" s="18">
        <v>1.17837E-7</v>
      </c>
      <c r="O164" s="18">
        <v>9.9571506999999996E-6</v>
      </c>
      <c r="P164" s="18">
        <v>7.4476891999999996E-7</v>
      </c>
      <c r="Q164" s="3">
        <v>2.1551952E-3</v>
      </c>
      <c r="R164" s="3">
        <v>1.4404641000000001E-4</v>
      </c>
      <c r="S164" s="3">
        <v>-2.4830559000000001</v>
      </c>
      <c r="T164" s="3">
        <v>4.3686515000000002E-2</v>
      </c>
      <c r="U164" s="18">
        <v>2.8022177000000001E-8</v>
      </c>
      <c r="V164" s="18">
        <v>2.2494435999999999E-9</v>
      </c>
      <c r="W164" s="3">
        <v>1.0469437000000001E-3</v>
      </c>
      <c r="X164" s="3" t="s">
        <v>77</v>
      </c>
    </row>
    <row r="165" spans="1:24" x14ac:dyDescent="0.3">
      <c r="A165" s="17" t="s">
        <v>111</v>
      </c>
      <c r="C165" s="10">
        <v>104</v>
      </c>
      <c r="D165" s="3">
        <v>80</v>
      </c>
      <c r="E165" s="21">
        <f t="shared" si="5"/>
        <v>108</v>
      </c>
      <c r="F165" s="3">
        <v>6.3716999999999997</v>
      </c>
      <c r="G165" s="16">
        <v>3491.14</v>
      </c>
      <c r="H165" s="13">
        <f t="shared" si="6"/>
        <v>0.97213474010152567</v>
      </c>
      <c r="I165" s="18">
        <v>547914000</v>
      </c>
      <c r="J165" s="18">
        <v>535331</v>
      </c>
      <c r="K165" s="3">
        <v>6.5357758000000002E-2</v>
      </c>
      <c r="L165" s="3">
        <v>7.6769361000000001E-4</v>
      </c>
      <c r="M165" s="18">
        <v>7.3399726999999997E-6</v>
      </c>
      <c r="N165" s="18">
        <v>1.2777744E-7</v>
      </c>
      <c r="O165" s="18">
        <v>8.8176706000000002E-7</v>
      </c>
      <c r="P165" s="18">
        <v>9.9914051999999991E-7</v>
      </c>
      <c r="Q165" s="3">
        <v>1.7232365999999999E-3</v>
      </c>
      <c r="R165" s="3">
        <v>1.7628330999999999E-4</v>
      </c>
      <c r="S165" s="3">
        <v>-2.2209758000000002</v>
      </c>
      <c r="T165" s="3">
        <v>0.10345549</v>
      </c>
      <c r="U165" s="18">
        <v>1.4177706E-8</v>
      </c>
      <c r="V165" s="3" t="s">
        <v>31</v>
      </c>
      <c r="W165" s="3">
        <v>8.2012806000000002E-4</v>
      </c>
      <c r="X165" s="3" t="s">
        <v>78</v>
      </c>
    </row>
    <row r="166" spans="1:24" x14ac:dyDescent="0.3">
      <c r="A166" s="17" t="s">
        <v>111</v>
      </c>
      <c r="C166" s="10">
        <v>108</v>
      </c>
      <c r="D166" s="3">
        <v>84</v>
      </c>
      <c r="E166" s="21">
        <f t="shared" si="5"/>
        <v>112</v>
      </c>
      <c r="F166" s="3">
        <v>6.3716999999999997</v>
      </c>
      <c r="G166" s="16">
        <v>3515.03</v>
      </c>
      <c r="H166" s="13">
        <f t="shared" si="6"/>
        <v>0.97878709404351183</v>
      </c>
      <c r="I166" s="18">
        <v>551663000</v>
      </c>
      <c r="J166" s="18">
        <v>501650</v>
      </c>
      <c r="K166" s="3">
        <v>6.9346263000000005E-2</v>
      </c>
      <c r="L166" s="3">
        <v>7.6337935000000002E-4</v>
      </c>
      <c r="M166" s="18">
        <v>7.6853460999999999E-6</v>
      </c>
      <c r="N166" s="18">
        <v>1.2047417000000001E-7</v>
      </c>
      <c r="O166" s="18">
        <v>8.7613514999999995E-6</v>
      </c>
      <c r="P166" s="18">
        <v>8.2757622999999999E-7</v>
      </c>
      <c r="Q166" s="3">
        <v>1.8645106E-3</v>
      </c>
      <c r="R166" s="3">
        <v>1.8226266E-4</v>
      </c>
      <c r="S166" s="3">
        <v>-2.4340885999999999</v>
      </c>
      <c r="T166" s="3">
        <v>9.8923659999999997E-2</v>
      </c>
      <c r="U166" s="18">
        <v>1.3222565999999999E-8</v>
      </c>
      <c r="V166" s="3" t="s">
        <v>31</v>
      </c>
      <c r="W166" s="3">
        <v>8.5184519000000005E-4</v>
      </c>
      <c r="X166" s="3" t="s">
        <v>79</v>
      </c>
    </row>
    <row r="167" spans="1:24" x14ac:dyDescent="0.3">
      <c r="A167" s="17" t="s">
        <v>111</v>
      </c>
      <c r="C167" s="10">
        <v>112</v>
      </c>
      <c r="D167" s="3">
        <v>92</v>
      </c>
      <c r="E167" s="21">
        <f t="shared" si="5"/>
        <v>116</v>
      </c>
      <c r="F167" s="3">
        <v>6.3716999999999997</v>
      </c>
      <c r="G167" s="16">
        <v>2916.84</v>
      </c>
      <c r="H167" s="13">
        <f t="shared" si="6"/>
        <v>0.81221649527596551</v>
      </c>
      <c r="I167" s="18">
        <v>457780000</v>
      </c>
      <c r="J167" s="18">
        <v>23458.5</v>
      </c>
      <c r="K167" s="3">
        <v>6.7345779999999994E-2</v>
      </c>
      <c r="L167" s="3">
        <v>8.0217628E-4</v>
      </c>
      <c r="M167" s="18">
        <v>7.1819063000000002E-6</v>
      </c>
      <c r="N167" s="18">
        <v>1.2220821E-7</v>
      </c>
      <c r="O167" s="18">
        <v>2.9579020000000001E-6</v>
      </c>
      <c r="P167" s="18">
        <v>1.0178482E-6</v>
      </c>
      <c r="Q167" s="3">
        <v>3.3983871000000001E-3</v>
      </c>
      <c r="R167" s="3">
        <v>1.5454140000000001E-4</v>
      </c>
      <c r="S167" s="3">
        <v>-2.0787862000000001</v>
      </c>
      <c r="T167" s="3">
        <v>2.7570962000000001E-2</v>
      </c>
      <c r="U167" s="18">
        <v>2.6051224999999998E-8</v>
      </c>
      <c r="V167" s="18">
        <v>1.2827464E-9</v>
      </c>
      <c r="W167" s="3">
        <v>2.1148531000000001E-4</v>
      </c>
      <c r="X167" s="3" t="s">
        <v>80</v>
      </c>
    </row>
    <row r="168" spans="1:24" x14ac:dyDescent="0.3">
      <c r="A168" s="17" t="s">
        <v>111</v>
      </c>
      <c r="C168" s="10">
        <v>116</v>
      </c>
      <c r="D168" s="3">
        <v>96</v>
      </c>
      <c r="E168" s="21">
        <f t="shared" si="5"/>
        <v>120</v>
      </c>
      <c r="F168" s="3">
        <v>6.3716999999999997</v>
      </c>
      <c r="G168" s="16">
        <v>2960.38</v>
      </c>
      <c r="H168" s="13">
        <f t="shared" si="6"/>
        <v>0.82434054260263256</v>
      </c>
      <c r="I168" s="18">
        <v>464614000</v>
      </c>
      <c r="J168" s="18">
        <v>18328</v>
      </c>
      <c r="K168" s="3">
        <v>5.7490319999999998E-2</v>
      </c>
      <c r="L168" s="18">
        <v>6.3889814999999994E-5</v>
      </c>
      <c r="M168" s="18">
        <v>7.4895854999999997E-6</v>
      </c>
      <c r="N168" s="18">
        <v>5.1726718999999997E-8</v>
      </c>
      <c r="O168" s="18">
        <v>4.0874981999999996E-9</v>
      </c>
      <c r="P168" s="3" t="s">
        <v>31</v>
      </c>
      <c r="Q168" s="3">
        <v>3.0779152000000001E-3</v>
      </c>
      <c r="R168" s="3">
        <v>1.0075717E-4</v>
      </c>
      <c r="S168" s="3">
        <v>0.95143358</v>
      </c>
      <c r="T168" s="3">
        <v>2.1135346999999999E-2</v>
      </c>
      <c r="U168" s="18">
        <v>3.0851660000000001E-8</v>
      </c>
      <c r="V168" s="18">
        <v>1.2239883999999999E-9</v>
      </c>
      <c r="W168" s="3">
        <v>3.9068376000000001E-4</v>
      </c>
      <c r="X168" s="3" t="s">
        <v>81</v>
      </c>
    </row>
    <row r="169" spans="1:24" x14ac:dyDescent="0.3">
      <c r="A169" s="17" t="s">
        <v>111</v>
      </c>
      <c r="C169" s="10">
        <v>120</v>
      </c>
      <c r="D169" s="3">
        <v>100</v>
      </c>
      <c r="E169" s="21">
        <f t="shared" si="5"/>
        <v>124</v>
      </c>
      <c r="F169" s="3">
        <v>6.3716999999999997</v>
      </c>
      <c r="G169" s="16">
        <v>3018.95</v>
      </c>
      <c r="H169" s="13">
        <f t="shared" si="6"/>
        <v>0.84064980883880358</v>
      </c>
      <c r="I169" s="18">
        <v>473806000</v>
      </c>
      <c r="J169" s="18">
        <v>15390.5</v>
      </c>
      <c r="K169" s="3">
        <v>6.7889726999999997E-2</v>
      </c>
      <c r="L169" s="3">
        <v>7.7207176000000004E-4</v>
      </c>
      <c r="M169" s="18">
        <v>7.2228694999999998E-6</v>
      </c>
      <c r="N169" s="18">
        <v>1.1601216E-7</v>
      </c>
      <c r="O169" s="18">
        <v>1.4600530999999999E-6</v>
      </c>
      <c r="P169" s="18">
        <v>9.8473927000000001E-7</v>
      </c>
      <c r="Q169" s="3">
        <v>5.4044571000000001E-3</v>
      </c>
      <c r="R169" s="3">
        <v>1.6197358999999999E-4</v>
      </c>
      <c r="S169" s="3">
        <v>-2.7105735000000002</v>
      </c>
      <c r="T169" s="3">
        <v>1.8178798999999999E-2</v>
      </c>
      <c r="U169" s="18">
        <v>2.3788808E-8</v>
      </c>
      <c r="V169" s="18">
        <v>7.5659681999999995E-10</v>
      </c>
      <c r="W169" s="3">
        <v>3.2499835999999998E-4</v>
      </c>
      <c r="X169" s="3" t="s">
        <v>82</v>
      </c>
    </row>
    <row r="170" spans="1:24" x14ac:dyDescent="0.3">
      <c r="A170" s="17" t="s">
        <v>111</v>
      </c>
      <c r="C170" s="10">
        <v>124</v>
      </c>
      <c r="D170" s="3">
        <v>104</v>
      </c>
      <c r="E170" s="21">
        <f t="shared" si="5"/>
        <v>128</v>
      </c>
      <c r="F170" s="3">
        <v>6.3716999999999997</v>
      </c>
      <c r="G170" s="16">
        <v>3057.79</v>
      </c>
      <c r="H170" s="13">
        <f t="shared" si="6"/>
        <v>0.85146510507600504</v>
      </c>
      <c r="I170" s="18">
        <v>479902000</v>
      </c>
      <c r="J170" s="18">
        <v>13266.2</v>
      </c>
      <c r="K170" s="3">
        <v>6.5167875E-2</v>
      </c>
      <c r="L170" s="18">
        <v>7.9719420000000003E-5</v>
      </c>
      <c r="M170" s="18">
        <v>7.4875194999999999E-6</v>
      </c>
      <c r="N170" s="18">
        <v>5.6857720000000002E-8</v>
      </c>
      <c r="O170" s="18">
        <v>1.6053713000000001E-10</v>
      </c>
      <c r="P170" s="3" t="s">
        <v>31</v>
      </c>
      <c r="Q170" s="3">
        <v>4.8692477E-3</v>
      </c>
      <c r="R170" s="3">
        <v>1.5541188E-4</v>
      </c>
      <c r="S170" s="3">
        <v>2.5015470999999998</v>
      </c>
      <c r="T170" s="3">
        <v>1.9566186999999999E-2</v>
      </c>
      <c r="U170" s="18">
        <v>2.6420388999999999E-8</v>
      </c>
      <c r="V170" s="18">
        <v>9.1555775E-10</v>
      </c>
      <c r="W170" s="3">
        <v>8.7032608000000005E-4</v>
      </c>
      <c r="X170" s="3" t="s">
        <v>83</v>
      </c>
    </row>
    <row r="171" spans="1:24" x14ac:dyDescent="0.3">
      <c r="A171" s="17" t="s">
        <v>111</v>
      </c>
      <c r="C171" s="10">
        <v>128</v>
      </c>
      <c r="D171" s="3">
        <v>108</v>
      </c>
      <c r="E171" s="21">
        <f t="shared" si="5"/>
        <v>132</v>
      </c>
      <c r="F171" s="3">
        <v>6.3716999999999997</v>
      </c>
      <c r="G171" s="16">
        <v>3083.47</v>
      </c>
      <c r="H171" s="13">
        <f t="shared" si="6"/>
        <v>0.85861589826270246</v>
      </c>
      <c r="I171" s="18">
        <v>483931000</v>
      </c>
      <c r="J171" s="18">
        <v>4351.8</v>
      </c>
      <c r="K171" s="3">
        <v>7.4642969000000003E-2</v>
      </c>
      <c r="L171" s="3">
        <v>8.3223274999999995E-4</v>
      </c>
      <c r="M171" s="18">
        <v>7.6796423999999998E-6</v>
      </c>
      <c r="N171" s="18">
        <v>1.1455704E-7</v>
      </c>
      <c r="O171" s="18">
        <v>9.5624228999999998E-6</v>
      </c>
      <c r="P171" s="18">
        <v>8.4327280999999998E-7</v>
      </c>
      <c r="Q171" s="3">
        <v>6.4472649999999998E-3</v>
      </c>
      <c r="R171" s="3">
        <v>1.2541658999999999E-4</v>
      </c>
      <c r="S171" s="3">
        <v>-2.7876500000000002</v>
      </c>
      <c r="T171" s="3">
        <v>1.2065901E-2</v>
      </c>
      <c r="U171" s="18">
        <v>3.2363795999999999E-8</v>
      </c>
      <c r="V171" s="18">
        <v>7.2614097999999996E-10</v>
      </c>
      <c r="W171" s="3">
        <v>5.8030226999999999E-4</v>
      </c>
      <c r="X171" s="3" t="s">
        <v>84</v>
      </c>
    </row>
    <row r="172" spans="1:24" x14ac:dyDescent="0.3">
      <c r="A172" s="17" t="s">
        <v>111</v>
      </c>
      <c r="C172" s="10">
        <v>132</v>
      </c>
      <c r="D172" s="3">
        <v>112</v>
      </c>
      <c r="E172" s="21">
        <f t="shared" si="5"/>
        <v>136</v>
      </c>
      <c r="F172" s="3">
        <v>6.3716999999999997</v>
      </c>
      <c r="G172" s="16">
        <v>3066.68</v>
      </c>
      <c r="H172" s="13">
        <f t="shared" si="6"/>
        <v>0.85394059383884535</v>
      </c>
      <c r="I172" s="18">
        <v>481296000</v>
      </c>
      <c r="J172" s="18">
        <v>7867.52</v>
      </c>
      <c r="K172" s="3">
        <v>6.0561755000000002E-2</v>
      </c>
      <c r="L172" s="3">
        <v>7.6217430999999997E-4</v>
      </c>
      <c r="M172" s="18">
        <v>7.6908254000000008E-6</v>
      </c>
      <c r="N172" s="18">
        <v>1.2274762000000001E-7</v>
      </c>
      <c r="O172" s="18">
        <v>1.4867760000000001E-6</v>
      </c>
      <c r="P172" s="18">
        <v>1.0546735000000001E-6</v>
      </c>
      <c r="Q172" s="3">
        <v>4.8636269000000001E-3</v>
      </c>
      <c r="R172" s="3">
        <v>1.1727304E-4</v>
      </c>
      <c r="S172" s="3">
        <v>3.0720676</v>
      </c>
      <c r="T172" s="3">
        <v>1.487048E-2</v>
      </c>
      <c r="U172" s="18">
        <v>3.1178592E-8</v>
      </c>
      <c r="V172" s="18">
        <v>8.5498514999999997E-10</v>
      </c>
      <c r="W172" s="3">
        <v>1.0140771E-3</v>
      </c>
      <c r="X172" s="3" t="s">
        <v>85</v>
      </c>
    </row>
    <row r="173" spans="1:24" x14ac:dyDescent="0.3">
      <c r="A173" s="17" t="s">
        <v>111</v>
      </c>
      <c r="C173" s="10">
        <v>136</v>
      </c>
      <c r="D173" s="3">
        <v>116</v>
      </c>
      <c r="E173" s="21">
        <f t="shared" si="5"/>
        <v>140</v>
      </c>
      <c r="F173" s="3">
        <v>6.3716999999999997</v>
      </c>
      <c r="G173" s="16">
        <v>3037.54</v>
      </c>
      <c r="H173" s="13">
        <f t="shared" si="6"/>
        <v>0.84582633708415822</v>
      </c>
      <c r="I173" s="18">
        <v>476723000</v>
      </c>
      <c r="J173" s="18">
        <v>25586.799999999999</v>
      </c>
      <c r="K173" s="3">
        <v>5.2103465000000002E-2</v>
      </c>
      <c r="L173" s="3">
        <v>7.3338508999999999E-4</v>
      </c>
      <c r="M173" s="18">
        <v>7.9366199999999992E-6</v>
      </c>
      <c r="N173" s="18">
        <v>1.3482680999999999E-7</v>
      </c>
      <c r="O173" s="18">
        <v>5.3805049999999999E-6</v>
      </c>
      <c r="P173" s="18">
        <v>1.1134488E-6</v>
      </c>
      <c r="Q173" s="3">
        <v>3.0030696999999999E-3</v>
      </c>
      <c r="R173" s="3">
        <v>1.3735923000000001E-4</v>
      </c>
      <c r="S173" s="3">
        <v>1.8044751999999999</v>
      </c>
      <c r="T173" s="3">
        <v>2.7293995000000001E-2</v>
      </c>
      <c r="U173" s="18">
        <v>2.4210959000000001E-8</v>
      </c>
      <c r="V173" s="18">
        <v>1.1600722E-9</v>
      </c>
      <c r="W173" s="3">
        <v>1.1931311000000001E-3</v>
      </c>
      <c r="X173" s="3" t="s">
        <v>86</v>
      </c>
    </row>
    <row r="174" spans="1:24" x14ac:dyDescent="0.3">
      <c r="A174" s="17" t="s">
        <v>111</v>
      </c>
      <c r="C174" s="10">
        <v>140</v>
      </c>
      <c r="D174" s="3">
        <v>120</v>
      </c>
      <c r="E174" s="21">
        <f t="shared" si="5"/>
        <v>144</v>
      </c>
      <c r="F174" s="3">
        <v>6.3716999999999997</v>
      </c>
      <c r="G174" s="16">
        <v>3003.15</v>
      </c>
      <c r="H174" s="13">
        <f t="shared" si="6"/>
        <v>0.83625017751677011</v>
      </c>
      <c r="I174" s="18">
        <v>471326000</v>
      </c>
      <c r="J174" s="18">
        <v>11514.7</v>
      </c>
      <c r="K174" s="3">
        <v>5.2246998000000003E-2</v>
      </c>
      <c r="L174" s="3">
        <v>5.2197789999999995E-4</v>
      </c>
      <c r="M174" s="18">
        <v>8.2793608000000008E-6</v>
      </c>
      <c r="N174" s="18">
        <v>1.1699842E-7</v>
      </c>
      <c r="O174" s="18">
        <v>9.8102893999999996E-6</v>
      </c>
      <c r="P174" s="18">
        <v>6.9230984000000004E-7</v>
      </c>
      <c r="Q174" s="3">
        <v>2.4549451000000001E-3</v>
      </c>
      <c r="R174" s="18">
        <v>8.1171743999999994E-5</v>
      </c>
      <c r="S174" s="3">
        <v>2.6839721999999999</v>
      </c>
      <c r="T174" s="3">
        <v>2.1564733999999999E-2</v>
      </c>
      <c r="U174" s="18">
        <v>3.6088975000000002E-8</v>
      </c>
      <c r="V174" s="18">
        <v>1.5128144E-9</v>
      </c>
      <c r="W174" s="3">
        <v>1.1908856E-3</v>
      </c>
      <c r="X174" s="3" t="s">
        <v>87</v>
      </c>
    </row>
    <row r="175" spans="1:24" x14ac:dyDescent="0.3">
      <c r="A175" s="17" t="s">
        <v>111</v>
      </c>
      <c r="C175" s="10">
        <v>144</v>
      </c>
      <c r="D175" s="3">
        <v>124</v>
      </c>
      <c r="E175" s="21">
        <f t="shared" si="5"/>
        <v>148</v>
      </c>
      <c r="F175" s="3">
        <v>6.3716999999999997</v>
      </c>
      <c r="G175" s="16">
        <v>2777.5</v>
      </c>
      <c r="H175" s="13">
        <f t="shared" si="6"/>
        <v>0.77341620233848762</v>
      </c>
      <c r="I175" s="18">
        <v>435912000</v>
      </c>
      <c r="J175" s="18">
        <v>381893</v>
      </c>
      <c r="K175" s="3">
        <v>5.2808162999999998E-2</v>
      </c>
      <c r="L175" s="3">
        <v>6.7076815000000002E-4</v>
      </c>
      <c r="M175" s="18">
        <v>7.8740977999999994E-6</v>
      </c>
      <c r="N175" s="18">
        <v>1.2492172E-7</v>
      </c>
      <c r="O175" s="18">
        <v>2.1474356999999999E-6</v>
      </c>
      <c r="P175" s="18">
        <v>1.0396156E-6</v>
      </c>
      <c r="Q175" s="3">
        <v>4.1275508000000001E-3</v>
      </c>
      <c r="R175" s="3">
        <v>2.6197849E-4</v>
      </c>
      <c r="S175" s="3">
        <v>-1.5882407000000001</v>
      </c>
      <c r="T175" s="3">
        <v>6.5550760999999999E-2</v>
      </c>
      <c r="U175" s="18">
        <v>8.9386864000000008E-9</v>
      </c>
      <c r="V175" s="3" t="s">
        <v>31</v>
      </c>
      <c r="W175" s="3">
        <v>7.0415965E-4</v>
      </c>
      <c r="X175" s="3" t="s">
        <v>88</v>
      </c>
    </row>
    <row r="176" spans="1:24" x14ac:dyDescent="0.3">
      <c r="A176" s="17" t="s">
        <v>111</v>
      </c>
      <c r="C176" s="10">
        <v>148</v>
      </c>
      <c r="D176" s="3">
        <v>128</v>
      </c>
      <c r="E176" s="21">
        <f t="shared" si="5"/>
        <v>152</v>
      </c>
      <c r="F176" s="3">
        <v>6.3716999999999997</v>
      </c>
      <c r="G176" s="16">
        <v>2847.04</v>
      </c>
      <c r="H176" s="13">
        <f t="shared" si="6"/>
        <v>0.7927801493090072</v>
      </c>
      <c r="I176" s="18">
        <v>446826000</v>
      </c>
      <c r="J176" s="18">
        <v>21178.7</v>
      </c>
      <c r="K176" s="3">
        <v>5.5969152000000001E-2</v>
      </c>
      <c r="L176" s="3">
        <v>6.0243191E-4</v>
      </c>
      <c r="M176" s="18">
        <v>8.0125300000000003E-6</v>
      </c>
      <c r="N176" s="18">
        <v>1.1610675E-7</v>
      </c>
      <c r="O176" s="18">
        <v>5.4454120999999998E-6</v>
      </c>
      <c r="P176" s="18">
        <v>8.2204223000000001E-7</v>
      </c>
      <c r="Q176" s="3">
        <v>3.5823287999999999E-3</v>
      </c>
      <c r="R176" s="3">
        <v>1.2569419000000001E-4</v>
      </c>
      <c r="S176" s="3">
        <v>0.52522360999999995</v>
      </c>
      <c r="T176" s="3">
        <v>2.1900454999999999E-2</v>
      </c>
      <c r="U176" s="18">
        <v>2.3712171999999999E-8</v>
      </c>
      <c r="V176" s="18">
        <v>9.4134856000000006E-10</v>
      </c>
      <c r="W176" s="3">
        <v>1.039735E-3</v>
      </c>
      <c r="X176" s="3" t="s">
        <v>89</v>
      </c>
    </row>
    <row r="177" spans="1:24" x14ac:dyDescent="0.3">
      <c r="A177" s="17" t="s">
        <v>111</v>
      </c>
      <c r="C177" s="10">
        <v>152</v>
      </c>
      <c r="D177" s="3">
        <v>132</v>
      </c>
      <c r="E177" s="21">
        <f t="shared" si="5"/>
        <v>156</v>
      </c>
      <c r="F177" s="3">
        <v>6.3716999999999997</v>
      </c>
      <c r="G177" s="16">
        <v>2826.72</v>
      </c>
      <c r="H177" s="13">
        <f t="shared" si="6"/>
        <v>0.78712188927965776</v>
      </c>
      <c r="I177" s="18">
        <v>443636000</v>
      </c>
      <c r="J177" s="18">
        <v>8927.65</v>
      </c>
      <c r="K177" s="3">
        <v>5.7126691E-2</v>
      </c>
      <c r="L177" s="3">
        <v>6.0267651000000004E-4</v>
      </c>
      <c r="M177" s="18">
        <v>7.5110923000000004E-6</v>
      </c>
      <c r="N177" s="18">
        <v>1.2420032000000001E-7</v>
      </c>
      <c r="O177" s="18">
        <v>4.1130716E-6</v>
      </c>
      <c r="P177" s="18">
        <v>8.4107345999999995E-7</v>
      </c>
      <c r="Q177" s="3">
        <v>4.4423496000000002E-3</v>
      </c>
      <c r="R177" s="3">
        <v>1.0864217000000001E-4</v>
      </c>
      <c r="S177" s="3">
        <v>2.6771446000000001</v>
      </c>
      <c r="T177" s="3">
        <v>1.5719348000000001E-2</v>
      </c>
      <c r="U177" s="18">
        <v>3.1620011999999998E-8</v>
      </c>
      <c r="V177" s="18">
        <v>9.4731784999999993E-10</v>
      </c>
      <c r="W177" s="3">
        <v>-1.096873E-4</v>
      </c>
      <c r="X177" s="3" t="s">
        <v>90</v>
      </c>
    </row>
    <row r="178" spans="1:24" x14ac:dyDescent="0.3">
      <c r="A178" s="17" t="s">
        <v>111</v>
      </c>
      <c r="C178" s="10">
        <v>156</v>
      </c>
      <c r="D178" s="3">
        <v>136</v>
      </c>
      <c r="E178" s="21">
        <f t="shared" si="5"/>
        <v>160</v>
      </c>
      <c r="F178" s="3">
        <v>6.3716999999999997</v>
      </c>
      <c r="G178" s="16">
        <v>2809.13</v>
      </c>
      <c r="H178" s="13">
        <f t="shared" si="6"/>
        <v>0.78222381871291291</v>
      </c>
      <c r="I178" s="18">
        <v>440876000</v>
      </c>
      <c r="J178" s="18">
        <v>25240.5</v>
      </c>
      <c r="K178" s="3">
        <v>6.3261659999999997E-2</v>
      </c>
      <c r="L178" s="3">
        <v>5.8244584999999998E-4</v>
      </c>
      <c r="M178" s="18">
        <v>7.4679271999999997E-6</v>
      </c>
      <c r="N178" s="18">
        <v>1.0964264E-7</v>
      </c>
      <c r="O178" s="18">
        <v>5.9045739E-6</v>
      </c>
      <c r="P178" s="18">
        <v>7.2006111999999999E-7</v>
      </c>
      <c r="Q178" s="3">
        <v>2.9536553E-3</v>
      </c>
      <c r="R178" s="3">
        <v>1.1583194999999999E-4</v>
      </c>
      <c r="S178" s="3">
        <v>2.9558989000000002</v>
      </c>
      <c r="T178" s="3">
        <v>2.5123481E-2</v>
      </c>
      <c r="U178" s="18">
        <v>2.8129576000000002E-8</v>
      </c>
      <c r="V178" s="18">
        <v>1.3258186E-9</v>
      </c>
      <c r="W178" s="3">
        <v>1.025815E-3</v>
      </c>
      <c r="X178" s="3" t="s">
        <v>91</v>
      </c>
    </row>
    <row r="179" spans="1:24" x14ac:dyDescent="0.3">
      <c r="A179" s="17" t="s">
        <v>111</v>
      </c>
      <c r="C179" s="10">
        <v>160</v>
      </c>
      <c r="D179" s="3">
        <v>140</v>
      </c>
      <c r="E179" s="21">
        <f t="shared" si="5"/>
        <v>164</v>
      </c>
      <c r="F179" s="3">
        <v>6.3716999999999997</v>
      </c>
      <c r="G179" s="16">
        <v>2805.34</v>
      </c>
      <c r="H179" s="13">
        <f t="shared" si="6"/>
        <v>0.78116846411098217</v>
      </c>
      <c r="I179" s="18">
        <v>440281000</v>
      </c>
      <c r="J179" s="18">
        <v>17532.400000000001</v>
      </c>
      <c r="K179" s="3">
        <v>5.6855927000000001E-2</v>
      </c>
      <c r="L179" s="3">
        <v>7.3994906999999999E-4</v>
      </c>
      <c r="M179" s="18">
        <v>6.9217059E-6</v>
      </c>
      <c r="N179" s="18">
        <v>1.5985697E-7</v>
      </c>
      <c r="O179" s="18">
        <v>2.9724485E-7</v>
      </c>
      <c r="P179" s="18">
        <v>1.1427921E-6</v>
      </c>
      <c r="Q179" s="18">
        <v>1.2576663999999999E-5</v>
      </c>
      <c r="R179" s="3">
        <v>8.8538248000000002E-4</v>
      </c>
      <c r="S179" s="3">
        <v>3.4283432999999999</v>
      </c>
      <c r="T179" s="3">
        <v>69.514835000000005</v>
      </c>
      <c r="U179" s="18">
        <v>5.0053884999999997E-9</v>
      </c>
      <c r="V179" s="3" t="s">
        <v>31</v>
      </c>
      <c r="W179" s="3">
        <v>1.0904859E-4</v>
      </c>
      <c r="X179" s="3" t="s">
        <v>92</v>
      </c>
    </row>
    <row r="180" spans="1:24" x14ac:dyDescent="0.3">
      <c r="A180" s="17" t="s">
        <v>111</v>
      </c>
      <c r="C180" s="10">
        <v>164</v>
      </c>
      <c r="D180" s="3">
        <v>144</v>
      </c>
      <c r="E180" s="21">
        <f t="shared" si="5"/>
        <v>168</v>
      </c>
      <c r="F180" s="3">
        <v>6.3716999999999997</v>
      </c>
      <c r="G180" s="16">
        <v>2715.3</v>
      </c>
      <c r="H180" s="13">
        <f t="shared" si="6"/>
        <v>0.75609613472896331</v>
      </c>
      <c r="I180" s="18">
        <v>426149000</v>
      </c>
      <c r="J180" s="18">
        <v>242240</v>
      </c>
      <c r="K180" s="3">
        <v>5.4601675000000002E-2</v>
      </c>
      <c r="L180" s="3">
        <v>5.9778540999999997E-4</v>
      </c>
      <c r="M180" s="18">
        <v>7.5481991999999996E-6</v>
      </c>
      <c r="N180" s="18">
        <v>1.2852993000000001E-7</v>
      </c>
      <c r="O180" s="18">
        <v>3.3844979999999999E-6</v>
      </c>
      <c r="P180" s="18">
        <v>8.7708170999999997E-7</v>
      </c>
      <c r="Q180" s="3">
        <v>2.2960769000000001E-3</v>
      </c>
      <c r="R180" s="3">
        <v>1.5059713E-4</v>
      </c>
      <c r="S180" s="3">
        <v>-1.1893146999999999</v>
      </c>
      <c r="T180" s="3">
        <v>6.7365574999999997E-2</v>
      </c>
      <c r="U180" s="18">
        <v>1.3208015E-8</v>
      </c>
      <c r="V180" s="3" t="s">
        <v>31</v>
      </c>
      <c r="W180" s="3">
        <v>6.7493361000000001E-4</v>
      </c>
      <c r="X180" s="3" t="s">
        <v>93</v>
      </c>
    </row>
    <row r="181" spans="1:24" x14ac:dyDescent="0.3">
      <c r="A181" s="17" t="s">
        <v>111</v>
      </c>
      <c r="C181" s="10">
        <v>168</v>
      </c>
      <c r="D181" s="3">
        <v>148</v>
      </c>
      <c r="E181" s="21">
        <f t="shared" si="5"/>
        <v>172</v>
      </c>
      <c r="F181" s="3">
        <v>6.3716999999999997</v>
      </c>
      <c r="G181" s="16">
        <v>2855.48</v>
      </c>
      <c r="H181" s="13">
        <f t="shared" si="6"/>
        <v>0.79513033211647333</v>
      </c>
      <c r="I181" s="18">
        <v>448150000</v>
      </c>
      <c r="J181" s="18">
        <v>11943</v>
      </c>
      <c r="K181" s="3">
        <v>6.0610483E-2</v>
      </c>
      <c r="L181" s="3">
        <v>5.9486873999999999E-4</v>
      </c>
      <c r="M181" s="18">
        <v>7.3415339999999996E-6</v>
      </c>
      <c r="N181" s="18">
        <v>1.1443966E-7</v>
      </c>
      <c r="O181" s="18">
        <v>2.8051635999999999E-6</v>
      </c>
      <c r="P181" s="18">
        <v>8.0908033999999995E-7</v>
      </c>
      <c r="Q181" s="3">
        <v>4.3578089000000002E-3</v>
      </c>
      <c r="R181" s="3">
        <v>1.1014199E-4</v>
      </c>
      <c r="S181" s="3">
        <v>1.7923087</v>
      </c>
      <c r="T181" s="3">
        <v>1.6166964999999998E-2</v>
      </c>
      <c r="U181" s="18">
        <v>3.0539198000000003E-8</v>
      </c>
      <c r="V181" s="18">
        <v>9.3241632999999996E-10</v>
      </c>
      <c r="W181" s="3">
        <v>7.9134113000000001E-4</v>
      </c>
      <c r="X181" s="3" t="s">
        <v>94</v>
      </c>
    </row>
    <row r="182" spans="1:24" x14ac:dyDescent="0.3">
      <c r="A182" s="17" t="s">
        <v>111</v>
      </c>
      <c r="C182" s="10">
        <v>172</v>
      </c>
      <c r="D182" s="3">
        <v>152</v>
      </c>
      <c r="E182" s="21">
        <f t="shared" si="5"/>
        <v>176</v>
      </c>
      <c r="F182" s="3">
        <v>6.3716999999999997</v>
      </c>
      <c r="G182" s="16">
        <v>2883.37</v>
      </c>
      <c r="H182" s="13">
        <f t="shared" si="6"/>
        <v>0.80289651677289819</v>
      </c>
      <c r="I182" s="18">
        <v>452528000</v>
      </c>
      <c r="J182" s="18">
        <v>9731.24</v>
      </c>
      <c r="K182" s="3">
        <v>6.4477248000000001E-2</v>
      </c>
      <c r="L182" s="3">
        <v>6.7195399000000004E-4</v>
      </c>
      <c r="M182" s="18">
        <v>7.4422609999999999E-6</v>
      </c>
      <c r="N182" s="18">
        <v>1.2387950000000001E-7</v>
      </c>
      <c r="O182" s="18">
        <v>4.4358861000000001E-6</v>
      </c>
      <c r="P182" s="18">
        <v>8.3227535000000001E-7</v>
      </c>
      <c r="Q182" s="3">
        <v>5.7848094000000003E-3</v>
      </c>
      <c r="R182" s="3">
        <v>1.3126016E-4</v>
      </c>
      <c r="S182" s="3">
        <v>2.5517045999999999</v>
      </c>
      <c r="T182" s="3">
        <v>1.4610359E-2</v>
      </c>
      <c r="U182" s="18">
        <v>2.8730582E-8</v>
      </c>
      <c r="V182" s="18">
        <v>7.8763251999999995E-10</v>
      </c>
      <c r="W182" s="3">
        <v>1.0221010999999999E-3</v>
      </c>
      <c r="X182" s="3" t="s">
        <v>95</v>
      </c>
    </row>
    <row r="183" spans="1:24" x14ac:dyDescent="0.3">
      <c r="A183" s="17" t="s">
        <v>111</v>
      </c>
      <c r="C183" s="10">
        <v>176</v>
      </c>
      <c r="D183" s="3">
        <v>156</v>
      </c>
      <c r="E183" s="21">
        <f t="shared" si="5"/>
        <v>180</v>
      </c>
      <c r="F183" s="3">
        <v>6.3716999999999997</v>
      </c>
      <c r="G183" s="16">
        <v>2926.65</v>
      </c>
      <c r="H183" s="13">
        <f t="shared" si="6"/>
        <v>0.81494816510312684</v>
      </c>
      <c r="I183" s="18">
        <v>459320000</v>
      </c>
      <c r="J183" s="18">
        <v>7901.1</v>
      </c>
      <c r="K183" s="3">
        <v>6.9137667E-2</v>
      </c>
      <c r="L183" s="3">
        <v>6.9463605999999997E-4</v>
      </c>
      <c r="M183" s="18">
        <v>7.4384902E-6</v>
      </c>
      <c r="N183" s="18">
        <v>1.2013079999999999E-7</v>
      </c>
      <c r="O183" s="18">
        <v>8.3882108000000006E-6</v>
      </c>
      <c r="P183" s="18">
        <v>7.6529528000000003E-7</v>
      </c>
      <c r="Q183" s="3">
        <v>6.5233612000000002E-3</v>
      </c>
      <c r="R183" s="3">
        <v>1.3007631999999999E-4</v>
      </c>
      <c r="S183" s="3">
        <v>1.5587838999999999</v>
      </c>
      <c r="T183" s="3">
        <v>1.2786122E-2</v>
      </c>
      <c r="U183" s="18">
        <v>2.985926E-8</v>
      </c>
      <c r="V183" s="18">
        <v>7.1908835000000004E-10</v>
      </c>
      <c r="W183" s="3">
        <v>9.8789492000000002E-4</v>
      </c>
      <c r="X183" s="3" t="s">
        <v>96</v>
      </c>
    </row>
    <row r="184" spans="1:24" x14ac:dyDescent="0.3">
      <c r="A184" s="17" t="s">
        <v>111</v>
      </c>
      <c r="C184" s="10">
        <v>180</v>
      </c>
      <c r="D184" s="3">
        <v>160</v>
      </c>
      <c r="E184" s="21">
        <f t="shared" si="5"/>
        <v>184</v>
      </c>
      <c r="F184" s="3">
        <v>6.3716999999999997</v>
      </c>
      <c r="G184" s="16">
        <v>2953.42</v>
      </c>
      <c r="H184" s="13">
        <f t="shared" si="6"/>
        <v>0.82240247715950887</v>
      </c>
      <c r="I184" s="18">
        <v>463522000</v>
      </c>
      <c r="J184" s="18">
        <v>8028.48</v>
      </c>
      <c r="K184" s="3">
        <v>6.9839799999999994E-2</v>
      </c>
      <c r="L184" s="3">
        <v>6.5960604999999999E-4</v>
      </c>
      <c r="M184" s="18">
        <v>7.7588338000000008E-6</v>
      </c>
      <c r="N184" s="18">
        <v>1.0964362E-7</v>
      </c>
      <c r="O184" s="18">
        <v>1.0029816000000001E-5</v>
      </c>
      <c r="P184" s="18">
        <v>6.8684414999999999E-7</v>
      </c>
      <c r="Q184" s="3">
        <v>5.9425996999999996E-3</v>
      </c>
      <c r="R184" s="3">
        <v>1.1942348E-4</v>
      </c>
      <c r="S184" s="3">
        <v>1.1551309999999999</v>
      </c>
      <c r="T184" s="3">
        <v>1.2883906000000001E-2</v>
      </c>
      <c r="U184" s="18">
        <v>2.9436811E-8</v>
      </c>
      <c r="V184" s="18">
        <v>7.1105000999999998E-10</v>
      </c>
      <c r="W184" s="3">
        <v>1.2452702E-3</v>
      </c>
      <c r="X184" s="3" t="s">
        <v>97</v>
      </c>
    </row>
    <row r="185" spans="1:24" x14ac:dyDescent="0.3">
      <c r="A185" s="17" t="s">
        <v>111</v>
      </c>
      <c r="C185" s="10">
        <v>184</v>
      </c>
      <c r="D185" s="3">
        <v>164</v>
      </c>
      <c r="E185" s="21">
        <f t="shared" si="5"/>
        <v>188</v>
      </c>
      <c r="F185" s="3">
        <v>6.3716999999999997</v>
      </c>
      <c r="G185" s="16">
        <v>2952.27</v>
      </c>
      <c r="H185" s="13">
        <f t="shared" si="6"/>
        <v>0.82208225082910769</v>
      </c>
      <c r="I185" s="18">
        <v>463342000</v>
      </c>
      <c r="J185" s="18">
        <v>6683.34</v>
      </c>
      <c r="K185" s="3">
        <v>7.2833778000000002E-2</v>
      </c>
      <c r="L185" s="3">
        <v>6.3056527000000004E-4</v>
      </c>
      <c r="M185" s="18">
        <v>7.5560588E-6</v>
      </c>
      <c r="N185" s="18">
        <v>1.0709947E-7</v>
      </c>
      <c r="O185" s="18">
        <v>1.3507484E-5</v>
      </c>
      <c r="P185" s="18">
        <v>6.0625052E-7</v>
      </c>
      <c r="Q185" s="3">
        <v>6.1173814999999996E-3</v>
      </c>
      <c r="R185" s="3">
        <v>1.2118415999999999E-4</v>
      </c>
      <c r="S185" s="3">
        <v>2.2466170999999999</v>
      </c>
      <c r="T185" s="3">
        <v>1.2774848E-2</v>
      </c>
      <c r="U185" s="18">
        <v>2.9102913000000001E-8</v>
      </c>
      <c r="V185" s="18">
        <v>7.0010087000000004E-10</v>
      </c>
      <c r="W185" s="3">
        <v>9.4652386000000004E-4</v>
      </c>
      <c r="X185" s="3" t="s">
        <v>98</v>
      </c>
    </row>
    <row r="186" spans="1:24" x14ac:dyDescent="0.3">
      <c r="A186" s="17" t="s">
        <v>111</v>
      </c>
      <c r="C186" s="10">
        <v>188</v>
      </c>
      <c r="D186" s="3">
        <v>168</v>
      </c>
      <c r="E186" s="21">
        <f t="shared" si="5"/>
        <v>192</v>
      </c>
      <c r="F186" s="3">
        <v>6.3716999999999997</v>
      </c>
      <c r="G186" s="16">
        <v>2971.34</v>
      </c>
      <c r="H186" s="13">
        <f t="shared" si="6"/>
        <v>0.82739243876019508</v>
      </c>
      <c r="I186" s="18">
        <v>466334000</v>
      </c>
      <c r="J186" s="18">
        <v>5191.13</v>
      </c>
      <c r="K186" s="3">
        <v>6.8150561999999998E-2</v>
      </c>
      <c r="L186" s="3">
        <v>6.6673457999999995E-4</v>
      </c>
      <c r="M186" s="18">
        <v>7.7495030000000008E-6</v>
      </c>
      <c r="N186" s="18">
        <v>1.1509603E-7</v>
      </c>
      <c r="O186" s="18">
        <v>1.2256505000000001E-5</v>
      </c>
      <c r="P186" s="18">
        <v>6.9046635000000001E-7</v>
      </c>
      <c r="Q186" s="3">
        <v>7.7838550999999997E-3</v>
      </c>
      <c r="R186" s="3">
        <v>1.1889308999999999E-4</v>
      </c>
      <c r="S186" s="3">
        <v>1.0529010999999999</v>
      </c>
      <c r="T186" s="3">
        <v>9.8113043000000004E-3</v>
      </c>
      <c r="U186" s="18">
        <v>2.9988671000000002E-8</v>
      </c>
      <c r="V186" s="18">
        <v>5.5261205000000005E-10</v>
      </c>
      <c r="W186" s="3">
        <v>1.4910187E-3</v>
      </c>
      <c r="X186" s="3" t="s">
        <v>99</v>
      </c>
    </row>
    <row r="187" spans="1:24" x14ac:dyDescent="0.3">
      <c r="A187" s="17" t="s">
        <v>112</v>
      </c>
      <c r="C187" s="3">
        <v>-4</v>
      </c>
      <c r="E187">
        <f>C187+8</f>
        <v>4</v>
      </c>
      <c r="F187" s="3">
        <v>6.3916300000000001</v>
      </c>
      <c r="G187" s="16">
        <v>2912.63</v>
      </c>
      <c r="H187" s="13">
        <f t="shared" si="6"/>
        <v>0.8110441884490186</v>
      </c>
      <c r="I187" s="18">
        <v>455695000</v>
      </c>
      <c r="J187" s="18">
        <v>15171.9</v>
      </c>
      <c r="K187" s="3">
        <v>6.4395870999999993E-2</v>
      </c>
      <c r="L187" s="18">
        <v>9.3543416999999996E-5</v>
      </c>
      <c r="M187" s="18">
        <v>6.3280061999999999E-6</v>
      </c>
      <c r="N187" s="18">
        <v>6.0310939999999997E-8</v>
      </c>
      <c r="O187" s="18">
        <v>1.3516509E-8</v>
      </c>
      <c r="P187" s="3" t="s">
        <v>31</v>
      </c>
      <c r="Q187" s="3">
        <v>4.8798438999999999E-3</v>
      </c>
      <c r="R187" s="3">
        <v>1.3757352999999999E-4</v>
      </c>
      <c r="S187" s="3">
        <v>1.2715394</v>
      </c>
      <c r="T187" s="3">
        <v>1.8206057000000001E-2</v>
      </c>
      <c r="U187" s="18">
        <v>2.9182776999999999E-8</v>
      </c>
      <c r="V187" s="18">
        <v>9.8596256E-10</v>
      </c>
      <c r="W187" s="3">
        <v>-5.7152240000000001E-4</v>
      </c>
      <c r="X187" s="3">
        <v>1.4957830999999999E-4</v>
      </c>
    </row>
    <row r="188" spans="1:24" x14ac:dyDescent="0.3">
      <c r="A188" s="17" t="s">
        <v>112</v>
      </c>
      <c r="C188" s="3">
        <v>0</v>
      </c>
      <c r="E188">
        <f t="shared" ref="E188:E235" si="7">C188+8</f>
        <v>8</v>
      </c>
      <c r="F188" s="3">
        <v>6.3916300000000001</v>
      </c>
      <c r="G188" s="16">
        <v>2918.54</v>
      </c>
      <c r="H188" s="13">
        <f t="shared" si="6"/>
        <v>0.81268987332960196</v>
      </c>
      <c r="I188" s="18">
        <v>456619000</v>
      </c>
      <c r="J188" s="18">
        <v>8013.65</v>
      </c>
      <c r="K188" s="3">
        <v>6.7707664000000001E-2</v>
      </c>
      <c r="L188" s="3">
        <v>1.0572402999999999E-4</v>
      </c>
      <c r="M188" s="18">
        <v>5.9761465999999999E-6</v>
      </c>
      <c r="N188" s="18">
        <v>5.9617039000000006E-8</v>
      </c>
      <c r="O188" s="18">
        <v>6.0372689000000002E-9</v>
      </c>
      <c r="P188" s="3" t="s">
        <v>31</v>
      </c>
      <c r="Q188" s="3">
        <v>7.0321326000000002E-3</v>
      </c>
      <c r="R188" s="3">
        <v>1.4070156000000001E-4</v>
      </c>
      <c r="S188" s="3">
        <v>1.1328841999999999</v>
      </c>
      <c r="T188" s="3">
        <v>1.2895047E-2</v>
      </c>
      <c r="U188" s="18">
        <v>2.9826280000000002E-8</v>
      </c>
      <c r="V188" s="18">
        <v>7.1726159999999995E-10</v>
      </c>
      <c r="W188" s="3">
        <v>-1.4169399E-3</v>
      </c>
      <c r="X188" s="3">
        <v>1.7029953E-4</v>
      </c>
    </row>
    <row r="189" spans="1:24" x14ac:dyDescent="0.3">
      <c r="A189" s="17" t="s">
        <v>112</v>
      </c>
      <c r="C189" s="3">
        <v>4</v>
      </c>
      <c r="E189">
        <f t="shared" si="7"/>
        <v>12</v>
      </c>
      <c r="F189" s="3">
        <v>6.3916300000000001</v>
      </c>
      <c r="G189" s="16">
        <v>2883.85</v>
      </c>
      <c r="H189" s="13">
        <f t="shared" si="6"/>
        <v>0.80303017645863095</v>
      </c>
      <c r="I189" s="18">
        <v>451191000</v>
      </c>
      <c r="J189" s="18">
        <v>7186.27</v>
      </c>
      <c r="K189" s="3">
        <v>6.4948354E-2</v>
      </c>
      <c r="L189" s="3">
        <v>7.3105559000000001E-4</v>
      </c>
      <c r="M189" s="18">
        <v>6.4707756000000004E-6</v>
      </c>
      <c r="N189" s="18">
        <v>1.4228754999999999E-7</v>
      </c>
      <c r="O189" s="18">
        <v>3.1649782999999998E-6</v>
      </c>
      <c r="P189" s="18">
        <v>1.0145233E-6</v>
      </c>
      <c r="Q189" s="3">
        <v>5.2691144000000002E-3</v>
      </c>
      <c r="R189" s="3">
        <v>1.4172197000000001E-4</v>
      </c>
      <c r="S189" s="3">
        <v>1.1232368E-2</v>
      </c>
      <c r="T189" s="3">
        <v>1.7071003000000001E-2</v>
      </c>
      <c r="U189" s="18">
        <v>3.2176259000000003E-8</v>
      </c>
      <c r="V189" s="18">
        <v>1.0370190999999999E-9</v>
      </c>
      <c r="W189" s="3">
        <v>-6.2690192000000003E-4</v>
      </c>
      <c r="X189" s="3">
        <v>2.6229600000000002E-4</v>
      </c>
    </row>
    <row r="190" spans="1:24" x14ac:dyDescent="0.3">
      <c r="A190" s="17" t="s">
        <v>112</v>
      </c>
      <c r="C190" s="3">
        <v>8</v>
      </c>
      <c r="E190">
        <f t="shared" si="7"/>
        <v>16</v>
      </c>
      <c r="F190" s="3">
        <v>6.3916300000000001</v>
      </c>
      <c r="G190" s="16">
        <v>2833.31</v>
      </c>
      <c r="H190" s="13">
        <f t="shared" si="6"/>
        <v>0.78895692538169582</v>
      </c>
      <c r="I190" s="18">
        <v>443284000</v>
      </c>
      <c r="J190" s="18">
        <v>9187.4500000000007</v>
      </c>
      <c r="K190" s="3">
        <v>6.5893090000000001E-2</v>
      </c>
      <c r="L190" s="3">
        <v>6.2212181999999998E-4</v>
      </c>
      <c r="M190" s="18">
        <v>6.1667863999999998E-6</v>
      </c>
      <c r="N190" s="18">
        <v>1.2857138E-7</v>
      </c>
      <c r="O190" s="18">
        <v>8.5867548999999996E-7</v>
      </c>
      <c r="P190" s="18">
        <v>9.0218028999999999E-7</v>
      </c>
      <c r="Q190" s="3">
        <v>5.6574751E-3</v>
      </c>
      <c r="R190" s="3">
        <v>1.3176927000000001E-4</v>
      </c>
      <c r="S190" s="3">
        <v>1.9014173000000001</v>
      </c>
      <c r="T190" s="3">
        <v>1.4938473000000001E-2</v>
      </c>
      <c r="U190" s="18">
        <v>3.1911219999999998E-8</v>
      </c>
      <c r="V190" s="18">
        <v>9.0286648999999998E-10</v>
      </c>
      <c r="W190" s="3">
        <v>-1.0009127999999999E-3</v>
      </c>
      <c r="X190" s="3">
        <v>2.6729082999999999E-4</v>
      </c>
    </row>
    <row r="191" spans="1:24" x14ac:dyDescent="0.3">
      <c r="A191" s="17" t="s">
        <v>112</v>
      </c>
      <c r="C191" s="3">
        <v>12</v>
      </c>
      <c r="E191">
        <f t="shared" si="7"/>
        <v>20</v>
      </c>
      <c r="F191" s="3">
        <v>6.3916300000000001</v>
      </c>
      <c r="G191" s="16">
        <v>2782.36</v>
      </c>
      <c r="H191" s="13">
        <f t="shared" si="6"/>
        <v>0.77476950665653088</v>
      </c>
      <c r="I191" s="18">
        <v>435314000</v>
      </c>
      <c r="J191" s="18">
        <v>23182.9</v>
      </c>
      <c r="K191" s="3">
        <v>5.4504240000000002E-2</v>
      </c>
      <c r="L191" s="18">
        <v>8.1848411000000004E-5</v>
      </c>
      <c r="M191" s="18">
        <v>6.4668063000000001E-6</v>
      </c>
      <c r="N191" s="18">
        <v>6.4335008000000003E-8</v>
      </c>
      <c r="O191" s="18">
        <v>1.0192354E-10</v>
      </c>
      <c r="P191" s="3" t="s">
        <v>31</v>
      </c>
      <c r="Q191" s="3">
        <v>3.3843727999999999E-3</v>
      </c>
      <c r="R191" s="3">
        <v>1.2723043999999999E-4</v>
      </c>
      <c r="S191" s="3">
        <v>1.5835092</v>
      </c>
      <c r="T191" s="3">
        <v>2.3994345E-2</v>
      </c>
      <c r="U191" s="18">
        <v>2.8718101999999999E-8</v>
      </c>
      <c r="V191" s="18">
        <v>1.2783710999999999E-9</v>
      </c>
      <c r="W191" s="3">
        <v>-3.6266769000000001E-4</v>
      </c>
      <c r="X191" s="3">
        <v>1.3017749999999999E-4</v>
      </c>
    </row>
    <row r="192" spans="1:24" x14ac:dyDescent="0.3">
      <c r="A192" s="17" t="s">
        <v>112</v>
      </c>
      <c r="C192" s="3">
        <v>16</v>
      </c>
      <c r="E192">
        <f t="shared" si="7"/>
        <v>24</v>
      </c>
      <c r="F192" s="3">
        <v>6.3916300000000001</v>
      </c>
      <c r="G192" s="16">
        <v>2739.77</v>
      </c>
      <c r="H192" s="13">
        <f t="shared" si="6"/>
        <v>0.76290999412454297</v>
      </c>
      <c r="I192" s="18">
        <v>428650000</v>
      </c>
      <c r="J192" s="18">
        <v>11277.2</v>
      </c>
      <c r="K192" s="3">
        <v>7.1325009999999994E-2</v>
      </c>
      <c r="L192" s="3">
        <v>6.7032210000000003E-4</v>
      </c>
      <c r="M192" s="18">
        <v>6.2637844000000002E-6</v>
      </c>
      <c r="N192" s="18">
        <v>1.2055345E-7</v>
      </c>
      <c r="O192" s="18">
        <v>1.6865526000000001E-6</v>
      </c>
      <c r="P192" s="18">
        <v>8.8375140000000001E-7</v>
      </c>
      <c r="Q192" s="3">
        <v>6.8745307999999996E-3</v>
      </c>
      <c r="R192" s="3">
        <v>1.4557711999999999E-4</v>
      </c>
      <c r="S192" s="3">
        <v>0.99071580999999997</v>
      </c>
      <c r="T192" s="3">
        <v>1.3406568000000001E-2</v>
      </c>
      <c r="U192" s="18">
        <v>2.8619592E-8</v>
      </c>
      <c r="V192" s="18">
        <v>7.0731381000000003E-10</v>
      </c>
      <c r="W192" s="3">
        <v>-1.2496877E-3</v>
      </c>
      <c r="X192" s="3">
        <v>2.5965480000000001E-4</v>
      </c>
    </row>
    <row r="193" spans="1:24" x14ac:dyDescent="0.3">
      <c r="A193" s="17" t="s">
        <v>112</v>
      </c>
      <c r="C193" s="3">
        <v>20</v>
      </c>
      <c r="E193">
        <f t="shared" si="7"/>
        <v>28</v>
      </c>
      <c r="F193" s="3">
        <v>6.3916300000000001</v>
      </c>
      <c r="G193" s="16">
        <v>2705.83</v>
      </c>
      <c r="H193" s="13">
        <f t="shared" si="6"/>
        <v>0.75345914051252916</v>
      </c>
      <c r="I193" s="18">
        <v>423339000</v>
      </c>
      <c r="J193" s="18">
        <v>8269.7900000000009</v>
      </c>
      <c r="K193" s="3">
        <v>6.4533511000000002E-2</v>
      </c>
      <c r="L193" s="3">
        <v>5.9580023000000001E-4</v>
      </c>
      <c r="M193" s="18">
        <v>6.170006E-6</v>
      </c>
      <c r="N193" s="18">
        <v>1.2416131000000001E-7</v>
      </c>
      <c r="O193" s="18">
        <v>8.7515743999999999E-7</v>
      </c>
      <c r="P193" s="18">
        <v>8.8328504000000002E-7</v>
      </c>
      <c r="Q193" s="3">
        <v>6.3723080999999997E-3</v>
      </c>
      <c r="R193" s="3">
        <v>1.2354725000000001E-4</v>
      </c>
      <c r="S193" s="3">
        <v>2.5927335999999999</v>
      </c>
      <c r="T193" s="3">
        <v>1.2445081E-2</v>
      </c>
      <c r="U193" s="18">
        <v>3.2049514000000003E-8</v>
      </c>
      <c r="V193" s="18">
        <v>7.5206337000000001E-10</v>
      </c>
      <c r="W193" s="3">
        <v>-1.1920297000000001E-3</v>
      </c>
      <c r="X193" s="3">
        <v>2.5182113999999998E-4</v>
      </c>
    </row>
    <row r="194" spans="1:24" x14ac:dyDescent="0.3">
      <c r="A194" s="17" t="s">
        <v>112</v>
      </c>
      <c r="C194" s="3">
        <v>24</v>
      </c>
      <c r="E194">
        <f t="shared" si="7"/>
        <v>32</v>
      </c>
      <c r="F194" s="3">
        <v>6.3916300000000001</v>
      </c>
      <c r="G194" s="16">
        <v>2674.53</v>
      </c>
      <c r="H194" s="13">
        <f t="shared" si="6"/>
        <v>0.74474341517204512</v>
      </c>
      <c r="I194" s="18">
        <v>418443000</v>
      </c>
      <c r="J194" s="18">
        <v>12149.5</v>
      </c>
      <c r="K194" s="3">
        <v>6.3344041000000004E-2</v>
      </c>
      <c r="L194" s="18">
        <v>9.2169402999999994E-5</v>
      </c>
      <c r="M194" s="18">
        <v>6.5068912999999997E-6</v>
      </c>
      <c r="N194" s="18">
        <v>6.4144235000000001E-8</v>
      </c>
      <c r="O194" s="18">
        <v>8.2857113999999997E-10</v>
      </c>
      <c r="P194" s="3" t="s">
        <v>31</v>
      </c>
      <c r="Q194" s="3">
        <v>4.8261331000000003E-3</v>
      </c>
      <c r="R194" s="3">
        <v>1.4455062999999999E-4</v>
      </c>
      <c r="S194" s="3">
        <v>-0.50168482000000003</v>
      </c>
      <c r="T194" s="3">
        <v>1.8694992000000001E-2</v>
      </c>
      <c r="U194" s="18">
        <v>3.0812369E-8</v>
      </c>
      <c r="V194" s="18">
        <v>1.0692901E-9</v>
      </c>
      <c r="W194" s="3">
        <v>-4.6794308000000002E-4</v>
      </c>
      <c r="X194" s="3">
        <v>1.4773402999999999E-4</v>
      </c>
    </row>
    <row r="195" spans="1:24" x14ac:dyDescent="0.3">
      <c r="A195" s="17" t="s">
        <v>112</v>
      </c>
      <c r="C195" s="3">
        <v>28</v>
      </c>
      <c r="E195">
        <f t="shared" si="7"/>
        <v>36</v>
      </c>
      <c r="F195" s="3">
        <v>6.3916300000000001</v>
      </c>
      <c r="G195" s="16">
        <v>2649.28</v>
      </c>
      <c r="H195" s="13">
        <f t="shared" si="6"/>
        <v>0.7377123587871498</v>
      </c>
      <c r="I195" s="18">
        <v>414492000</v>
      </c>
      <c r="J195" s="18">
        <v>12192.7</v>
      </c>
      <c r="K195" s="3">
        <v>6.3312155999999994E-2</v>
      </c>
      <c r="L195" s="18">
        <v>9.1057839999999997E-5</v>
      </c>
      <c r="M195" s="18">
        <v>6.6340655000000004E-6</v>
      </c>
      <c r="N195" s="18">
        <v>6.3348503999999994E-8</v>
      </c>
      <c r="O195" s="18">
        <v>6.0482569999999998E-9</v>
      </c>
      <c r="P195" s="3" t="s">
        <v>31</v>
      </c>
      <c r="Q195" s="3">
        <v>5.7108927000000002E-3</v>
      </c>
      <c r="R195" s="3">
        <v>1.3657592000000001E-4</v>
      </c>
      <c r="S195" s="3">
        <v>2.8704402999999998</v>
      </c>
      <c r="T195" s="3">
        <v>1.5382951000000001E-2</v>
      </c>
      <c r="U195" s="18">
        <v>3.0660101E-8</v>
      </c>
      <c r="V195" s="18">
        <v>8.8037833999999996E-10</v>
      </c>
      <c r="W195" s="3">
        <v>-6.0530401000000005E-4</v>
      </c>
      <c r="X195" s="3">
        <v>1.4309663999999999E-4</v>
      </c>
    </row>
    <row r="196" spans="1:24" x14ac:dyDescent="0.3">
      <c r="A196" s="17" t="s">
        <v>112</v>
      </c>
      <c r="C196" s="3">
        <v>32</v>
      </c>
      <c r="E196">
        <f t="shared" si="7"/>
        <v>40</v>
      </c>
      <c r="F196" s="3">
        <v>6.3916300000000001</v>
      </c>
      <c r="G196" s="16">
        <v>2668.04</v>
      </c>
      <c r="H196" s="13">
        <f t="shared" si="6"/>
        <v>0.74293622483786803</v>
      </c>
      <c r="I196" s="18">
        <v>417427000</v>
      </c>
      <c r="J196" s="18">
        <v>11740.9</v>
      </c>
      <c r="K196" s="3">
        <v>6.8402544999999995E-2</v>
      </c>
      <c r="L196" s="3">
        <v>6.3575809000000001E-4</v>
      </c>
      <c r="M196" s="18">
        <v>5.9360050999999999E-6</v>
      </c>
      <c r="N196" s="18">
        <v>1.2791374E-7</v>
      </c>
      <c r="O196" s="18">
        <v>2.7549965E-7</v>
      </c>
      <c r="P196" s="18">
        <v>9.2395886999999995E-7</v>
      </c>
      <c r="Q196" s="3">
        <v>4.8399795999999997E-3</v>
      </c>
      <c r="R196" s="3">
        <v>1.3663725999999999E-4</v>
      </c>
      <c r="S196" s="3">
        <v>2.5355875000000001</v>
      </c>
      <c r="T196" s="3">
        <v>1.8127066000000001E-2</v>
      </c>
      <c r="U196" s="18">
        <v>3.1691003999999997E-8</v>
      </c>
      <c r="V196" s="18">
        <v>1.0760398999999999E-9</v>
      </c>
      <c r="W196" s="3">
        <v>-1.8922793000000001E-3</v>
      </c>
      <c r="X196" s="3">
        <v>2.9362078E-4</v>
      </c>
    </row>
    <row r="197" spans="1:24" x14ac:dyDescent="0.3">
      <c r="A197" s="17" t="s">
        <v>112</v>
      </c>
      <c r="C197" s="3">
        <v>36</v>
      </c>
      <c r="E197">
        <f t="shared" si="7"/>
        <v>44</v>
      </c>
      <c r="F197" s="3">
        <v>6.3916300000000001</v>
      </c>
      <c r="G197" s="16">
        <v>2673.74</v>
      </c>
      <c r="H197" s="13">
        <f t="shared" si="6"/>
        <v>0.74452343360594331</v>
      </c>
      <c r="I197" s="18">
        <v>418319000</v>
      </c>
      <c r="J197" s="18">
        <v>9579.4599999999991</v>
      </c>
      <c r="K197" s="3">
        <v>7.4247806E-2</v>
      </c>
      <c r="L197" s="3">
        <v>1.1488445E-4</v>
      </c>
      <c r="M197" s="18">
        <v>6.2028703999999997E-6</v>
      </c>
      <c r="N197" s="18">
        <v>6.2971249000000005E-8</v>
      </c>
      <c r="O197" s="18">
        <v>6.3770014E-14</v>
      </c>
      <c r="P197" s="3" t="s">
        <v>31</v>
      </c>
      <c r="Q197" s="3">
        <v>7.8557469999999997E-3</v>
      </c>
      <c r="R197" s="3">
        <v>1.7192118E-4</v>
      </c>
      <c r="S197" s="3">
        <v>2.5520991999999998</v>
      </c>
      <c r="T197" s="3">
        <v>1.4073453E-2</v>
      </c>
      <c r="U197" s="18">
        <v>2.8067640000000001E-8</v>
      </c>
      <c r="V197" s="18">
        <v>7.2452892000000003E-10</v>
      </c>
      <c r="W197" s="3">
        <v>-1.654134E-3</v>
      </c>
      <c r="X197" s="3">
        <v>1.8564572000000001E-4</v>
      </c>
    </row>
    <row r="198" spans="1:24" x14ac:dyDescent="0.3">
      <c r="A198" s="17" t="s">
        <v>112</v>
      </c>
      <c r="C198" s="3">
        <v>40</v>
      </c>
      <c r="E198">
        <f t="shared" si="7"/>
        <v>48</v>
      </c>
      <c r="F198" s="3">
        <v>6.3916300000000001</v>
      </c>
      <c r="G198" s="16">
        <v>2703.25</v>
      </c>
      <c r="H198" s="13">
        <f t="shared" si="6"/>
        <v>0.75274071970171608</v>
      </c>
      <c r="I198" s="18">
        <v>422936000</v>
      </c>
      <c r="J198" s="18">
        <v>8933.26</v>
      </c>
      <c r="K198" s="3">
        <v>6.8395593000000005E-2</v>
      </c>
      <c r="L198" s="3">
        <v>7.3865841999999995E-4</v>
      </c>
      <c r="M198" s="18">
        <v>6.4919812000000003E-6</v>
      </c>
      <c r="N198" s="18">
        <v>1.3486646000000001E-7</v>
      </c>
      <c r="O198" s="18">
        <v>2.0168610000000002E-8</v>
      </c>
      <c r="P198" s="18">
        <v>1.0058484999999999E-6</v>
      </c>
      <c r="Q198" s="3">
        <v>6.9458104999999999E-3</v>
      </c>
      <c r="R198" s="3">
        <v>1.5080869E-4</v>
      </c>
      <c r="S198" s="3">
        <v>2.2390838</v>
      </c>
      <c r="T198" s="3">
        <v>1.3994177999999999E-2</v>
      </c>
      <c r="U198" s="18">
        <v>2.9596272E-8</v>
      </c>
      <c r="V198" s="18">
        <v>7.6317491000000002E-10</v>
      </c>
      <c r="W198" s="3">
        <v>-9.5435769000000003E-4</v>
      </c>
      <c r="X198" s="3">
        <v>2.6457733999999999E-4</v>
      </c>
    </row>
    <row r="199" spans="1:24" x14ac:dyDescent="0.3">
      <c r="A199" s="17" t="s">
        <v>112</v>
      </c>
      <c r="C199" s="3">
        <v>44</v>
      </c>
      <c r="E199">
        <f t="shared" si="7"/>
        <v>52</v>
      </c>
      <c r="F199" s="3">
        <v>6.3916300000000001</v>
      </c>
      <c r="G199" s="16">
        <v>2738.57</v>
      </c>
      <c r="H199" s="13">
        <f t="shared" si="6"/>
        <v>0.76257584491021135</v>
      </c>
      <c r="I199" s="18">
        <v>428463000</v>
      </c>
      <c r="J199" s="18">
        <v>13907.1</v>
      </c>
      <c r="K199" s="3">
        <v>7.2592988999999997E-2</v>
      </c>
      <c r="L199" s="3">
        <v>7.1184481999999997E-4</v>
      </c>
      <c r="M199" s="18">
        <v>6.3735894999999999E-6</v>
      </c>
      <c r="N199" s="18">
        <v>1.3033270999999999E-7</v>
      </c>
      <c r="O199" s="18">
        <v>1.600372E-6</v>
      </c>
      <c r="P199" s="18">
        <v>9.0530892E-7</v>
      </c>
      <c r="Q199" s="3">
        <v>5.7978166999999997E-3</v>
      </c>
      <c r="R199" s="3">
        <v>1.6390862000000001E-4</v>
      </c>
      <c r="S199" s="3">
        <v>2.7963355999999999</v>
      </c>
      <c r="T199" s="3">
        <v>1.7993968999999999E-2</v>
      </c>
      <c r="U199" s="18">
        <v>2.7899366999999998E-8</v>
      </c>
      <c r="V199" s="18">
        <v>9.3711142E-10</v>
      </c>
      <c r="W199" s="3">
        <v>-1.1684229E-3</v>
      </c>
      <c r="X199" s="3">
        <v>2.8120339000000001E-4</v>
      </c>
    </row>
    <row r="200" spans="1:24" x14ac:dyDescent="0.3">
      <c r="A200" s="17" t="s">
        <v>112</v>
      </c>
      <c r="C200" s="3">
        <v>48</v>
      </c>
      <c r="E200">
        <f t="shared" si="7"/>
        <v>56</v>
      </c>
      <c r="F200" s="3">
        <v>6.3916300000000001</v>
      </c>
      <c r="G200" s="16">
        <v>2714.81</v>
      </c>
      <c r="H200" s="13">
        <f t="shared" si="6"/>
        <v>0.7559596904664444</v>
      </c>
      <c r="I200" s="18">
        <v>424744000</v>
      </c>
      <c r="J200" s="18">
        <v>15732.8</v>
      </c>
      <c r="K200" s="3">
        <v>7.4251498999999999E-2</v>
      </c>
      <c r="L200" s="3">
        <v>7.2132993999999998E-4</v>
      </c>
      <c r="M200" s="18">
        <v>6.2706348999999997E-6</v>
      </c>
      <c r="N200" s="18">
        <v>1.2711519000000001E-7</v>
      </c>
      <c r="O200" s="18">
        <v>2.3897032999999999E-6</v>
      </c>
      <c r="P200" s="18">
        <v>9.0379518999999995E-7</v>
      </c>
      <c r="Q200" s="3">
        <v>5.4596072999999997E-3</v>
      </c>
      <c r="R200" s="3">
        <v>1.7624559999999999E-4</v>
      </c>
      <c r="S200" s="3">
        <v>1.9940503999999999</v>
      </c>
      <c r="T200" s="3">
        <v>2.0442090999999999E-2</v>
      </c>
      <c r="U200" s="18">
        <v>2.5482665E-8</v>
      </c>
      <c r="V200" s="18">
        <v>9.4655196000000005E-10</v>
      </c>
      <c r="W200" s="3">
        <v>-1.3717859E-3</v>
      </c>
      <c r="X200" s="3">
        <v>2.8490717999999997E-4</v>
      </c>
    </row>
    <row r="201" spans="1:24" x14ac:dyDescent="0.3">
      <c r="A201" s="17" t="s">
        <v>112</v>
      </c>
      <c r="C201" s="3">
        <v>52</v>
      </c>
      <c r="E201">
        <f t="shared" si="7"/>
        <v>60</v>
      </c>
      <c r="F201" s="3">
        <v>6.3916300000000001</v>
      </c>
      <c r="G201" s="16">
        <v>2797.16</v>
      </c>
      <c r="H201" s="13">
        <f t="shared" si="6"/>
        <v>0.77889068029995456</v>
      </c>
      <c r="I201" s="18">
        <v>437629000</v>
      </c>
      <c r="J201" s="18">
        <v>16900.400000000001</v>
      </c>
      <c r="K201" s="3">
        <v>6.0219723000000003E-2</v>
      </c>
      <c r="L201" s="3">
        <v>6.3842426999999996E-4</v>
      </c>
      <c r="M201" s="18">
        <v>6.2894061999999999E-6</v>
      </c>
      <c r="N201" s="18">
        <v>1.3685181000000001E-7</v>
      </c>
      <c r="O201" s="18">
        <v>1.6876708999999999E-8</v>
      </c>
      <c r="P201" s="18">
        <v>1.0089344E-6</v>
      </c>
      <c r="Q201" s="3">
        <v>6.1785994E-3</v>
      </c>
      <c r="R201" s="3">
        <v>1.8520223000000001E-4</v>
      </c>
      <c r="S201" s="3">
        <v>1.0485827000000001</v>
      </c>
      <c r="T201" s="3">
        <v>1.866371E-2</v>
      </c>
      <c r="U201" s="18">
        <v>2.1175134999999999E-8</v>
      </c>
      <c r="V201" s="18">
        <v>6.9713879999999996E-10</v>
      </c>
      <c r="W201" s="3">
        <v>-1.3937621E-3</v>
      </c>
      <c r="X201" s="3">
        <v>2.5003967E-4</v>
      </c>
    </row>
    <row r="202" spans="1:24" x14ac:dyDescent="0.3">
      <c r="A202" s="17" t="s">
        <v>112</v>
      </c>
      <c r="C202" s="3">
        <v>56</v>
      </c>
      <c r="E202">
        <f t="shared" si="7"/>
        <v>64</v>
      </c>
      <c r="F202" s="3">
        <v>6.3916300000000001</v>
      </c>
      <c r="G202" s="16">
        <v>2874.37</v>
      </c>
      <c r="H202" s="13">
        <f t="shared" si="6"/>
        <v>0.80039039766541076</v>
      </c>
      <c r="I202" s="18">
        <v>449708000</v>
      </c>
      <c r="J202" s="18">
        <v>12314.4</v>
      </c>
      <c r="K202" s="3">
        <v>7.3042058000000007E-2</v>
      </c>
      <c r="L202" s="3">
        <v>7.0167853999999997E-4</v>
      </c>
      <c r="M202" s="18">
        <v>6.5825613000000001E-6</v>
      </c>
      <c r="N202" s="18">
        <v>1.2794662E-7</v>
      </c>
      <c r="O202" s="18">
        <v>4.4227897999999997E-6</v>
      </c>
      <c r="P202" s="18">
        <v>8.3665732999999998E-7</v>
      </c>
      <c r="Q202" s="3">
        <v>5.3906075999999997E-3</v>
      </c>
      <c r="R202" s="3">
        <v>1.5788158999999999E-4</v>
      </c>
      <c r="S202" s="3">
        <v>2.6166241000000001</v>
      </c>
      <c r="T202" s="3">
        <v>1.8809877999999999E-2</v>
      </c>
      <c r="U202" s="18">
        <v>2.8171841000000001E-8</v>
      </c>
      <c r="V202" s="18">
        <v>9.9285542000000009E-10</v>
      </c>
      <c r="W202" s="3">
        <v>-4.5999384999999998E-4</v>
      </c>
      <c r="X202" s="3">
        <v>2.6042908999999998E-4</v>
      </c>
    </row>
    <row r="203" spans="1:24" x14ac:dyDescent="0.3">
      <c r="A203" s="17" t="s">
        <v>112</v>
      </c>
      <c r="C203" s="3">
        <v>60</v>
      </c>
      <c r="E203">
        <f t="shared" si="7"/>
        <v>68</v>
      </c>
      <c r="F203" s="3">
        <v>6.3916300000000001</v>
      </c>
      <c r="G203" s="16">
        <v>2915.04</v>
      </c>
      <c r="H203" s="13">
        <f t="shared" ref="H203:H266" si="8">G203/MAX($G$10:$G$285)</f>
        <v>0.81171527145446798</v>
      </c>
      <c r="I203" s="18">
        <v>456072000</v>
      </c>
      <c r="J203" s="18">
        <v>9303.68</v>
      </c>
      <c r="K203" s="3">
        <v>7.2990340000000001E-2</v>
      </c>
      <c r="L203" s="3">
        <v>7.4904154E-4</v>
      </c>
      <c r="M203" s="18">
        <v>6.8023151000000002E-6</v>
      </c>
      <c r="N203" s="18">
        <v>1.3091533999999999E-7</v>
      </c>
      <c r="O203" s="18">
        <v>2.4505399999999999E-6</v>
      </c>
      <c r="P203" s="18">
        <v>8.9410692999999998E-7</v>
      </c>
      <c r="Q203" s="3">
        <v>8.7669566000000004E-3</v>
      </c>
      <c r="R203" s="3">
        <v>1.7251939999999999E-4</v>
      </c>
      <c r="S203" s="3">
        <v>2.1434525</v>
      </c>
      <c r="T203" s="3">
        <v>1.261319E-2</v>
      </c>
      <c r="U203" s="18">
        <v>2.6026345999999999E-8</v>
      </c>
      <c r="V203" s="18">
        <v>6.0620417E-10</v>
      </c>
      <c r="W203" s="3">
        <v>-6.5423225000000001E-4</v>
      </c>
      <c r="X203" s="3">
        <v>2.5319223000000001E-4</v>
      </c>
    </row>
    <row r="204" spans="1:24" x14ac:dyDescent="0.3">
      <c r="A204" s="17" t="s">
        <v>112</v>
      </c>
      <c r="C204" s="3">
        <v>64</v>
      </c>
      <c r="E204">
        <f t="shared" si="7"/>
        <v>72</v>
      </c>
      <c r="F204" s="3">
        <v>6.3916300000000001</v>
      </c>
      <c r="G204" s="16">
        <v>2938.32</v>
      </c>
      <c r="H204" s="13">
        <f t="shared" si="8"/>
        <v>0.81819776621250218</v>
      </c>
      <c r="I204" s="18">
        <v>459713000</v>
      </c>
      <c r="J204" s="18">
        <v>8638.77</v>
      </c>
      <c r="K204" s="3">
        <v>6.9656181999999997E-2</v>
      </c>
      <c r="L204" s="3">
        <v>6.0542824999999995E-4</v>
      </c>
      <c r="M204" s="18">
        <v>6.3412616000000002E-6</v>
      </c>
      <c r="N204" s="18">
        <v>1.1905528E-7</v>
      </c>
      <c r="O204" s="18">
        <v>4.0514665000000001E-6</v>
      </c>
      <c r="P204" s="18">
        <v>7.8315136000000003E-7</v>
      </c>
      <c r="Q204" s="3">
        <v>4.5425973999999999E-3</v>
      </c>
      <c r="R204" s="3">
        <v>1.1812071E-4</v>
      </c>
      <c r="S204" s="3">
        <v>1.9067399</v>
      </c>
      <c r="T204" s="3">
        <v>1.6835297999999999E-2</v>
      </c>
      <c r="U204" s="18">
        <v>3.5119397999999999E-8</v>
      </c>
      <c r="V204" s="18">
        <v>1.1365871E-9</v>
      </c>
      <c r="W204" s="3">
        <v>-1.0523847E-3</v>
      </c>
      <c r="X204" s="3">
        <v>2.4693086E-4</v>
      </c>
    </row>
    <row r="205" spans="1:24" x14ac:dyDescent="0.3">
      <c r="A205" s="17" t="s">
        <v>112</v>
      </c>
      <c r="C205" s="3">
        <v>68</v>
      </c>
      <c r="E205">
        <f t="shared" si="7"/>
        <v>76</v>
      </c>
      <c r="F205" s="3">
        <v>6.3916300000000001</v>
      </c>
      <c r="G205" s="16">
        <v>2897.89</v>
      </c>
      <c r="H205" s="13">
        <f t="shared" si="8"/>
        <v>0.80693972226631128</v>
      </c>
      <c r="I205" s="18">
        <v>453389000</v>
      </c>
      <c r="J205" s="18">
        <v>10033.4</v>
      </c>
      <c r="K205" s="3">
        <v>7.2577220999999997E-2</v>
      </c>
      <c r="L205" s="3">
        <v>7.4543473000000002E-4</v>
      </c>
      <c r="M205" s="18">
        <v>6.7095401000000001E-6</v>
      </c>
      <c r="N205" s="18">
        <v>1.3461280999999999E-7</v>
      </c>
      <c r="O205" s="18">
        <v>5.8720069999999998E-6</v>
      </c>
      <c r="P205" s="18">
        <v>8.6843290000000004E-7</v>
      </c>
      <c r="Q205" s="3">
        <v>4.9124709000000003E-3</v>
      </c>
      <c r="R205" s="3">
        <v>1.4616238999999999E-4</v>
      </c>
      <c r="S205" s="3">
        <v>2.2925081999999999</v>
      </c>
      <c r="T205" s="3">
        <v>1.9238376000000001E-2</v>
      </c>
      <c r="U205" s="18">
        <v>3.2292217999999999E-8</v>
      </c>
      <c r="V205" s="18">
        <v>1.1805968000000001E-9</v>
      </c>
      <c r="W205" s="3">
        <v>-6.1693041999999997E-4</v>
      </c>
      <c r="X205" s="3">
        <v>2.6102956000000001E-4</v>
      </c>
    </row>
    <row r="206" spans="1:24" x14ac:dyDescent="0.3">
      <c r="A206" s="17" t="s">
        <v>112</v>
      </c>
      <c r="C206" s="3">
        <v>72</v>
      </c>
      <c r="E206">
        <f t="shared" si="7"/>
        <v>80</v>
      </c>
      <c r="F206" s="3">
        <v>6.3916300000000001</v>
      </c>
      <c r="G206" s="16">
        <v>2775.79</v>
      </c>
      <c r="H206" s="13">
        <f t="shared" si="8"/>
        <v>0.77294003970806491</v>
      </c>
      <c r="I206" s="18">
        <v>434285000</v>
      </c>
      <c r="J206" s="18">
        <v>240875</v>
      </c>
      <c r="K206" s="3">
        <v>6.8019120000000002E-2</v>
      </c>
      <c r="L206" s="3">
        <v>8.0247399E-4</v>
      </c>
      <c r="M206" s="18">
        <v>6.9112870999999996E-6</v>
      </c>
      <c r="N206" s="18">
        <v>1.3571992E-7</v>
      </c>
      <c r="O206" s="18">
        <v>3.9994060999999997E-8</v>
      </c>
      <c r="P206" s="18">
        <v>1.0556598999999999E-6</v>
      </c>
      <c r="Q206" s="3">
        <v>3.0625266000000001E-3</v>
      </c>
      <c r="R206" s="3">
        <v>1.7063749999999999E-4</v>
      </c>
      <c r="S206" s="3">
        <v>0.7957398</v>
      </c>
      <c r="T206" s="3">
        <v>5.6416860999999999E-2</v>
      </c>
      <c r="U206" s="18">
        <v>1.5953402E-8</v>
      </c>
      <c r="V206" s="3" t="s">
        <v>31</v>
      </c>
      <c r="W206" s="3">
        <v>-5.4907695000000001E-4</v>
      </c>
      <c r="X206" s="3">
        <v>2.3445003E-4</v>
      </c>
    </row>
    <row r="207" spans="1:24" x14ac:dyDescent="0.3">
      <c r="A207" s="17" t="s">
        <v>112</v>
      </c>
      <c r="C207" s="3">
        <v>76</v>
      </c>
      <c r="E207">
        <f t="shared" si="7"/>
        <v>84</v>
      </c>
      <c r="F207" s="3">
        <v>6.3916300000000001</v>
      </c>
      <c r="G207" s="16">
        <v>3325.78</v>
      </c>
      <c r="H207" s="13">
        <f t="shared" si="8"/>
        <v>0.92608897836662296</v>
      </c>
      <c r="I207" s="18">
        <v>520334000</v>
      </c>
      <c r="J207" s="18">
        <v>80299.600000000006</v>
      </c>
      <c r="K207" s="3">
        <v>6.7749088999999998E-2</v>
      </c>
      <c r="L207" s="3">
        <v>7.1572159000000003E-4</v>
      </c>
      <c r="M207" s="18">
        <v>6.6163798000000003E-6</v>
      </c>
      <c r="N207" s="18">
        <v>1.3814563999999999E-7</v>
      </c>
      <c r="O207" s="18">
        <v>1.5705423999999999E-6</v>
      </c>
      <c r="P207" s="18">
        <v>9.4603617000000005E-7</v>
      </c>
      <c r="Q207" s="3">
        <v>1.6732025999999999E-3</v>
      </c>
      <c r="R207" s="3">
        <v>1.5561077E-4</v>
      </c>
      <c r="S207" s="3">
        <v>3.1981979000000001E-2</v>
      </c>
      <c r="T207" s="3">
        <v>6.1221211999999997E-2</v>
      </c>
      <c r="U207" s="18">
        <v>2.8703015E-8</v>
      </c>
      <c r="V207" s="18">
        <v>3.2516064999999998E-9</v>
      </c>
      <c r="W207" s="3">
        <v>-1.0958408999999999E-3</v>
      </c>
      <c r="X207" s="3">
        <v>2.6170885E-4</v>
      </c>
    </row>
    <row r="208" spans="1:24" x14ac:dyDescent="0.3">
      <c r="A208" s="17" t="s">
        <v>112</v>
      </c>
      <c r="C208" s="3">
        <v>80</v>
      </c>
      <c r="E208">
        <f t="shared" si="7"/>
        <v>88</v>
      </c>
      <c r="F208" s="3">
        <v>6.3916300000000001</v>
      </c>
      <c r="G208" s="16">
        <v>3332.4</v>
      </c>
      <c r="H208" s="13">
        <f t="shared" si="8"/>
        <v>0.92793236819901925</v>
      </c>
      <c r="I208" s="18">
        <v>521369000</v>
      </c>
      <c r="J208" s="18">
        <v>99709.2</v>
      </c>
      <c r="K208" s="3">
        <v>6.8541585000000002E-2</v>
      </c>
      <c r="L208" s="3">
        <v>1.1326887999999999E-4</v>
      </c>
      <c r="M208" s="18">
        <v>6.4076783000000001E-6</v>
      </c>
      <c r="N208" s="18">
        <v>6.9051447999999998E-8</v>
      </c>
      <c r="O208" s="18">
        <v>4.5834911999999998E-9</v>
      </c>
      <c r="P208" s="3" t="s">
        <v>31</v>
      </c>
      <c r="Q208" s="3">
        <v>2.6813240000000001E-3</v>
      </c>
      <c r="R208" s="3">
        <v>2.032537E-4</v>
      </c>
      <c r="S208" s="3">
        <v>-2.1604669999999999E-2</v>
      </c>
      <c r="T208" s="3">
        <v>4.9647249999999997E-2</v>
      </c>
      <c r="U208" s="18">
        <v>2.2595309000000001E-8</v>
      </c>
      <c r="V208" s="18">
        <v>1.9926834E-9</v>
      </c>
      <c r="W208" s="3">
        <v>-1.2409977E-3</v>
      </c>
      <c r="X208" s="3">
        <v>1.7940217E-4</v>
      </c>
    </row>
    <row r="209" spans="1:24" x14ac:dyDescent="0.3">
      <c r="A209" s="17" t="s">
        <v>112</v>
      </c>
      <c r="C209" s="3">
        <v>84</v>
      </c>
      <c r="E209">
        <f t="shared" si="7"/>
        <v>92</v>
      </c>
      <c r="F209" s="3">
        <v>6.3916300000000001</v>
      </c>
      <c r="G209" s="16">
        <v>3212.53</v>
      </c>
      <c r="H209" s="13">
        <f t="shared" si="8"/>
        <v>0.89455364626407263</v>
      </c>
      <c r="I209" s="18">
        <v>502615000</v>
      </c>
      <c r="J209" s="18">
        <v>416739</v>
      </c>
      <c r="K209" s="3">
        <v>6.7348063E-2</v>
      </c>
      <c r="L209" s="3">
        <v>7.2033543000000002E-4</v>
      </c>
      <c r="M209" s="18">
        <v>6.7519385E-6</v>
      </c>
      <c r="N209" s="18">
        <v>1.3519497000000001E-7</v>
      </c>
      <c r="O209" s="18">
        <v>2.9788920000000002E-6</v>
      </c>
      <c r="P209" s="18">
        <v>9.3220195999999996E-7</v>
      </c>
      <c r="Q209" s="3">
        <v>2.1019738999999999E-3</v>
      </c>
      <c r="R209" s="3">
        <v>2.1847024E-4</v>
      </c>
      <c r="S209" s="3">
        <v>1.3110725999999999</v>
      </c>
      <c r="T209" s="3">
        <v>0.10246231</v>
      </c>
      <c r="U209" s="18">
        <v>1.2402175E-8</v>
      </c>
      <c r="V209" s="3" t="s">
        <v>31</v>
      </c>
      <c r="W209" s="3">
        <v>-6.1218399000000003E-4</v>
      </c>
      <c r="X209" s="3">
        <v>2.4242470999999999E-4</v>
      </c>
    </row>
    <row r="210" spans="1:24" x14ac:dyDescent="0.3">
      <c r="A210" s="17" t="s">
        <v>112</v>
      </c>
      <c r="C210" s="3">
        <v>88</v>
      </c>
      <c r="E210">
        <f t="shared" si="7"/>
        <v>96</v>
      </c>
      <c r="F210" s="3">
        <v>6.3916300000000001</v>
      </c>
      <c r="G210" s="16">
        <v>3401.34</v>
      </c>
      <c r="H210" s="13">
        <f t="shared" si="8"/>
        <v>0.94712924056237313</v>
      </c>
      <c r="I210" s="18">
        <v>532156000</v>
      </c>
      <c r="J210" s="18">
        <v>67993.600000000006</v>
      </c>
      <c r="K210" s="3">
        <v>6.7589756000000001E-2</v>
      </c>
      <c r="L210" s="3">
        <v>1.0058897999999999E-4</v>
      </c>
      <c r="M210" s="18">
        <v>6.9877553000000003E-6</v>
      </c>
      <c r="N210" s="18">
        <v>6.7869870999999994E-8</v>
      </c>
      <c r="O210" s="18">
        <v>2.8083457E-9</v>
      </c>
      <c r="P210" s="3" t="s">
        <v>31</v>
      </c>
      <c r="Q210" s="3">
        <v>3.4883788000000002E-3</v>
      </c>
      <c r="R210" s="3">
        <v>2.0138174000000001E-4</v>
      </c>
      <c r="S210" s="3">
        <v>-0.83364262</v>
      </c>
      <c r="T210" s="3">
        <v>3.7662243999999998E-2</v>
      </c>
      <c r="U210" s="18">
        <v>2.2000954000000001E-8</v>
      </c>
      <c r="V210" s="18">
        <v>1.4626945E-9</v>
      </c>
      <c r="W210" s="3">
        <v>-6.2596894999999997E-4</v>
      </c>
      <c r="X210" s="3">
        <v>1.5105083999999999E-4</v>
      </c>
    </row>
    <row r="211" spans="1:24" x14ac:dyDescent="0.3">
      <c r="A211" s="17" t="s">
        <v>112</v>
      </c>
      <c r="C211" s="3">
        <v>92</v>
      </c>
      <c r="E211">
        <f t="shared" si="7"/>
        <v>100</v>
      </c>
      <c r="F211" s="3">
        <v>6.3916300000000001</v>
      </c>
      <c r="G211" s="16">
        <v>3463.72</v>
      </c>
      <c r="H211" s="13">
        <f t="shared" si="8"/>
        <v>0.96449943055404719</v>
      </c>
      <c r="I211" s="18">
        <v>541915000</v>
      </c>
      <c r="J211" s="18">
        <v>41034.300000000003</v>
      </c>
      <c r="K211" s="3">
        <v>6.9706979000000002E-2</v>
      </c>
      <c r="L211" s="3">
        <v>1.3507600000000001E-4</v>
      </c>
      <c r="M211" s="18">
        <v>6.4985543999999997E-6</v>
      </c>
      <c r="N211" s="18">
        <v>8.532567E-8</v>
      </c>
      <c r="O211" s="18">
        <v>1.3309027000000001E-9</v>
      </c>
      <c r="P211" s="3" t="s">
        <v>31</v>
      </c>
      <c r="Q211" s="18">
        <v>7.6916680000000004E-8</v>
      </c>
      <c r="R211" s="3">
        <v>1.4527623999999999E-3</v>
      </c>
      <c r="S211" s="3">
        <v>5.9164737000000001</v>
      </c>
      <c r="T211" s="3">
        <v>19997.256000000001</v>
      </c>
      <c r="U211" s="18">
        <v>5.1601023999999999E-9</v>
      </c>
      <c r="V211" s="3" t="s">
        <v>31</v>
      </c>
      <c r="W211" s="3">
        <v>-1.5612887999999999E-3</v>
      </c>
      <c r="X211" s="3">
        <v>2.1788212999999999E-4</v>
      </c>
    </row>
    <row r="212" spans="1:24" x14ac:dyDescent="0.3">
      <c r="A212" s="17" t="s">
        <v>112</v>
      </c>
      <c r="C212" s="3">
        <v>96</v>
      </c>
      <c r="E212">
        <f t="shared" si="7"/>
        <v>104</v>
      </c>
      <c r="F212" s="3">
        <v>6.3916300000000001</v>
      </c>
      <c r="G212" s="16">
        <v>3482.44</v>
      </c>
      <c r="H212" s="13">
        <f t="shared" si="8"/>
        <v>0.96971215829762114</v>
      </c>
      <c r="I212" s="18">
        <v>544843000</v>
      </c>
      <c r="J212" s="18">
        <v>136380</v>
      </c>
      <c r="K212" s="3">
        <v>6.3515483999999997E-2</v>
      </c>
      <c r="L212" s="18">
        <v>9.3031338000000002E-5</v>
      </c>
      <c r="M212" s="18">
        <v>6.8006415999999999E-6</v>
      </c>
      <c r="N212" s="18">
        <v>6.5371068999999996E-8</v>
      </c>
      <c r="O212" s="18">
        <v>2.8649802000000001E-10</v>
      </c>
      <c r="P212" s="3" t="s">
        <v>31</v>
      </c>
      <c r="Q212" s="3">
        <v>2.4588623000000001E-3</v>
      </c>
      <c r="R212" s="3">
        <v>1.9357831999999999E-4</v>
      </c>
      <c r="S212" s="3">
        <v>-1.5019933999999999</v>
      </c>
      <c r="T212" s="3">
        <v>5.1305489000000003E-2</v>
      </c>
      <c r="U212" s="18">
        <v>2.0677351E-8</v>
      </c>
      <c r="V212" s="18">
        <v>1.8490415999999999E-9</v>
      </c>
      <c r="W212" s="3">
        <v>-4.2628795999999998E-4</v>
      </c>
      <c r="X212" s="3">
        <v>1.4281455999999999E-4</v>
      </c>
    </row>
    <row r="213" spans="1:24" x14ac:dyDescent="0.3">
      <c r="A213" s="17" t="s">
        <v>112</v>
      </c>
      <c r="C213" s="3">
        <v>100</v>
      </c>
      <c r="E213">
        <f t="shared" si="7"/>
        <v>108</v>
      </c>
      <c r="F213" s="3">
        <v>6.3916300000000001</v>
      </c>
      <c r="G213" s="16">
        <v>3561.59</v>
      </c>
      <c r="H213" s="13">
        <f t="shared" si="8"/>
        <v>0.99175208355958022</v>
      </c>
      <c r="I213" s="18">
        <v>557227000</v>
      </c>
      <c r="J213" s="18">
        <v>36454.5</v>
      </c>
      <c r="K213" s="3">
        <v>7.2436123000000005E-2</v>
      </c>
      <c r="L213" s="3">
        <v>7.6884342999999997E-4</v>
      </c>
      <c r="M213" s="18">
        <v>6.6627350999999996E-6</v>
      </c>
      <c r="N213" s="18">
        <v>1.3731932999999999E-7</v>
      </c>
      <c r="O213" s="18">
        <v>1.9266821E-6</v>
      </c>
      <c r="P213" s="18">
        <v>9.4308447000000001E-7</v>
      </c>
      <c r="Q213" s="3">
        <v>2.7901547999999998E-3</v>
      </c>
      <c r="R213" s="3">
        <v>1.5982687999999999E-4</v>
      </c>
      <c r="S213" s="3">
        <v>-2.0504137999999998</v>
      </c>
      <c r="T213" s="3">
        <v>3.7673235999999999E-2</v>
      </c>
      <c r="U213" s="18">
        <v>2.9837231999999999E-8</v>
      </c>
      <c r="V213" s="18">
        <v>2.0887714E-9</v>
      </c>
      <c r="W213" s="3">
        <v>-9.4658731999999995E-4</v>
      </c>
      <c r="X213" s="3">
        <v>2.7384472000000003E-4</v>
      </c>
    </row>
    <row r="214" spans="1:24" x14ac:dyDescent="0.3">
      <c r="A214" s="17" t="s">
        <v>112</v>
      </c>
      <c r="C214" s="3">
        <v>104</v>
      </c>
      <c r="E214">
        <f t="shared" si="7"/>
        <v>112</v>
      </c>
      <c r="F214" s="3">
        <v>6.3916300000000001</v>
      </c>
      <c r="G214" s="16">
        <v>3541.41</v>
      </c>
      <c r="H214" s="13">
        <f t="shared" si="8"/>
        <v>0.98613280760523603</v>
      </c>
      <c r="I214" s="18">
        <v>554070000</v>
      </c>
      <c r="J214" s="18">
        <v>324218</v>
      </c>
      <c r="K214" s="3">
        <v>6.9695113000000003E-2</v>
      </c>
      <c r="L214" s="3">
        <v>1.1864413999999999E-4</v>
      </c>
      <c r="M214" s="18">
        <v>6.6449380000000003E-6</v>
      </c>
      <c r="N214" s="18">
        <v>7.432708E-8</v>
      </c>
      <c r="O214" s="18">
        <v>1.2574815000000001E-8</v>
      </c>
      <c r="P214" s="3" t="s">
        <v>31</v>
      </c>
      <c r="Q214" s="3">
        <v>3.3136174000000002E-3</v>
      </c>
      <c r="R214" s="3">
        <v>2.5095597E-4</v>
      </c>
      <c r="S214" s="3">
        <v>-1.4708863999999999</v>
      </c>
      <c r="T214" s="3">
        <v>4.8677998E-2</v>
      </c>
      <c r="U214" s="18">
        <v>1.9997289E-8</v>
      </c>
      <c r="V214" s="18">
        <v>1.698398E-9</v>
      </c>
      <c r="W214" s="3">
        <v>-9.8811997999999996E-4</v>
      </c>
      <c r="X214" s="3">
        <v>1.8511387000000001E-4</v>
      </c>
    </row>
    <row r="215" spans="1:24" x14ac:dyDescent="0.3">
      <c r="A215" s="17" t="s">
        <v>112</v>
      </c>
      <c r="C215" s="3">
        <v>108</v>
      </c>
      <c r="E215">
        <f t="shared" si="7"/>
        <v>116</v>
      </c>
      <c r="F215" s="3">
        <v>6.3916300000000001</v>
      </c>
      <c r="G215" s="16">
        <v>2933.84</v>
      </c>
      <c r="H215" s="13">
        <f t="shared" si="8"/>
        <v>0.81695027581233071</v>
      </c>
      <c r="I215" s="18">
        <v>459013000</v>
      </c>
      <c r="J215" s="18">
        <v>24619.8</v>
      </c>
      <c r="K215" s="3">
        <v>6.6234469000000004E-2</v>
      </c>
      <c r="L215" s="3">
        <v>5.7740709999999998E-4</v>
      </c>
      <c r="M215" s="18">
        <v>6.44535E-6</v>
      </c>
      <c r="N215" s="18">
        <v>1.1644507999999999E-7</v>
      </c>
      <c r="O215" s="18">
        <v>4.1263066999999999E-6</v>
      </c>
      <c r="P215" s="18">
        <v>7.7505968999999999E-7</v>
      </c>
      <c r="Q215" s="3">
        <v>2.3677546999999999E-3</v>
      </c>
      <c r="R215" s="3">
        <v>1.0936844E-4</v>
      </c>
      <c r="S215" s="3">
        <v>1.4248902000000001</v>
      </c>
      <c r="T215" s="3">
        <v>2.9747333000000001E-2</v>
      </c>
      <c r="U215" s="18">
        <v>3.5517241E-8</v>
      </c>
      <c r="V215" s="18">
        <v>2.0370945999999999E-9</v>
      </c>
      <c r="W215" s="3">
        <v>-8.3033597E-4</v>
      </c>
      <c r="X215" s="3">
        <v>2.2238244E-4</v>
      </c>
    </row>
    <row r="216" spans="1:24" x14ac:dyDescent="0.3">
      <c r="A216" s="17" t="s">
        <v>112</v>
      </c>
      <c r="C216" s="3">
        <v>112</v>
      </c>
      <c r="E216">
        <f t="shared" si="7"/>
        <v>120</v>
      </c>
      <c r="F216" s="3">
        <v>6.3916300000000001</v>
      </c>
      <c r="G216" s="16">
        <v>2991.48</v>
      </c>
      <c r="H216" s="13">
        <f t="shared" si="8"/>
        <v>0.83300057640739467</v>
      </c>
      <c r="I216" s="18">
        <v>468031000</v>
      </c>
      <c r="J216" s="18">
        <v>17288.599999999999</v>
      </c>
      <c r="K216" s="3">
        <v>6.3474693999999998E-2</v>
      </c>
      <c r="L216" s="3">
        <v>6.6879839000000003E-4</v>
      </c>
      <c r="M216" s="18">
        <v>6.7444514000000003E-6</v>
      </c>
      <c r="N216" s="18">
        <v>1.3358626000000001E-7</v>
      </c>
      <c r="O216" s="18">
        <v>3.6697388999999999E-7</v>
      </c>
      <c r="P216" s="18">
        <v>9.4426781000000002E-7</v>
      </c>
      <c r="Q216" s="3">
        <v>3.4518210999999999E-3</v>
      </c>
      <c r="R216" s="3">
        <v>1.2963914000000001E-4</v>
      </c>
      <c r="S216" s="3">
        <v>1.4056147000000001</v>
      </c>
      <c r="T216" s="3">
        <v>2.4224004E-2</v>
      </c>
      <c r="U216" s="18">
        <v>3.2688577000000003E-8</v>
      </c>
      <c r="V216" s="18">
        <v>1.5099367E-9</v>
      </c>
      <c r="W216" s="3">
        <v>-6.0437869999999995E-4</v>
      </c>
      <c r="X216" s="3">
        <v>2.2983808000000001E-4</v>
      </c>
    </row>
    <row r="217" spans="1:24" x14ac:dyDescent="0.3">
      <c r="A217" s="17" t="s">
        <v>112</v>
      </c>
      <c r="C217" s="3">
        <v>116</v>
      </c>
      <c r="E217">
        <f t="shared" si="7"/>
        <v>124</v>
      </c>
      <c r="F217" s="3">
        <v>6.3916300000000001</v>
      </c>
      <c r="G217" s="16">
        <v>3024.97</v>
      </c>
      <c r="H217" s="13">
        <f t="shared" si="8"/>
        <v>0.84232612406403407</v>
      </c>
      <c r="I217" s="18">
        <v>473271000</v>
      </c>
      <c r="J217" s="18">
        <v>8087.9</v>
      </c>
      <c r="K217" s="3">
        <v>6.2929559999999996E-2</v>
      </c>
      <c r="L217" s="3">
        <v>6.5236253999999998E-4</v>
      </c>
      <c r="M217" s="18">
        <v>6.9045613999999997E-6</v>
      </c>
      <c r="N217" s="18">
        <v>1.3160495E-7</v>
      </c>
      <c r="O217" s="18">
        <v>1.8801944E-6</v>
      </c>
      <c r="P217" s="18">
        <v>8.9732602000000002E-7</v>
      </c>
      <c r="Q217" s="3">
        <v>5.1697132999999999E-3</v>
      </c>
      <c r="R217" s="3">
        <v>1.2843739999999999E-4</v>
      </c>
      <c r="S217" s="3">
        <v>1.8375786000000001</v>
      </c>
      <c r="T217" s="3">
        <v>1.6104009999999998E-2</v>
      </c>
      <c r="U217" s="18">
        <v>3.1597275E-8</v>
      </c>
      <c r="V217" s="18">
        <v>9.6682030999999991E-10</v>
      </c>
      <c r="W217" s="3">
        <v>-1.6838547999999999E-4</v>
      </c>
      <c r="X217" s="3">
        <v>2.1473991E-4</v>
      </c>
    </row>
    <row r="218" spans="1:24" x14ac:dyDescent="0.3">
      <c r="A218" s="17" t="s">
        <v>112</v>
      </c>
      <c r="C218" s="3">
        <v>120</v>
      </c>
      <c r="E218">
        <f t="shared" si="7"/>
        <v>128</v>
      </c>
      <c r="F218" s="3">
        <v>6.3916300000000001</v>
      </c>
      <c r="G218" s="16">
        <v>3031.79</v>
      </c>
      <c r="H218" s="13">
        <f t="shared" si="8"/>
        <v>0.8442252054321524</v>
      </c>
      <c r="I218" s="18">
        <v>474337000</v>
      </c>
      <c r="J218" s="18">
        <v>6042.34</v>
      </c>
      <c r="K218" s="3">
        <v>6.3691661999999996E-2</v>
      </c>
      <c r="L218" s="3">
        <v>7.1579936000000001E-4</v>
      </c>
      <c r="M218" s="18">
        <v>7.0151266999999998E-6</v>
      </c>
      <c r="N218" s="18">
        <v>1.3909502000000001E-7</v>
      </c>
      <c r="O218" s="18">
        <v>5.1294668999999995E-7</v>
      </c>
      <c r="P218" s="18">
        <v>9.7922102999999993E-7</v>
      </c>
      <c r="Q218" s="3">
        <v>8.0518536000000005E-3</v>
      </c>
      <c r="R218" s="3">
        <v>1.4034784999999999E-4</v>
      </c>
      <c r="S218" s="3">
        <v>1.4256058</v>
      </c>
      <c r="T218" s="3">
        <v>1.1251176E-2</v>
      </c>
      <c r="U218" s="18">
        <v>3.0883044E-8</v>
      </c>
      <c r="V218" s="18">
        <v>6.5824890000000004E-10</v>
      </c>
      <c r="W218" s="3">
        <v>-1.6734593E-4</v>
      </c>
      <c r="X218" s="3">
        <v>2.2433758E-4</v>
      </c>
    </row>
    <row r="219" spans="1:24" x14ac:dyDescent="0.3">
      <c r="A219" s="17" t="s">
        <v>112</v>
      </c>
      <c r="C219" s="3">
        <v>124</v>
      </c>
      <c r="E219">
        <f t="shared" si="7"/>
        <v>132</v>
      </c>
      <c r="F219" s="3">
        <v>6.3916300000000001</v>
      </c>
      <c r="G219" s="16">
        <v>3009.79</v>
      </c>
      <c r="H219" s="13">
        <f t="shared" si="8"/>
        <v>0.8380991365027386</v>
      </c>
      <c r="I219" s="18">
        <v>470895000</v>
      </c>
      <c r="J219" s="18">
        <v>7093.27</v>
      </c>
      <c r="K219" s="3">
        <v>6.1852654E-2</v>
      </c>
      <c r="L219" s="3">
        <v>6.3747385999999998E-4</v>
      </c>
      <c r="M219" s="18">
        <v>6.5504525000000003E-6</v>
      </c>
      <c r="N219" s="18">
        <v>1.3426115E-7</v>
      </c>
      <c r="O219" s="18">
        <v>2.5428133E-8</v>
      </c>
      <c r="P219" s="18">
        <v>9.4652448000000003E-7</v>
      </c>
      <c r="Q219" s="3">
        <v>6.2807410000000003E-3</v>
      </c>
      <c r="R219" s="3">
        <v>1.3128502999999999E-4</v>
      </c>
      <c r="S219" s="3">
        <v>1.3685712000000001</v>
      </c>
      <c r="T219" s="3">
        <v>1.3492509E-2</v>
      </c>
      <c r="U219" s="18">
        <v>3.1324417E-8</v>
      </c>
      <c r="V219" s="18">
        <v>8.0047764000000004E-10</v>
      </c>
      <c r="W219" s="3">
        <v>-6.3330977000000004E-4</v>
      </c>
      <c r="X219" s="3">
        <v>2.3764899E-4</v>
      </c>
    </row>
    <row r="220" spans="1:24" x14ac:dyDescent="0.3">
      <c r="A220" s="17" t="s">
        <v>112</v>
      </c>
      <c r="C220" s="3">
        <v>128</v>
      </c>
      <c r="E220">
        <f t="shared" si="7"/>
        <v>136</v>
      </c>
      <c r="F220" s="3">
        <v>6.3916300000000001</v>
      </c>
      <c r="G220" s="16">
        <v>2984.62</v>
      </c>
      <c r="H220" s="13">
        <f t="shared" si="8"/>
        <v>0.83109035673213205</v>
      </c>
      <c r="I220" s="18">
        <v>466958000</v>
      </c>
      <c r="J220" s="18">
        <v>3895.45</v>
      </c>
      <c r="K220" s="3">
        <v>6.2840858999999999E-2</v>
      </c>
      <c r="L220" s="3">
        <v>6.9889013999999995E-4</v>
      </c>
      <c r="M220" s="18">
        <v>6.7563129999999997E-6</v>
      </c>
      <c r="N220" s="18">
        <v>1.4115549E-7</v>
      </c>
      <c r="O220" s="18">
        <v>2.2383880999999999E-8</v>
      </c>
      <c r="P220" s="18">
        <v>1.0000728E-6</v>
      </c>
      <c r="Q220" s="3">
        <v>9.0342876999999992E-3</v>
      </c>
      <c r="R220" s="3">
        <v>1.2937851E-4</v>
      </c>
      <c r="S220" s="3">
        <v>1.3283478</v>
      </c>
      <c r="T220" s="3">
        <v>9.2357390999999994E-3</v>
      </c>
      <c r="U220" s="18">
        <v>3.4632932000000001E-8</v>
      </c>
      <c r="V220" s="18">
        <v>6.1520163000000003E-10</v>
      </c>
      <c r="W220" s="3">
        <v>-3.3635958000000001E-4</v>
      </c>
      <c r="X220" s="3">
        <v>2.4052376999999999E-4</v>
      </c>
    </row>
    <row r="221" spans="1:24" x14ac:dyDescent="0.3">
      <c r="A221" s="17" t="s">
        <v>112</v>
      </c>
      <c r="C221" s="3">
        <v>132</v>
      </c>
      <c r="E221">
        <f t="shared" si="7"/>
        <v>140</v>
      </c>
      <c r="F221" s="3">
        <v>6.3916300000000001</v>
      </c>
      <c r="G221" s="16">
        <v>2919.69</v>
      </c>
      <c r="H221" s="13">
        <f t="shared" si="8"/>
        <v>0.81301009966000315</v>
      </c>
      <c r="I221" s="18">
        <v>456799000</v>
      </c>
      <c r="J221" s="18">
        <v>17939.8</v>
      </c>
      <c r="K221" s="3">
        <v>6.5518858999999999E-2</v>
      </c>
      <c r="L221" s="3">
        <v>8.6173412000000002E-4</v>
      </c>
      <c r="M221" s="18">
        <v>6.8154161000000004E-6</v>
      </c>
      <c r="N221" s="18">
        <v>1.3908362E-7</v>
      </c>
      <c r="O221" s="18">
        <v>1.5458635E-6</v>
      </c>
      <c r="P221" s="18">
        <v>1.1845587E-6</v>
      </c>
      <c r="Q221" s="3">
        <v>3.6042352E-3</v>
      </c>
      <c r="R221" s="3">
        <v>1.5012728999999999E-4</v>
      </c>
      <c r="S221" s="3">
        <v>0.36212926000000001</v>
      </c>
      <c r="T221" s="3">
        <v>2.541595E-2</v>
      </c>
      <c r="U221" s="18">
        <v>3.0204629999999999E-8</v>
      </c>
      <c r="V221" s="18">
        <v>1.402575E-9</v>
      </c>
      <c r="W221" s="3">
        <v>-6.0706075999999998E-4</v>
      </c>
      <c r="X221" s="3">
        <v>2.2807168000000001E-4</v>
      </c>
    </row>
    <row r="222" spans="1:24" x14ac:dyDescent="0.3">
      <c r="A222" s="17" t="s">
        <v>112</v>
      </c>
      <c r="C222" s="3">
        <v>136</v>
      </c>
      <c r="E222">
        <f t="shared" si="7"/>
        <v>144</v>
      </c>
      <c r="F222" s="3">
        <v>6.3916300000000001</v>
      </c>
      <c r="G222" s="16">
        <v>2903.62</v>
      </c>
      <c r="H222" s="13">
        <f t="shared" si="8"/>
        <v>0.80853528476474501</v>
      </c>
      <c r="I222" s="18">
        <v>454285000</v>
      </c>
      <c r="J222" s="18">
        <v>19229.400000000001</v>
      </c>
      <c r="K222" s="3">
        <v>6.1734914000000002E-2</v>
      </c>
      <c r="L222" s="3">
        <v>5.9814920000000004E-4</v>
      </c>
      <c r="M222" s="18">
        <v>6.8398840999999999E-6</v>
      </c>
      <c r="N222" s="18">
        <v>1.2790986000000001E-7</v>
      </c>
      <c r="O222" s="18">
        <v>1.1440692E-5</v>
      </c>
      <c r="P222" s="18">
        <v>7.5434273999999995E-7</v>
      </c>
      <c r="Q222" s="3">
        <v>3.9082494000000001E-3</v>
      </c>
      <c r="R222" s="3">
        <v>1.5291216000000001E-4</v>
      </c>
      <c r="S222" s="3">
        <v>2.2112121999999999</v>
      </c>
      <c r="T222" s="3">
        <v>2.4927181999999999E-2</v>
      </c>
      <c r="U222" s="18">
        <v>2.2961493000000001E-8</v>
      </c>
      <c r="V222" s="18">
        <v>1.0367143E-9</v>
      </c>
      <c r="W222" s="3">
        <v>-7.2304552000000005E-4</v>
      </c>
      <c r="X222" s="3">
        <v>1.9828765000000001E-4</v>
      </c>
    </row>
    <row r="223" spans="1:24" x14ac:dyDescent="0.3">
      <c r="A223" s="17" t="s">
        <v>112</v>
      </c>
      <c r="C223" s="3">
        <v>140</v>
      </c>
      <c r="E223">
        <f t="shared" si="7"/>
        <v>148</v>
      </c>
      <c r="F223" s="3">
        <v>6.3916300000000001</v>
      </c>
      <c r="G223" s="16">
        <v>2815.94</v>
      </c>
      <c r="H223" s="13">
        <f t="shared" si="8"/>
        <v>0.7841201155042451</v>
      </c>
      <c r="I223" s="18">
        <v>440567000</v>
      </c>
      <c r="J223" s="18">
        <v>11843.4</v>
      </c>
      <c r="K223" s="3">
        <v>5.5974968999999999E-2</v>
      </c>
      <c r="L223" s="18">
        <v>8.2927953000000001E-5</v>
      </c>
      <c r="M223" s="18">
        <v>7.2625760999999998E-6</v>
      </c>
      <c r="N223" s="18">
        <v>6.9048335999999999E-8</v>
      </c>
      <c r="O223" s="18">
        <v>2.7715980999999999E-14</v>
      </c>
      <c r="P223" s="3" t="s">
        <v>31</v>
      </c>
      <c r="Q223" s="3">
        <v>4.3940986000000001E-3</v>
      </c>
      <c r="R223" s="3">
        <v>1.2312805000000001E-4</v>
      </c>
      <c r="S223" s="3">
        <v>2.4046615</v>
      </c>
      <c r="T223" s="3">
        <v>1.8032164E-2</v>
      </c>
      <c r="U223" s="18">
        <v>3.2762635999999997E-8</v>
      </c>
      <c r="V223" s="18">
        <v>1.1268647E-9</v>
      </c>
      <c r="W223" s="3">
        <v>6.8146555999999995E-4</v>
      </c>
      <c r="X223" s="3">
        <v>1.1944699E-4</v>
      </c>
    </row>
    <row r="224" spans="1:24" x14ac:dyDescent="0.3">
      <c r="A224" s="17" t="s">
        <v>112</v>
      </c>
      <c r="C224" s="3">
        <v>144</v>
      </c>
      <c r="E224">
        <f t="shared" si="7"/>
        <v>152</v>
      </c>
      <c r="F224" s="3">
        <v>6.3916300000000001</v>
      </c>
      <c r="G224" s="16">
        <v>2784.22</v>
      </c>
      <c r="H224" s="13">
        <f t="shared" si="8"/>
        <v>0.77528743793874477</v>
      </c>
      <c r="I224" s="18">
        <v>435604000</v>
      </c>
      <c r="J224" s="18">
        <v>16153.3</v>
      </c>
      <c r="K224" s="3">
        <v>6.9232752999999994E-2</v>
      </c>
      <c r="L224" s="3">
        <v>7.0724717000000001E-4</v>
      </c>
      <c r="M224" s="18">
        <v>6.7463601999999999E-6</v>
      </c>
      <c r="N224" s="18">
        <v>1.30565E-7</v>
      </c>
      <c r="O224" s="18">
        <v>7.9404487000000003E-6</v>
      </c>
      <c r="P224" s="18">
        <v>8.4242935000000003E-7</v>
      </c>
      <c r="Q224" s="3">
        <v>3.5375421999999999E-3</v>
      </c>
      <c r="R224" s="3">
        <v>1.3807038000000001E-4</v>
      </c>
      <c r="S224" s="3">
        <v>1.7654593000000001</v>
      </c>
      <c r="T224" s="3">
        <v>2.4838936999999998E-2</v>
      </c>
      <c r="U224" s="18">
        <v>3.1373834E-8</v>
      </c>
      <c r="V224" s="18">
        <v>1.4758467E-9</v>
      </c>
      <c r="W224" s="3">
        <v>-3.2978252999999998E-4</v>
      </c>
      <c r="X224" s="3">
        <v>2.3468615000000001E-4</v>
      </c>
    </row>
    <row r="225" spans="1:24" x14ac:dyDescent="0.3">
      <c r="A225" s="17" t="s">
        <v>112</v>
      </c>
      <c r="C225" s="3">
        <v>148</v>
      </c>
      <c r="E225">
        <f t="shared" si="7"/>
        <v>156</v>
      </c>
      <c r="F225" s="3">
        <v>6.3916300000000001</v>
      </c>
      <c r="G225" s="16">
        <v>2755.88</v>
      </c>
      <c r="H225" s="13">
        <f t="shared" si="8"/>
        <v>0.76739594732694549</v>
      </c>
      <c r="I225" s="18">
        <v>431171000</v>
      </c>
      <c r="J225" s="18">
        <v>12403.6</v>
      </c>
      <c r="K225" s="3">
        <v>6.9837380000000004E-2</v>
      </c>
      <c r="L225" s="3">
        <v>6.6098274999999999E-4</v>
      </c>
      <c r="M225" s="18">
        <v>6.4799651999999998E-6</v>
      </c>
      <c r="N225" s="18">
        <v>1.2864563000000001E-7</v>
      </c>
      <c r="O225" s="18">
        <v>7.1030463000000003E-6</v>
      </c>
      <c r="P225" s="18">
        <v>8.0987109999999995E-7</v>
      </c>
      <c r="Q225" s="3">
        <v>3.3235766000000002E-3</v>
      </c>
      <c r="R225" s="3">
        <v>1.2262022E-4</v>
      </c>
      <c r="S225" s="3">
        <v>3.0272420000000002</v>
      </c>
      <c r="T225" s="3">
        <v>2.3785135999999998E-2</v>
      </c>
      <c r="U225" s="18">
        <v>3.6635191000000001E-8</v>
      </c>
      <c r="V225" s="18">
        <v>1.689784E-9</v>
      </c>
      <c r="W225" s="3">
        <v>-8.4896766999999998E-4</v>
      </c>
      <c r="X225" s="3">
        <v>2.5385758999999999E-4</v>
      </c>
    </row>
    <row r="226" spans="1:24" x14ac:dyDescent="0.3">
      <c r="A226" s="17" t="s">
        <v>112</v>
      </c>
      <c r="C226" s="3">
        <v>152</v>
      </c>
      <c r="E226">
        <f t="shared" si="7"/>
        <v>160</v>
      </c>
      <c r="F226" s="3">
        <v>6.3916300000000001</v>
      </c>
      <c r="G226" s="16">
        <v>2727.17</v>
      </c>
      <c r="H226" s="13">
        <f t="shared" si="8"/>
        <v>0.75940142737406058</v>
      </c>
      <c r="I226" s="18">
        <v>426679000</v>
      </c>
      <c r="J226" s="18">
        <v>32079.9</v>
      </c>
      <c r="K226" s="3">
        <v>5.8020122E-2</v>
      </c>
      <c r="L226" s="18">
        <v>8.3951677000000002E-5</v>
      </c>
      <c r="M226" s="18">
        <v>7.0869558999999998E-6</v>
      </c>
      <c r="N226" s="18">
        <v>6.7531408999999999E-8</v>
      </c>
      <c r="O226" s="18">
        <v>3.2681368999999998E-10</v>
      </c>
      <c r="P226" s="3" t="s">
        <v>31</v>
      </c>
      <c r="Q226" s="3">
        <v>3.3284822999999999E-3</v>
      </c>
      <c r="R226" s="3">
        <v>1.5318748E-4</v>
      </c>
      <c r="S226" s="3">
        <v>-0.88376787000000001</v>
      </c>
      <c r="T226" s="3">
        <v>2.8654702000000001E-2</v>
      </c>
      <c r="U226" s="18">
        <v>2.7415064999999999E-8</v>
      </c>
      <c r="V226" s="18">
        <v>1.4266076E-9</v>
      </c>
      <c r="W226" s="3">
        <v>5.8820058000000005E-4</v>
      </c>
      <c r="X226" s="3">
        <v>1.2381170000000001E-4</v>
      </c>
    </row>
    <row r="227" spans="1:24" x14ac:dyDescent="0.3">
      <c r="A227" s="17" t="s">
        <v>112</v>
      </c>
      <c r="C227" s="3">
        <v>156</v>
      </c>
      <c r="E227">
        <f t="shared" si="7"/>
        <v>164</v>
      </c>
      <c r="F227" s="3">
        <v>6.3916300000000001</v>
      </c>
      <c r="G227" s="16">
        <v>2734.55</v>
      </c>
      <c r="H227" s="13">
        <f t="shared" si="8"/>
        <v>0.76145644504220034</v>
      </c>
      <c r="I227" s="18">
        <v>427834000</v>
      </c>
      <c r="J227" s="18">
        <v>17487.400000000001</v>
      </c>
      <c r="K227" s="3">
        <v>6.9418059000000004E-2</v>
      </c>
      <c r="L227" s="3">
        <v>6.0885327000000003E-4</v>
      </c>
      <c r="M227" s="18">
        <v>6.1700493999999998E-6</v>
      </c>
      <c r="N227" s="18">
        <v>1.2688605000000001E-7</v>
      </c>
      <c r="O227" s="18">
        <v>2.6112282999999998E-6</v>
      </c>
      <c r="P227" s="18">
        <v>8.1682148999999998E-7</v>
      </c>
      <c r="Q227" s="3">
        <v>3.1967184E-3</v>
      </c>
      <c r="R227" s="3">
        <v>1.2538919999999999E-4</v>
      </c>
      <c r="S227" s="3">
        <v>3.0738588999999998</v>
      </c>
      <c r="T227" s="3">
        <v>2.6165082999999999E-2</v>
      </c>
      <c r="U227" s="18">
        <v>3.5255878999999999E-8</v>
      </c>
      <c r="V227" s="18">
        <v>1.7580699999999999E-9</v>
      </c>
      <c r="W227" s="3">
        <v>-1.7066269E-3</v>
      </c>
      <c r="X227" s="3">
        <v>2.7917220999999998E-4</v>
      </c>
    </row>
    <row r="228" spans="1:24" x14ac:dyDescent="0.3">
      <c r="A228" s="17" t="s">
        <v>112</v>
      </c>
      <c r="C228" s="3">
        <v>160</v>
      </c>
      <c r="E228">
        <f t="shared" si="7"/>
        <v>168</v>
      </c>
      <c r="F228" s="3">
        <v>6.3916300000000001</v>
      </c>
      <c r="G228" s="16">
        <v>2746.06</v>
      </c>
      <c r="H228" s="13">
        <f t="shared" si="8"/>
        <v>0.76466149292299812</v>
      </c>
      <c r="I228" s="18">
        <v>429633000</v>
      </c>
      <c r="J228" s="18">
        <v>14179.6</v>
      </c>
      <c r="K228" s="3">
        <v>6.7189868E-2</v>
      </c>
      <c r="L228" s="3">
        <v>6.969322E-4</v>
      </c>
      <c r="M228" s="18">
        <v>6.3616899999999997E-6</v>
      </c>
      <c r="N228" s="18">
        <v>1.3513991E-7</v>
      </c>
      <c r="O228" s="18">
        <v>2.9608183E-6</v>
      </c>
      <c r="P228" s="18">
        <v>9.4780169999999998E-7</v>
      </c>
      <c r="Q228" s="3">
        <v>3.6586122E-3</v>
      </c>
      <c r="R228" s="3">
        <v>1.3121779999999999E-4</v>
      </c>
      <c r="S228" s="3">
        <v>1.8529693</v>
      </c>
      <c r="T228" s="3">
        <v>2.2962850999999999E-2</v>
      </c>
      <c r="U228" s="18">
        <v>3.4609009999999999E-8</v>
      </c>
      <c r="V228" s="18">
        <v>1.5161926999999999E-9</v>
      </c>
      <c r="W228" s="3">
        <v>-4.3836278E-4</v>
      </c>
      <c r="X228" s="3">
        <v>2.6705258E-4</v>
      </c>
    </row>
    <row r="229" spans="1:24" x14ac:dyDescent="0.3">
      <c r="A229" s="17" t="s">
        <v>112</v>
      </c>
      <c r="C229" s="3">
        <v>164</v>
      </c>
      <c r="E229">
        <f t="shared" si="7"/>
        <v>172</v>
      </c>
      <c r="F229" s="3">
        <v>6.3916300000000001</v>
      </c>
      <c r="G229" s="16">
        <v>2770.3</v>
      </c>
      <c r="H229" s="13">
        <f t="shared" si="8"/>
        <v>0.77141130705249772</v>
      </c>
      <c r="I229" s="18">
        <v>433426000</v>
      </c>
      <c r="J229" s="18">
        <v>11856.2</v>
      </c>
      <c r="K229" s="3">
        <v>6.4610614999999996E-2</v>
      </c>
      <c r="L229" s="3">
        <v>6.2939270999999998E-4</v>
      </c>
      <c r="M229" s="18">
        <v>6.0917594E-6</v>
      </c>
      <c r="N229" s="18">
        <v>1.3478128999999999E-7</v>
      </c>
      <c r="O229" s="18">
        <v>1.2154752E-7</v>
      </c>
      <c r="P229" s="18">
        <v>9.4633362000000003E-7</v>
      </c>
      <c r="Q229" s="3">
        <v>3.8344120000000002E-3</v>
      </c>
      <c r="R229" s="3">
        <v>1.2556123E-4</v>
      </c>
      <c r="S229" s="3">
        <v>2.5547898</v>
      </c>
      <c r="T229" s="3">
        <v>2.1064049000000001E-2</v>
      </c>
      <c r="U229" s="18">
        <v>3.5488581000000003E-8</v>
      </c>
      <c r="V229" s="18">
        <v>1.4391141000000001E-9</v>
      </c>
      <c r="W229" s="3">
        <v>-1.1859124E-3</v>
      </c>
      <c r="X229" s="3">
        <v>2.8198577999999998E-4</v>
      </c>
    </row>
    <row r="230" spans="1:24" x14ac:dyDescent="0.3">
      <c r="A230" s="17" t="s">
        <v>112</v>
      </c>
      <c r="C230" s="3">
        <v>168</v>
      </c>
      <c r="E230">
        <f t="shared" si="7"/>
        <v>176</v>
      </c>
      <c r="F230" s="3">
        <v>6.3916300000000001</v>
      </c>
      <c r="G230" s="16">
        <v>2816.48</v>
      </c>
      <c r="H230" s="13">
        <f t="shared" si="8"/>
        <v>0.78427048265069432</v>
      </c>
      <c r="I230" s="18">
        <v>440651000</v>
      </c>
      <c r="J230" s="18">
        <v>30399.7</v>
      </c>
      <c r="K230" s="3">
        <v>6.6324823000000005E-2</v>
      </c>
      <c r="L230" s="18">
        <v>9.1355772999999996E-5</v>
      </c>
      <c r="M230" s="18">
        <v>6.5803735999999997E-6</v>
      </c>
      <c r="N230" s="18">
        <v>6.2264308E-8</v>
      </c>
      <c r="O230" s="18">
        <v>4.1600183999999999E-10</v>
      </c>
      <c r="P230" s="3" t="s">
        <v>31</v>
      </c>
      <c r="Q230" s="3">
        <v>2.0086631E-3</v>
      </c>
      <c r="R230" s="3">
        <v>1.2082226999999999E-4</v>
      </c>
      <c r="S230" s="3">
        <v>1.8051645999999999</v>
      </c>
      <c r="T230" s="3">
        <v>3.7493006000000002E-2</v>
      </c>
      <c r="U230" s="18">
        <v>4.0322512E-8</v>
      </c>
      <c r="V230" s="18">
        <v>2.8981917E-9</v>
      </c>
      <c r="W230" s="3">
        <v>-4.7809270999999998E-4</v>
      </c>
      <c r="X230" s="3">
        <v>1.4582281E-4</v>
      </c>
    </row>
    <row r="231" spans="1:24" x14ac:dyDescent="0.3">
      <c r="A231" s="17" t="s">
        <v>112</v>
      </c>
      <c r="C231" s="3">
        <v>172</v>
      </c>
      <c r="E231">
        <f t="shared" si="7"/>
        <v>180</v>
      </c>
      <c r="F231" s="3">
        <v>6.3916300000000001</v>
      </c>
      <c r="G231" s="16">
        <v>2863.26</v>
      </c>
      <c r="H231" s="13">
        <f t="shared" si="8"/>
        <v>0.79729673285605696</v>
      </c>
      <c r="I231" s="18">
        <v>447970000</v>
      </c>
      <c r="J231" s="18">
        <v>23629.200000000001</v>
      </c>
      <c r="K231" s="3">
        <v>6.4270496999999996E-2</v>
      </c>
      <c r="L231" s="3">
        <v>5.7200215E-4</v>
      </c>
      <c r="M231" s="18">
        <v>6.2555873999999999E-6</v>
      </c>
      <c r="N231" s="18">
        <v>1.2186764000000001E-7</v>
      </c>
      <c r="O231" s="18">
        <v>6.2766786999999998E-6</v>
      </c>
      <c r="P231" s="18">
        <v>7.9259903999999995E-7</v>
      </c>
      <c r="Q231" s="3">
        <v>2.9477021E-3</v>
      </c>
      <c r="R231" s="3">
        <v>1.3065453000000001E-4</v>
      </c>
      <c r="S231" s="3">
        <v>1.6050732000000001</v>
      </c>
      <c r="T231" s="3">
        <v>2.8264713E-2</v>
      </c>
      <c r="U231" s="18">
        <v>2.8596725E-8</v>
      </c>
      <c r="V231" s="18">
        <v>1.5095451999999999E-9</v>
      </c>
      <c r="W231" s="3">
        <v>-8.5374642000000001E-4</v>
      </c>
      <c r="X231" s="3">
        <v>2.3492609000000001E-4</v>
      </c>
    </row>
    <row r="232" spans="1:24" x14ac:dyDescent="0.3">
      <c r="A232" s="17" t="s">
        <v>112</v>
      </c>
      <c r="C232" s="3">
        <v>176</v>
      </c>
      <c r="E232">
        <f t="shared" si="7"/>
        <v>184</v>
      </c>
      <c r="F232" s="3">
        <v>6.3916300000000001</v>
      </c>
      <c r="G232" s="16">
        <v>2915.02</v>
      </c>
      <c r="H232" s="13">
        <f t="shared" si="8"/>
        <v>0.81170970230089579</v>
      </c>
      <c r="I232" s="18">
        <v>456068000</v>
      </c>
      <c r="J232" s="18">
        <v>5509.63</v>
      </c>
      <c r="K232" s="3">
        <v>5.7395323999999998E-2</v>
      </c>
      <c r="L232" s="3">
        <v>5.9389426000000002E-4</v>
      </c>
      <c r="M232" s="18">
        <v>6.4105016999999997E-6</v>
      </c>
      <c r="N232" s="18">
        <v>1.4364259000000001E-7</v>
      </c>
      <c r="O232" s="18">
        <v>5.6073048000000001E-6</v>
      </c>
      <c r="P232" s="18">
        <v>9.0761617E-7</v>
      </c>
      <c r="Q232" s="3">
        <v>7.3063687000000004E-3</v>
      </c>
      <c r="R232" s="3">
        <v>1.3517824E-4</v>
      </c>
      <c r="S232" s="3">
        <v>2.617032</v>
      </c>
      <c r="T232" s="3">
        <v>1.1930156000000001E-2</v>
      </c>
      <c r="U232" s="18">
        <v>2.8909840000000001E-8</v>
      </c>
      <c r="V232" s="18">
        <v>6.4884975000000001E-10</v>
      </c>
      <c r="W232" s="3">
        <v>-9.3675235000000002E-4</v>
      </c>
      <c r="X232" s="3">
        <v>2.4036019000000001E-4</v>
      </c>
    </row>
    <row r="233" spans="1:24" x14ac:dyDescent="0.3">
      <c r="A233" s="17" t="s">
        <v>112</v>
      </c>
      <c r="C233" s="3">
        <v>180</v>
      </c>
      <c r="E233">
        <f t="shared" si="7"/>
        <v>188</v>
      </c>
      <c r="F233" s="3">
        <v>6.3916300000000001</v>
      </c>
      <c r="G233" s="16">
        <v>2918.5</v>
      </c>
      <c r="H233" s="13">
        <f t="shared" si="8"/>
        <v>0.81267873502245758</v>
      </c>
      <c r="I233" s="18">
        <v>456612000</v>
      </c>
      <c r="J233" s="18">
        <v>10952.7</v>
      </c>
      <c r="K233" s="3">
        <v>5.7714972000000003E-2</v>
      </c>
      <c r="L233" s="18">
        <v>9.4356176000000004E-5</v>
      </c>
      <c r="M233" s="18">
        <v>5.9925357000000001E-6</v>
      </c>
      <c r="N233" s="18">
        <v>6.2719651E-8</v>
      </c>
      <c r="O233" s="18">
        <v>1.9995951000000001E-9</v>
      </c>
      <c r="P233" s="3" t="s">
        <v>31</v>
      </c>
      <c r="Q233" s="3">
        <v>4.8505941000000002E-3</v>
      </c>
      <c r="R233" s="3">
        <v>1.3030931000000001E-4</v>
      </c>
      <c r="S233" s="3">
        <v>0.95039406000000004</v>
      </c>
      <c r="T233" s="3">
        <v>1.7196342E-2</v>
      </c>
      <c r="U233" s="18">
        <v>2.8862434E-8</v>
      </c>
      <c r="V233" s="18">
        <v>9.2457485000000004E-10</v>
      </c>
      <c r="W233" s="3">
        <v>-9.3934982E-4</v>
      </c>
      <c r="X233" s="3">
        <v>1.5198332999999999E-4</v>
      </c>
    </row>
    <row r="234" spans="1:24" x14ac:dyDescent="0.3">
      <c r="A234" s="17" t="s">
        <v>112</v>
      </c>
      <c r="C234" s="3">
        <v>184</v>
      </c>
      <c r="E234">
        <f t="shared" si="7"/>
        <v>192</v>
      </c>
      <c r="F234" s="3">
        <v>6.3916300000000001</v>
      </c>
      <c r="G234" s="16">
        <v>2877.57</v>
      </c>
      <c r="H234" s="13">
        <f t="shared" si="8"/>
        <v>0.80128146223696195</v>
      </c>
      <c r="I234" s="18">
        <v>450209000</v>
      </c>
      <c r="J234" s="18">
        <v>11218.6</v>
      </c>
      <c r="K234" s="3">
        <v>5.8954757000000003E-2</v>
      </c>
      <c r="L234" s="3">
        <v>5.6647957000000005E-4</v>
      </c>
      <c r="M234" s="18">
        <v>6.1740682999999997E-6</v>
      </c>
      <c r="N234" s="18">
        <v>1.3149255000000001E-7</v>
      </c>
      <c r="O234" s="18">
        <v>1.1339360999999999E-6</v>
      </c>
      <c r="P234" s="18">
        <v>9.1354174000000003E-7</v>
      </c>
      <c r="Q234" s="3">
        <v>3.8650246000000001E-3</v>
      </c>
      <c r="R234" s="3">
        <v>1.1553154E-4</v>
      </c>
      <c r="S234" s="3">
        <v>1.6952864000000001</v>
      </c>
      <c r="T234" s="3">
        <v>1.9207309999999998E-2</v>
      </c>
      <c r="U234" s="18">
        <v>3.3830535999999998E-8</v>
      </c>
      <c r="V234" s="18">
        <v>1.2429489E-9</v>
      </c>
      <c r="W234" s="3">
        <v>-8.2624399E-4</v>
      </c>
      <c r="X234" s="3">
        <v>2.4402321000000001E-4</v>
      </c>
    </row>
    <row r="235" spans="1:24" x14ac:dyDescent="0.3">
      <c r="A235" s="17" t="s">
        <v>112</v>
      </c>
      <c r="C235" s="3">
        <v>188</v>
      </c>
      <c r="E235">
        <f t="shared" si="7"/>
        <v>196</v>
      </c>
      <c r="F235" s="3">
        <v>6.3916300000000001</v>
      </c>
      <c r="G235" s="16">
        <v>2824.06</v>
      </c>
      <c r="H235" s="13">
        <f t="shared" si="8"/>
        <v>0.78638119185455602</v>
      </c>
      <c r="I235" s="18">
        <v>441837000</v>
      </c>
      <c r="J235" s="18">
        <v>24366.799999999999</v>
      </c>
      <c r="K235" s="3">
        <v>5.7712263E-2</v>
      </c>
      <c r="L235" s="3">
        <v>5.4704077999999997E-4</v>
      </c>
      <c r="M235" s="18">
        <v>6.2332585999999999E-6</v>
      </c>
      <c r="N235" s="18">
        <v>1.2876035E-7</v>
      </c>
      <c r="O235" s="18">
        <v>1.7881896000000001E-8</v>
      </c>
      <c r="P235" s="18">
        <v>9.0421599999999998E-7</v>
      </c>
      <c r="Q235" s="3">
        <v>1.9372233E-3</v>
      </c>
      <c r="R235" s="18">
        <v>9.4625640999999996E-5</v>
      </c>
      <c r="S235" s="3">
        <v>2.8753810999999998</v>
      </c>
      <c r="T235" s="3">
        <v>3.1913705000000001E-2</v>
      </c>
      <c r="U235" s="18">
        <v>4.1791812000000001E-8</v>
      </c>
      <c r="V235" s="18">
        <v>2.6107347E-9</v>
      </c>
      <c r="W235" s="3">
        <v>-5.6238987000000005E-4</v>
      </c>
      <c r="X235" s="3">
        <v>2.3161743E-4</v>
      </c>
    </row>
    <row r="236" spans="1:24" x14ac:dyDescent="0.3">
      <c r="A236" s="17" t="s">
        <v>113</v>
      </c>
      <c r="C236" s="3">
        <v>-8</v>
      </c>
      <c r="F236" s="3">
        <v>6.3792099999999996</v>
      </c>
      <c r="G236" s="16">
        <v>2801.71</v>
      </c>
      <c r="H236" s="13">
        <f t="shared" si="8"/>
        <v>0.78015766273762888</v>
      </c>
      <c r="I236" s="18">
        <v>439193000</v>
      </c>
      <c r="J236" s="18">
        <v>6445.94</v>
      </c>
      <c r="K236" s="3">
        <v>5.2007142999999999E-2</v>
      </c>
      <c r="L236" s="3">
        <v>5.3253440999999997E-4</v>
      </c>
      <c r="M236" s="18">
        <v>6.3053959999999997E-6</v>
      </c>
      <c r="N236" s="18">
        <v>1.3136119999999999E-7</v>
      </c>
      <c r="O236" s="18">
        <v>7.4747818E-6</v>
      </c>
      <c r="P236" s="18">
        <v>8.8592043999999999E-7</v>
      </c>
      <c r="Q236" s="3">
        <v>5.0883164E-3</v>
      </c>
      <c r="R236" s="3">
        <v>1.0377234000000001E-4</v>
      </c>
      <c r="S236" s="3">
        <v>0.98202792999999999</v>
      </c>
      <c r="T236" s="3">
        <v>1.2979821000000001E-2</v>
      </c>
      <c r="U236" s="18">
        <v>3.4013983999999998E-8</v>
      </c>
      <c r="V236" s="18">
        <v>8.4264737999999999E-10</v>
      </c>
      <c r="W236" s="3">
        <v>-1.2118694000000001E-3</v>
      </c>
      <c r="X236" s="3">
        <v>1.9623551999999999E-4</v>
      </c>
    </row>
    <row r="237" spans="1:24" x14ac:dyDescent="0.3">
      <c r="A237" s="17" t="s">
        <v>113</v>
      </c>
      <c r="C237" s="3">
        <v>-4</v>
      </c>
      <c r="F237" s="3">
        <v>6.3792099999999996</v>
      </c>
      <c r="G237" s="16">
        <v>2855.21</v>
      </c>
      <c r="H237" s="13">
        <f t="shared" si="8"/>
        <v>0.79505514854324866</v>
      </c>
      <c r="I237" s="18">
        <v>447580000</v>
      </c>
      <c r="J237" s="18">
        <v>5928.26</v>
      </c>
      <c r="K237" s="3">
        <v>5.0831983999999997E-2</v>
      </c>
      <c r="L237" s="3">
        <v>5.1088225000000002E-4</v>
      </c>
      <c r="M237" s="18">
        <v>6.5276462999999998E-6</v>
      </c>
      <c r="N237" s="18">
        <v>1.2651013000000001E-7</v>
      </c>
      <c r="O237" s="18">
        <v>4.2857003000000001E-6</v>
      </c>
      <c r="P237" s="18">
        <v>8.7550135999999998E-7</v>
      </c>
      <c r="Q237" s="3">
        <v>5.1233127999999999E-3</v>
      </c>
      <c r="R237" s="18">
        <v>9.5939767999999998E-5</v>
      </c>
      <c r="S237" s="3">
        <v>1.7974840999999999</v>
      </c>
      <c r="T237" s="3">
        <v>1.2049602E-2</v>
      </c>
      <c r="U237" s="18">
        <v>3.5262275999999997E-8</v>
      </c>
      <c r="V237" s="18">
        <v>8.1646669000000001E-10</v>
      </c>
      <c r="W237" s="3">
        <v>-1.9606920000000001E-4</v>
      </c>
      <c r="X237" s="3">
        <v>1.7751082999999999E-4</v>
      </c>
    </row>
    <row r="238" spans="1:24" x14ac:dyDescent="0.3">
      <c r="A238" s="17" t="s">
        <v>113</v>
      </c>
      <c r="C238" s="3">
        <v>0</v>
      </c>
      <c r="F238" s="3">
        <v>6.3792099999999996</v>
      </c>
      <c r="G238" s="16">
        <v>2902.28</v>
      </c>
      <c r="H238" s="13">
        <f t="shared" si="8"/>
        <v>0.80816215147540804</v>
      </c>
      <c r="I238" s="18">
        <v>454959000</v>
      </c>
      <c r="J238" s="18">
        <v>6321.71</v>
      </c>
      <c r="K238" s="3">
        <v>7.1808752000000003E-2</v>
      </c>
      <c r="L238" s="3">
        <v>5.1769757999999997E-4</v>
      </c>
      <c r="M238" s="18">
        <v>5.8369789000000003E-6</v>
      </c>
      <c r="N238" s="18">
        <v>1.0116956E-7</v>
      </c>
      <c r="O238" s="18">
        <v>8.4213356000000006E-6</v>
      </c>
      <c r="P238" s="18">
        <v>6.5866474000000004E-7</v>
      </c>
      <c r="Q238" s="3">
        <v>9.2189907000000005E-3</v>
      </c>
      <c r="R238" s="3">
        <v>1.2681703999999999E-4</v>
      </c>
      <c r="S238" s="3">
        <v>0.81095720000000004</v>
      </c>
      <c r="T238" s="3">
        <v>8.7712342999999998E-3</v>
      </c>
      <c r="U238" s="18">
        <v>2.8441987E-8</v>
      </c>
      <c r="V238" s="18">
        <v>4.6304432E-10</v>
      </c>
      <c r="W238" s="3">
        <v>-1.9249117000000001E-3</v>
      </c>
      <c r="X238" s="3">
        <v>2.3882556E-4</v>
      </c>
    </row>
    <row r="239" spans="1:24" x14ac:dyDescent="0.3">
      <c r="A239" s="17" t="s">
        <v>113</v>
      </c>
      <c r="C239" s="3">
        <v>4</v>
      </c>
      <c r="F239" s="3">
        <v>6.3792099999999996</v>
      </c>
      <c r="G239" s="16">
        <v>2918.79</v>
      </c>
      <c r="H239" s="13">
        <f t="shared" si="8"/>
        <v>0.81275948774925444</v>
      </c>
      <c r="I239" s="18">
        <v>457547000</v>
      </c>
      <c r="J239" s="18">
        <v>6187.76</v>
      </c>
      <c r="K239" s="3">
        <v>6.7085768000000004E-2</v>
      </c>
      <c r="L239" s="3">
        <v>4.4671042999999997E-4</v>
      </c>
      <c r="M239" s="18">
        <v>5.5525222999999998E-6</v>
      </c>
      <c r="N239" s="18">
        <v>9.9244176000000002E-8</v>
      </c>
      <c r="O239" s="18">
        <v>6.0962412999999996E-6</v>
      </c>
      <c r="P239" s="18">
        <v>6.5285225000000004E-7</v>
      </c>
      <c r="Q239" s="3">
        <v>1.0150724999999999E-2</v>
      </c>
      <c r="R239" s="3">
        <v>1.2471575999999999E-4</v>
      </c>
      <c r="S239" s="3">
        <v>1.1702486000000001</v>
      </c>
      <c r="T239" s="3">
        <v>7.8249379000000004E-3</v>
      </c>
      <c r="U239" s="18">
        <v>2.6502021000000001E-8</v>
      </c>
      <c r="V239" s="18">
        <v>3.8249758999999999E-10</v>
      </c>
      <c r="W239" s="3">
        <v>-2.8588382999999999E-3</v>
      </c>
      <c r="X239" s="3">
        <v>2.4192939000000001E-4</v>
      </c>
    </row>
    <row r="240" spans="1:24" x14ac:dyDescent="0.3">
      <c r="A240" s="17" t="s">
        <v>113</v>
      </c>
      <c r="C240" s="3">
        <v>8</v>
      </c>
      <c r="F240" s="3">
        <v>6.3792099999999996</v>
      </c>
      <c r="G240" s="16">
        <v>2885.36</v>
      </c>
      <c r="H240" s="13">
        <f t="shared" si="8"/>
        <v>0.80345064755333162</v>
      </c>
      <c r="I240" s="18">
        <v>452306000</v>
      </c>
      <c r="J240" s="18">
        <v>6943.17</v>
      </c>
      <c r="K240" s="3">
        <v>5.6410426E-2</v>
      </c>
      <c r="L240" s="3">
        <v>4.870303E-4</v>
      </c>
      <c r="M240" s="18">
        <v>6.1848492000000002E-6</v>
      </c>
      <c r="N240" s="18">
        <v>1.1303752E-7</v>
      </c>
      <c r="O240" s="18">
        <v>4.7329421999999998E-6</v>
      </c>
      <c r="P240" s="18">
        <v>7.8095042999999999E-7</v>
      </c>
      <c r="Q240" s="3">
        <v>8.1940533000000003E-3</v>
      </c>
      <c r="R240" s="3">
        <v>1.2384474000000001E-4</v>
      </c>
      <c r="S240" s="3">
        <v>1.1684254000000001</v>
      </c>
      <c r="T240" s="3">
        <v>9.5884173000000007E-3</v>
      </c>
      <c r="U240" s="18">
        <v>2.5526448E-8</v>
      </c>
      <c r="V240" s="18">
        <v>4.4820241999999999E-10</v>
      </c>
      <c r="W240" s="3">
        <v>-1.7330743999999999E-3</v>
      </c>
      <c r="X240" s="3">
        <v>1.9270383999999999E-4</v>
      </c>
    </row>
    <row r="241" spans="1:24" x14ac:dyDescent="0.3">
      <c r="A241" s="17" t="s">
        <v>113</v>
      </c>
      <c r="C241" s="3">
        <v>12</v>
      </c>
      <c r="F241" s="3">
        <v>6.3792099999999996</v>
      </c>
      <c r="G241" s="16">
        <v>2836.8</v>
      </c>
      <c r="H241" s="13">
        <f t="shared" si="8"/>
        <v>0.78992874268004387</v>
      </c>
      <c r="I241" s="18">
        <v>444694000</v>
      </c>
      <c r="J241" s="18">
        <v>7100.36</v>
      </c>
      <c r="K241" s="3">
        <v>6.4121224000000004E-2</v>
      </c>
      <c r="L241" s="3">
        <v>4.8958344000000001E-4</v>
      </c>
      <c r="M241" s="18">
        <v>5.9037952999999996E-6</v>
      </c>
      <c r="N241" s="18">
        <v>1.0454804E-7</v>
      </c>
      <c r="O241" s="18">
        <v>3.9596798999999999E-6</v>
      </c>
      <c r="P241" s="18">
        <v>7.2354355000000005E-7</v>
      </c>
      <c r="Q241" s="3">
        <v>8.1377476999999997E-3</v>
      </c>
      <c r="R241" s="3">
        <v>1.1990055E-4</v>
      </c>
      <c r="S241" s="3">
        <v>1.5282182</v>
      </c>
      <c r="T241" s="3">
        <v>9.3809597999999998E-3</v>
      </c>
      <c r="U241" s="18">
        <v>2.8300236000000001E-8</v>
      </c>
      <c r="V241" s="18">
        <v>4.9404245000000004E-10</v>
      </c>
      <c r="W241" s="3">
        <v>-1.1249440999999999E-3</v>
      </c>
      <c r="X241" s="3">
        <v>2.2066782E-4</v>
      </c>
    </row>
    <row r="242" spans="1:24" x14ac:dyDescent="0.3">
      <c r="A242" s="17" t="s">
        <v>113</v>
      </c>
      <c r="C242" s="3">
        <v>16</v>
      </c>
      <c r="F242" s="3">
        <v>6.3792099999999996</v>
      </c>
      <c r="G242" s="16">
        <v>2788.31</v>
      </c>
      <c r="H242" s="13">
        <f t="shared" si="8"/>
        <v>0.77642632984425863</v>
      </c>
      <c r="I242" s="18">
        <v>437093000</v>
      </c>
      <c r="J242" s="18">
        <v>7211.36</v>
      </c>
      <c r="K242" s="3">
        <v>6.1289428E-2</v>
      </c>
      <c r="L242" s="3">
        <v>4.8522989000000002E-4</v>
      </c>
      <c r="M242" s="18">
        <v>5.9670042999999997E-6</v>
      </c>
      <c r="N242" s="18">
        <v>1.099306E-7</v>
      </c>
      <c r="O242" s="18">
        <v>4.8002975000000003E-6</v>
      </c>
      <c r="P242" s="18">
        <v>7.3559123999999998E-7</v>
      </c>
      <c r="Q242" s="3">
        <v>7.3020098000000002E-3</v>
      </c>
      <c r="R242" s="3">
        <v>1.1430136E-4</v>
      </c>
      <c r="S242" s="3">
        <v>2.6548435000000001</v>
      </c>
      <c r="T242" s="3">
        <v>1.0029311000000001E-2</v>
      </c>
      <c r="U242" s="18">
        <v>2.9997405000000001E-8</v>
      </c>
      <c r="V242" s="18">
        <v>5.6711552E-10</v>
      </c>
      <c r="W242" s="3">
        <v>-1.7527509000000001E-3</v>
      </c>
      <c r="X242" s="3">
        <v>2.1812671999999999E-4</v>
      </c>
    </row>
    <row r="243" spans="1:24" x14ac:dyDescent="0.3">
      <c r="A243" s="17" t="s">
        <v>113</v>
      </c>
      <c r="C243" s="3">
        <v>20</v>
      </c>
      <c r="F243" s="3">
        <v>6.3792099999999996</v>
      </c>
      <c r="G243" s="16">
        <v>2746.26</v>
      </c>
      <c r="H243" s="13">
        <f t="shared" si="8"/>
        <v>0.76471718445872006</v>
      </c>
      <c r="I243" s="18">
        <v>430501000</v>
      </c>
      <c r="J243" s="18">
        <v>6144.38</v>
      </c>
      <c r="K243" s="3">
        <v>7.5019181000000004E-2</v>
      </c>
      <c r="L243" s="3">
        <v>5.4963731999999998E-4</v>
      </c>
      <c r="M243" s="18">
        <v>5.9979785000000004E-6</v>
      </c>
      <c r="N243" s="18">
        <v>9.8259463000000005E-8</v>
      </c>
      <c r="O243" s="18">
        <v>6.0504132000000002E-6</v>
      </c>
      <c r="P243" s="18">
        <v>6.7099642000000005E-7</v>
      </c>
      <c r="Q243" s="3">
        <v>8.5288431000000008E-3</v>
      </c>
      <c r="R243" s="3">
        <v>1.2232723000000001E-4</v>
      </c>
      <c r="S243" s="3">
        <v>1.9169326</v>
      </c>
      <c r="T243" s="3">
        <v>9.1691907999999992E-3</v>
      </c>
      <c r="U243" s="18">
        <v>3.0522736000000003E-8</v>
      </c>
      <c r="V243" s="18">
        <v>5.2345943999999996E-10</v>
      </c>
      <c r="W243" s="3">
        <v>-1.5168270000000001E-3</v>
      </c>
      <c r="X243" s="3">
        <v>2.3305818E-4</v>
      </c>
    </row>
    <row r="244" spans="1:24" x14ac:dyDescent="0.3">
      <c r="A244" s="17" t="s">
        <v>113</v>
      </c>
      <c r="C244" s="3">
        <v>24</v>
      </c>
      <c r="F244" s="3">
        <v>6.3792099999999996</v>
      </c>
      <c r="G244" s="16">
        <v>2707.68</v>
      </c>
      <c r="H244" s="13">
        <f t="shared" si="8"/>
        <v>0.75397428721795712</v>
      </c>
      <c r="I244" s="18">
        <v>424453000</v>
      </c>
      <c r="J244" s="18">
        <v>7723.74</v>
      </c>
      <c r="K244" s="3">
        <v>6.6067204000000004E-2</v>
      </c>
      <c r="L244" s="3">
        <v>5.9418141000000004E-4</v>
      </c>
      <c r="M244" s="18">
        <v>6.3498458999999998E-6</v>
      </c>
      <c r="N244" s="18">
        <v>1.122076E-7</v>
      </c>
      <c r="O244" s="18">
        <v>8.2883649999999994E-6</v>
      </c>
      <c r="P244" s="18">
        <v>7.6966340000000002E-7</v>
      </c>
      <c r="Q244" s="3">
        <v>7.0288733999999999E-3</v>
      </c>
      <c r="R244" s="3">
        <v>1.2387227999999999E-4</v>
      </c>
      <c r="S244" s="3">
        <v>1.1989993000000001</v>
      </c>
      <c r="T244" s="3">
        <v>1.1171365000000001E-2</v>
      </c>
      <c r="U244" s="18">
        <v>2.9854986E-8</v>
      </c>
      <c r="V244" s="18">
        <v>6.1887621000000001E-10</v>
      </c>
      <c r="W244" s="3">
        <v>-1.1414515000000001E-3</v>
      </c>
      <c r="X244" s="3">
        <v>2.0805654000000001E-4</v>
      </c>
    </row>
    <row r="245" spans="1:24" x14ac:dyDescent="0.3">
      <c r="A245" s="17" t="s">
        <v>113</v>
      </c>
      <c r="C245" s="3">
        <v>28</v>
      </c>
      <c r="F245" s="3">
        <v>6.3792099999999996</v>
      </c>
      <c r="G245" s="16">
        <v>2679.1</v>
      </c>
      <c r="H245" s="13">
        <f t="shared" si="8"/>
        <v>0.7460159667632914</v>
      </c>
      <c r="I245" s="18">
        <v>419973000</v>
      </c>
      <c r="J245" s="18">
        <v>7638.84</v>
      </c>
      <c r="K245" s="3">
        <v>6.8829916000000005E-2</v>
      </c>
      <c r="L245" s="3">
        <v>5.6075598999999997E-4</v>
      </c>
      <c r="M245" s="18">
        <v>5.9436388000000003E-6</v>
      </c>
      <c r="N245" s="18">
        <v>1.0488949999999999E-7</v>
      </c>
      <c r="O245" s="18">
        <v>5.2442396000000002E-6</v>
      </c>
      <c r="P245" s="18">
        <v>7.6155438999999998E-7</v>
      </c>
      <c r="Q245" s="3">
        <v>7.6428731000000001E-3</v>
      </c>
      <c r="R245" s="3">
        <v>1.2165083000000001E-4</v>
      </c>
      <c r="S245" s="3">
        <v>0.69106906000000001</v>
      </c>
      <c r="T245" s="3">
        <v>1.0044945E-2</v>
      </c>
      <c r="U245" s="18">
        <v>3.0239995E-8</v>
      </c>
      <c r="V245" s="18">
        <v>5.6250867999999997E-10</v>
      </c>
      <c r="W245" s="3">
        <v>-1.5505591E-3</v>
      </c>
      <c r="X245" s="3">
        <v>2.2987455999999999E-4</v>
      </c>
    </row>
    <row r="246" spans="1:24" x14ac:dyDescent="0.3">
      <c r="A246" s="17" t="s">
        <v>113</v>
      </c>
      <c r="C246" s="3">
        <v>32</v>
      </c>
      <c r="F246" s="3">
        <v>6.3792099999999996</v>
      </c>
      <c r="G246" s="16">
        <v>2647.64</v>
      </c>
      <c r="H246" s="13">
        <f t="shared" si="8"/>
        <v>0.73725568819422971</v>
      </c>
      <c r="I246" s="18">
        <v>415042000</v>
      </c>
      <c r="J246" s="18">
        <v>9788.2900000000009</v>
      </c>
      <c r="K246" s="3">
        <v>6.1654476999999999E-2</v>
      </c>
      <c r="L246" s="18">
        <v>7.6459744999999999E-5</v>
      </c>
      <c r="M246" s="18">
        <v>6.8681559000000003E-6</v>
      </c>
      <c r="N246" s="18">
        <v>5.5741317999999998E-8</v>
      </c>
      <c r="O246" s="18">
        <v>2.0785113000000001E-9</v>
      </c>
      <c r="P246" s="3" t="s">
        <v>31</v>
      </c>
      <c r="Q246" s="3">
        <v>5.9634518999999997E-3</v>
      </c>
      <c r="R246" s="3">
        <v>1.2091202E-4</v>
      </c>
      <c r="S246" s="3">
        <v>2.0396510999999999</v>
      </c>
      <c r="T246" s="3">
        <v>1.2973500000000001E-2</v>
      </c>
      <c r="U246" s="18">
        <v>3.1429255000000002E-8</v>
      </c>
      <c r="V246" s="18">
        <v>7.6118385000000004E-10</v>
      </c>
      <c r="W246" s="3">
        <v>-3.9632732E-4</v>
      </c>
      <c r="X246" s="3">
        <v>1.1356096E-4</v>
      </c>
    </row>
    <row r="247" spans="1:24" x14ac:dyDescent="0.3">
      <c r="A247" s="17" t="s">
        <v>113</v>
      </c>
      <c r="C247" s="3">
        <v>36</v>
      </c>
      <c r="F247" s="3">
        <v>6.3792099999999996</v>
      </c>
      <c r="G247" s="16">
        <v>2641.63</v>
      </c>
      <c r="H247" s="13">
        <f t="shared" si="8"/>
        <v>0.73558215754578538</v>
      </c>
      <c r="I247" s="18">
        <v>414100000</v>
      </c>
      <c r="J247" s="18">
        <v>11211.5</v>
      </c>
      <c r="K247" s="3">
        <v>6.2138818999999998E-2</v>
      </c>
      <c r="L247" s="18">
        <v>7.3644292E-5</v>
      </c>
      <c r="M247" s="18">
        <v>6.9623952999999999E-6</v>
      </c>
      <c r="N247" s="18">
        <v>5.3624983000000003E-8</v>
      </c>
      <c r="O247" s="18">
        <v>2.0470166E-11</v>
      </c>
      <c r="P247" s="3" t="s">
        <v>31</v>
      </c>
      <c r="Q247" s="3">
        <v>5.9472222000000003E-3</v>
      </c>
      <c r="R247" s="3">
        <v>1.2204937E-4</v>
      </c>
      <c r="S247" s="3">
        <v>2.1803446000000002</v>
      </c>
      <c r="T247" s="3">
        <v>1.3141276E-2</v>
      </c>
      <c r="U247" s="18">
        <v>2.9823768000000002E-8</v>
      </c>
      <c r="V247" s="18">
        <v>7.2473065000000004E-10</v>
      </c>
      <c r="W247" s="18">
        <v>-4.0285187000000003E-5</v>
      </c>
      <c r="X247" s="3">
        <v>1.0766176E-4</v>
      </c>
    </row>
    <row r="248" spans="1:24" x14ac:dyDescent="0.3">
      <c r="A248" s="17" t="s">
        <v>113</v>
      </c>
      <c r="C248" s="3">
        <v>40</v>
      </c>
      <c r="F248" s="3">
        <v>6.3792099999999996</v>
      </c>
      <c r="G248" s="16">
        <v>2645.04</v>
      </c>
      <c r="H248" s="13">
        <f t="shared" si="8"/>
        <v>0.73653169822984454</v>
      </c>
      <c r="I248" s="18">
        <v>414635000</v>
      </c>
      <c r="J248" s="18">
        <v>11607</v>
      </c>
      <c r="K248" s="3">
        <v>6.4437836999999998E-2</v>
      </c>
      <c r="L248" s="18">
        <v>7.9961635999999995E-5</v>
      </c>
      <c r="M248" s="18">
        <v>6.9944219999999997E-6</v>
      </c>
      <c r="N248" s="18">
        <v>5.6294620999999997E-8</v>
      </c>
      <c r="O248" s="18">
        <v>3.2231751999999998E-11</v>
      </c>
      <c r="P248" s="3" t="s">
        <v>31</v>
      </c>
      <c r="Q248" s="3">
        <v>6.3174970999999996E-3</v>
      </c>
      <c r="R248" s="3">
        <v>1.3774125000000001E-4</v>
      </c>
      <c r="S248" s="3">
        <v>1.8685124</v>
      </c>
      <c r="T248" s="3">
        <v>1.3901098000000001E-2</v>
      </c>
      <c r="U248" s="18">
        <v>2.8702190999999999E-8</v>
      </c>
      <c r="V248" s="18">
        <v>7.3298806000000001E-10</v>
      </c>
      <c r="W248" s="18">
        <v>-5.0307847000000002E-5</v>
      </c>
      <c r="X248" s="3">
        <v>1.1618819000000001E-4</v>
      </c>
    </row>
    <row r="249" spans="1:24" x14ac:dyDescent="0.3">
      <c r="A249" s="17" t="s">
        <v>113</v>
      </c>
      <c r="C249" s="3">
        <v>44</v>
      </c>
      <c r="F249" s="3">
        <v>6.3792099999999996</v>
      </c>
      <c r="G249" s="16">
        <v>2689.64</v>
      </c>
      <c r="H249" s="13">
        <f t="shared" si="8"/>
        <v>0.74895091069583786</v>
      </c>
      <c r="I249" s="18">
        <v>421626000</v>
      </c>
      <c r="J249" s="18">
        <v>11512.8</v>
      </c>
      <c r="K249" s="3">
        <v>3.8346937999999997E-2</v>
      </c>
      <c r="L249" s="3">
        <v>5.0774874E-4</v>
      </c>
      <c r="M249" s="18">
        <v>6.7773328999999998E-6</v>
      </c>
      <c r="N249" s="18">
        <v>1.5816324999999999E-7</v>
      </c>
      <c r="O249" s="18">
        <v>6.8907984999999996E-8</v>
      </c>
      <c r="P249" s="18">
        <v>1.1790381999999999E-6</v>
      </c>
      <c r="Q249" s="3">
        <v>3.5588146999999998E-3</v>
      </c>
      <c r="R249" s="18">
        <v>9.5802526000000001E-5</v>
      </c>
      <c r="S249" s="3">
        <v>2.8150710999999999</v>
      </c>
      <c r="T249" s="3">
        <v>1.7228446000000001E-2</v>
      </c>
      <c r="U249" s="18">
        <v>3.3527340999999999E-8</v>
      </c>
      <c r="V249" s="18">
        <v>1.1054229E-9</v>
      </c>
      <c r="W249" s="3">
        <v>-1.9748819E-4</v>
      </c>
      <c r="X249" s="3">
        <v>1.5948302999999999E-4</v>
      </c>
    </row>
    <row r="250" spans="1:24" x14ac:dyDescent="0.3">
      <c r="A250" s="17" t="s">
        <v>113</v>
      </c>
      <c r="C250" s="3">
        <v>48</v>
      </c>
      <c r="F250" s="3">
        <v>6.3792099999999996</v>
      </c>
      <c r="G250" s="16">
        <v>2709.99</v>
      </c>
      <c r="H250" s="13">
        <f t="shared" si="8"/>
        <v>0.75461752445554553</v>
      </c>
      <c r="I250" s="18">
        <v>424816000</v>
      </c>
      <c r="J250" s="18">
        <v>9111.58</v>
      </c>
      <c r="K250" s="3">
        <v>5.6308496999999999E-2</v>
      </c>
      <c r="L250" s="3">
        <v>6.1321377999999996E-4</v>
      </c>
      <c r="M250" s="18">
        <v>6.7614883999999998E-6</v>
      </c>
      <c r="N250" s="18">
        <v>1.3142192E-7</v>
      </c>
      <c r="O250" s="18">
        <v>5.8606193000000004E-6</v>
      </c>
      <c r="P250" s="18">
        <v>9.1211807999999996E-7</v>
      </c>
      <c r="Q250" s="3">
        <v>5.8277881999999996E-3</v>
      </c>
      <c r="R250" s="3">
        <v>1.351259E-4</v>
      </c>
      <c r="S250" s="3">
        <v>2.3087569999999999</v>
      </c>
      <c r="T250" s="3">
        <v>1.4686339E-2</v>
      </c>
      <c r="U250" s="18">
        <v>2.7021786E-8</v>
      </c>
      <c r="V250" s="18">
        <v>7.3296422E-10</v>
      </c>
      <c r="W250" s="18">
        <v>-4.6390826000000001E-5</v>
      </c>
      <c r="X250" s="3">
        <v>1.8929217E-4</v>
      </c>
    </row>
    <row r="251" spans="1:24" x14ac:dyDescent="0.3">
      <c r="A251" s="17" t="s">
        <v>113</v>
      </c>
      <c r="C251" s="3">
        <v>52</v>
      </c>
      <c r="F251" s="3">
        <v>6.3792099999999996</v>
      </c>
      <c r="G251" s="16">
        <v>2756.29</v>
      </c>
      <c r="H251" s="13">
        <f t="shared" si="8"/>
        <v>0.76751011497517552</v>
      </c>
      <c r="I251" s="18">
        <v>432075000</v>
      </c>
      <c r="J251" s="18">
        <v>7473.89</v>
      </c>
      <c r="K251" s="3">
        <v>5.4169387999999999E-2</v>
      </c>
      <c r="L251" s="3">
        <v>6.3338819999999999E-4</v>
      </c>
      <c r="M251" s="18">
        <v>6.5990911000000004E-6</v>
      </c>
      <c r="N251" s="18">
        <v>1.3994927999999999E-7</v>
      </c>
      <c r="O251" s="18">
        <v>2.5430245E-6</v>
      </c>
      <c r="P251" s="18">
        <v>1.0362532E-6</v>
      </c>
      <c r="Q251" s="3">
        <v>6.8430716000000003E-3</v>
      </c>
      <c r="R251" s="3">
        <v>1.3840173E-4</v>
      </c>
      <c r="S251" s="3">
        <v>1.6617835999999999</v>
      </c>
      <c r="T251" s="3">
        <v>1.2886193000000001E-2</v>
      </c>
      <c r="U251" s="18">
        <v>2.7508374000000001E-8</v>
      </c>
      <c r="V251" s="18">
        <v>6.5092914000000004E-10</v>
      </c>
      <c r="W251" s="3">
        <v>-6.4073438000000001E-4</v>
      </c>
      <c r="X251" s="3">
        <v>2.0489067999999999E-4</v>
      </c>
    </row>
    <row r="252" spans="1:24" x14ac:dyDescent="0.3">
      <c r="A252" s="17" t="s">
        <v>113</v>
      </c>
      <c r="C252" s="3">
        <v>56</v>
      </c>
      <c r="F252" s="3">
        <v>6.3792099999999996</v>
      </c>
      <c r="G252" s="16">
        <v>2606.7800000000002</v>
      </c>
      <c r="H252" s="13">
        <f t="shared" si="8"/>
        <v>0.72587790744623681</v>
      </c>
      <c r="I252" s="18">
        <v>408637000</v>
      </c>
      <c r="J252" s="18">
        <v>137023</v>
      </c>
      <c r="K252" s="3">
        <v>6.6373657000000003E-2</v>
      </c>
      <c r="L252" s="3">
        <v>8.0101387000000004E-4</v>
      </c>
      <c r="M252" s="18">
        <v>6.3976061000000001E-6</v>
      </c>
      <c r="N252" s="18">
        <v>1.4754740000000001E-7</v>
      </c>
      <c r="O252" s="18">
        <v>2.4413111999999998E-6</v>
      </c>
      <c r="P252" s="18">
        <v>1.0952013E-6</v>
      </c>
      <c r="Q252" s="3">
        <v>3.5449840000000002E-3</v>
      </c>
      <c r="R252" s="3">
        <v>2.0164588000000001E-4</v>
      </c>
      <c r="S252" s="3">
        <v>2.5481840999999998</v>
      </c>
      <c r="T252" s="3">
        <v>3.5750355999999997E-2</v>
      </c>
      <c r="U252" s="18">
        <v>2.4195001E-8</v>
      </c>
      <c r="V252" s="18">
        <v>1.5577069E-9</v>
      </c>
      <c r="W252" s="3">
        <v>-9.9512948000000001E-4</v>
      </c>
      <c r="X252" s="3">
        <v>2.7951602000000003E-4</v>
      </c>
    </row>
    <row r="253" spans="1:24" x14ac:dyDescent="0.3">
      <c r="A253" s="17" t="s">
        <v>113</v>
      </c>
      <c r="C253" s="3">
        <v>60</v>
      </c>
      <c r="F253" s="3">
        <v>6.3792099999999996</v>
      </c>
      <c r="G253" s="16">
        <v>2626.14</v>
      </c>
      <c r="H253" s="13">
        <f t="shared" si="8"/>
        <v>0.73126884810412085</v>
      </c>
      <c r="I253" s="18">
        <v>411671000</v>
      </c>
      <c r="J253" s="18">
        <v>14177.1</v>
      </c>
      <c r="K253" s="3">
        <v>6.1022568999999999E-2</v>
      </c>
      <c r="L253" s="3">
        <v>6.3711827E-4</v>
      </c>
      <c r="M253" s="18">
        <v>6.8268621999999999E-6</v>
      </c>
      <c r="N253" s="18">
        <v>1.2482195000000001E-7</v>
      </c>
      <c r="O253" s="18">
        <v>3.9405202000000002E-6</v>
      </c>
      <c r="P253" s="18">
        <v>8.8790902000000001E-7</v>
      </c>
      <c r="Q253" s="3">
        <v>5.1925108999999999E-3</v>
      </c>
      <c r="R253" s="3">
        <v>1.4153317999999999E-4</v>
      </c>
      <c r="S253" s="3">
        <v>-3.1491419999999999</v>
      </c>
      <c r="T253" s="3">
        <v>1.7224133999999999E-2</v>
      </c>
      <c r="U253" s="18">
        <v>2.6719300999999999E-8</v>
      </c>
      <c r="V253" s="18">
        <v>8.5178053000000001E-10</v>
      </c>
      <c r="W253" s="3">
        <v>-1.1400161E-4</v>
      </c>
      <c r="X253" s="3">
        <v>1.9366220999999999E-4</v>
      </c>
    </row>
    <row r="254" spans="1:24" x14ac:dyDescent="0.3">
      <c r="A254" s="17" t="s">
        <v>113</v>
      </c>
      <c r="C254" s="3">
        <v>64</v>
      </c>
      <c r="F254" s="3">
        <v>6.3792099999999996</v>
      </c>
      <c r="G254" s="16">
        <v>2909.63</v>
      </c>
      <c r="H254" s="13">
        <f t="shared" si="8"/>
        <v>0.81020881541318945</v>
      </c>
      <c r="I254" s="18">
        <v>456112000</v>
      </c>
      <c r="J254" s="18">
        <v>5074.79</v>
      </c>
      <c r="K254" s="3">
        <v>5.7252807000000003E-2</v>
      </c>
      <c r="L254" s="3">
        <v>5.4278704000000004E-4</v>
      </c>
      <c r="M254" s="18">
        <v>6.8218035000000001E-6</v>
      </c>
      <c r="N254" s="18">
        <v>1.2386745E-7</v>
      </c>
      <c r="O254" s="18">
        <v>4.8524149999999997E-6</v>
      </c>
      <c r="P254" s="18">
        <v>7.8657088999999998E-7</v>
      </c>
      <c r="Q254" s="3">
        <v>6.3631173999999999E-3</v>
      </c>
      <c r="R254" s="3">
        <v>1.1041516E-4</v>
      </c>
      <c r="S254" s="3">
        <v>2.9631363999999998</v>
      </c>
      <c r="T254" s="3">
        <v>1.1545420000000001E-2</v>
      </c>
      <c r="U254" s="18">
        <v>3.2559588000000003E-8</v>
      </c>
      <c r="V254" s="18">
        <v>7.1447502999999999E-10</v>
      </c>
      <c r="W254" s="3">
        <v>-1.6488829E-4</v>
      </c>
      <c r="X254" s="3">
        <v>1.8430167E-4</v>
      </c>
    </row>
    <row r="255" spans="1:24" x14ac:dyDescent="0.3">
      <c r="A255" s="17" t="s">
        <v>113</v>
      </c>
      <c r="C255" s="3">
        <v>68</v>
      </c>
      <c r="F255" s="3">
        <v>6.3792099999999996</v>
      </c>
      <c r="G255" s="16">
        <v>2938.93</v>
      </c>
      <c r="H255" s="13">
        <f t="shared" si="8"/>
        <v>0.81836762539645402</v>
      </c>
      <c r="I255" s="18">
        <v>460704000</v>
      </c>
      <c r="J255" s="18">
        <v>4122.3</v>
      </c>
      <c r="K255" s="3">
        <v>6.2539899999999995E-2</v>
      </c>
      <c r="L255" s="3">
        <v>6.2787274999999995E-4</v>
      </c>
      <c r="M255" s="18">
        <v>6.6851176000000001E-6</v>
      </c>
      <c r="N255" s="18">
        <v>1.2153646999999999E-7</v>
      </c>
      <c r="O255" s="18">
        <v>2.9074227000000001E-6</v>
      </c>
      <c r="P255" s="18">
        <v>8.7579628E-7</v>
      </c>
      <c r="Q255" s="3">
        <v>6.4074657999999996E-3</v>
      </c>
      <c r="R255" s="3">
        <v>1.0827047E-4</v>
      </c>
      <c r="S255" s="3">
        <v>0.99945691000000003</v>
      </c>
      <c r="T255" s="3">
        <v>1.0963696E-2</v>
      </c>
      <c r="U255" s="18">
        <v>3.7205436999999998E-8</v>
      </c>
      <c r="V255" s="18">
        <v>7.8274645999999996E-10</v>
      </c>
      <c r="W255" s="3">
        <v>-6.0256149000000004E-4</v>
      </c>
      <c r="X255" s="3">
        <v>2.0162718E-4</v>
      </c>
    </row>
    <row r="256" spans="1:24" x14ac:dyDescent="0.3">
      <c r="A256" s="17" t="s">
        <v>113</v>
      </c>
      <c r="C256" s="3">
        <v>72</v>
      </c>
      <c r="F256" s="3">
        <v>6.3792099999999996</v>
      </c>
      <c r="G256" s="16">
        <v>2927.01</v>
      </c>
      <c r="H256" s="13">
        <f t="shared" si="8"/>
        <v>0.81504840986742633</v>
      </c>
      <c r="I256" s="18">
        <v>458836000</v>
      </c>
      <c r="J256" s="18">
        <v>3507.21</v>
      </c>
      <c r="K256" s="3">
        <v>6.3298784999999996E-2</v>
      </c>
      <c r="L256" s="3">
        <v>7.1112471000000003E-4</v>
      </c>
      <c r="M256" s="18">
        <v>7.0724885999999998E-6</v>
      </c>
      <c r="N256" s="18">
        <v>1.3162748000000001E-7</v>
      </c>
      <c r="O256" s="18">
        <v>7.543391E-6</v>
      </c>
      <c r="P256" s="18">
        <v>8.9451469E-7</v>
      </c>
      <c r="Q256" s="3">
        <v>6.5861143999999998E-3</v>
      </c>
      <c r="R256" s="3">
        <v>1.1345068E-4</v>
      </c>
      <c r="S256" s="3">
        <v>0.37876452999999999</v>
      </c>
      <c r="T256" s="3">
        <v>1.1063277999999999E-2</v>
      </c>
      <c r="U256" s="18">
        <v>3.8422012000000002E-8</v>
      </c>
      <c r="V256" s="18">
        <v>8.2351600000000003E-10</v>
      </c>
      <c r="W256" s="3">
        <v>-2.229752E-4</v>
      </c>
      <c r="X256" s="3">
        <v>1.9450395E-4</v>
      </c>
    </row>
    <row r="257" spans="1:24" x14ac:dyDescent="0.3">
      <c r="A257" s="17" t="s">
        <v>113</v>
      </c>
      <c r="C257" s="3">
        <v>76</v>
      </c>
      <c r="F257" s="3">
        <v>6.3792099999999996</v>
      </c>
      <c r="G257" s="16">
        <v>2882.75</v>
      </c>
      <c r="H257" s="13">
        <f t="shared" si="8"/>
        <v>0.80272387301216019</v>
      </c>
      <c r="I257" s="18">
        <v>451898000</v>
      </c>
      <c r="J257" s="18">
        <v>5127.29</v>
      </c>
      <c r="K257" s="3">
        <v>6.0036091E-2</v>
      </c>
      <c r="L257" s="3">
        <v>6.0831467000000002E-4</v>
      </c>
      <c r="M257" s="18">
        <v>6.6276470000000001E-6</v>
      </c>
      <c r="N257" s="18">
        <v>1.2741851999999999E-7</v>
      </c>
      <c r="O257" s="18">
        <v>6.6682176000000003E-6</v>
      </c>
      <c r="P257" s="18">
        <v>8.4948639000000005E-7</v>
      </c>
      <c r="Q257" s="3">
        <v>4.6496259E-3</v>
      </c>
      <c r="R257" s="18">
        <v>9.9875832999999994E-5</v>
      </c>
      <c r="S257" s="3">
        <v>1.548252</v>
      </c>
      <c r="T257" s="3">
        <v>1.3882098000000001E-2</v>
      </c>
      <c r="U257" s="18">
        <v>4.1440791000000003E-8</v>
      </c>
      <c r="V257" s="18">
        <v>1.1288701000000001E-9</v>
      </c>
      <c r="W257" s="3">
        <v>-4.2835622E-4</v>
      </c>
      <c r="X257" s="3">
        <v>2.0335511E-4</v>
      </c>
    </row>
    <row r="258" spans="1:24" x14ac:dyDescent="0.3">
      <c r="A258" s="17" t="s">
        <v>113</v>
      </c>
      <c r="C258" s="3">
        <v>80</v>
      </c>
      <c r="F258" s="3">
        <v>6.3792099999999996</v>
      </c>
      <c r="G258" s="16">
        <v>3340.73</v>
      </c>
      <c r="H258" s="13">
        <f t="shared" si="8"/>
        <v>0.93025192066183826</v>
      </c>
      <c r="I258" s="18">
        <v>523691000</v>
      </c>
      <c r="J258" s="18">
        <v>77319.100000000006</v>
      </c>
      <c r="K258" s="3">
        <v>5.3415944999999999E-2</v>
      </c>
      <c r="L258" s="3">
        <v>7.7859871000000001E-4</v>
      </c>
      <c r="M258" s="18">
        <v>6.9078286999999997E-6</v>
      </c>
      <c r="N258" s="18">
        <v>1.7246598000000001E-7</v>
      </c>
      <c r="O258" s="18">
        <v>5.4393879999999999E-8</v>
      </c>
      <c r="P258" s="18">
        <v>1.2811023E-6</v>
      </c>
      <c r="Q258" s="3">
        <v>2.0561433E-3</v>
      </c>
      <c r="R258" s="3">
        <v>1.5063117E-4</v>
      </c>
      <c r="S258" s="3">
        <v>-1.0607525</v>
      </c>
      <c r="T258" s="3">
        <v>4.7907320000000003E-2</v>
      </c>
      <c r="U258" s="18">
        <v>3.1450743000000002E-8</v>
      </c>
      <c r="V258" s="18">
        <v>2.8243955000000001E-9</v>
      </c>
      <c r="W258" s="3">
        <v>-1.9613431E-4</v>
      </c>
      <c r="X258" s="3">
        <v>2.3449030000000001E-4</v>
      </c>
    </row>
    <row r="259" spans="1:24" x14ac:dyDescent="0.3">
      <c r="A259" s="17" t="s">
        <v>113</v>
      </c>
      <c r="C259" s="3">
        <v>84</v>
      </c>
      <c r="F259" s="3">
        <v>6.3792099999999996</v>
      </c>
      <c r="G259" s="16">
        <v>3352.28</v>
      </c>
      <c r="H259" s="13">
        <f t="shared" si="8"/>
        <v>0.93346810684978043</v>
      </c>
      <c r="I259" s="18">
        <v>525500000</v>
      </c>
      <c r="J259" s="18">
        <v>61013.4</v>
      </c>
      <c r="K259" s="3">
        <v>4.8933905E-2</v>
      </c>
      <c r="L259" s="18">
        <v>8.6420265999999997E-5</v>
      </c>
      <c r="M259" s="18">
        <v>6.8166720000000004E-6</v>
      </c>
      <c r="N259" s="18">
        <v>7.7869206E-8</v>
      </c>
      <c r="O259" s="18">
        <v>1.3441041E-10</v>
      </c>
      <c r="P259" s="3" t="s">
        <v>31</v>
      </c>
      <c r="Q259" s="3">
        <v>2.2337157000000001E-3</v>
      </c>
      <c r="R259" s="3">
        <v>1.377735E-4</v>
      </c>
      <c r="S259" s="3">
        <v>-0.13275692</v>
      </c>
      <c r="T259" s="3">
        <v>4.0614392999999999E-2</v>
      </c>
      <c r="U259" s="18">
        <v>2.8946482999999998E-8</v>
      </c>
      <c r="V259" s="18">
        <v>2.1840906999999999E-9</v>
      </c>
      <c r="W259" s="3">
        <v>-3.2035606000000002E-4</v>
      </c>
      <c r="X259" s="3">
        <v>1.2883902000000001E-4</v>
      </c>
    </row>
    <row r="260" spans="1:24" x14ac:dyDescent="0.3">
      <c r="A260" s="17" t="s">
        <v>113</v>
      </c>
      <c r="C260" s="3">
        <v>88</v>
      </c>
      <c r="F260" s="3">
        <v>6.3792099999999996</v>
      </c>
      <c r="G260" s="16">
        <v>3381.97</v>
      </c>
      <c r="H260" s="13">
        <f t="shared" si="8"/>
        <v>0.94173551532770283</v>
      </c>
      <c r="I260" s="18">
        <v>530156000</v>
      </c>
      <c r="J260" s="18">
        <v>53707.9</v>
      </c>
      <c r="K260" s="3">
        <v>4.3068875E-2</v>
      </c>
      <c r="L260" s="3">
        <v>5.7452485000000005E-4</v>
      </c>
      <c r="M260" s="18">
        <v>6.4202329000000003E-6</v>
      </c>
      <c r="N260" s="18">
        <v>1.7004512E-7</v>
      </c>
      <c r="O260" s="18">
        <v>2.4928965999999998E-6</v>
      </c>
      <c r="P260" s="18">
        <v>1.1984122E-6</v>
      </c>
      <c r="Q260" s="3">
        <v>2.5675368999999999E-3</v>
      </c>
      <c r="R260" s="3">
        <v>1.5211932000000001E-4</v>
      </c>
      <c r="S260" s="3">
        <v>-1.4367452999999999</v>
      </c>
      <c r="T260" s="3">
        <v>3.8370889999999998E-2</v>
      </c>
      <c r="U260" s="18">
        <v>2.3508656999999999E-8</v>
      </c>
      <c r="V260" s="18">
        <v>1.6198478000000001E-9</v>
      </c>
      <c r="W260" s="3">
        <v>-6.4300869999999995E-4</v>
      </c>
      <c r="X260" s="3">
        <v>2.1022658999999999E-4</v>
      </c>
    </row>
    <row r="261" spans="1:24" x14ac:dyDescent="0.3">
      <c r="A261" s="17" t="s">
        <v>113</v>
      </c>
      <c r="C261" s="3">
        <v>92</v>
      </c>
      <c r="F261" s="3">
        <v>6.3792099999999996</v>
      </c>
      <c r="G261" s="16">
        <v>3425.27</v>
      </c>
      <c r="H261" s="13">
        <f t="shared" si="8"/>
        <v>0.95379273281150367</v>
      </c>
      <c r="I261" s="18">
        <v>536943000</v>
      </c>
      <c r="J261" s="18">
        <v>73858</v>
      </c>
      <c r="K261" s="3">
        <v>4.4496115000000003E-2</v>
      </c>
      <c r="L261" s="3">
        <v>5.6758062000000005E-4</v>
      </c>
      <c r="M261" s="18">
        <v>7.2660187E-6</v>
      </c>
      <c r="N261" s="18">
        <v>1.5482076000000001E-7</v>
      </c>
      <c r="O261" s="18">
        <v>8.0178782999999996E-6</v>
      </c>
      <c r="P261" s="18">
        <v>9.8169961999999995E-7</v>
      </c>
      <c r="Q261" s="3">
        <v>2.8501566000000002E-3</v>
      </c>
      <c r="R261" s="3">
        <v>1.1196029E-4</v>
      </c>
      <c r="S261" s="3">
        <v>-0.32291060999999999</v>
      </c>
      <c r="T261" s="3">
        <v>3.9669468999999999E-2</v>
      </c>
      <c r="U261" s="18">
        <v>1.7967355999999999E-8</v>
      </c>
      <c r="V261" s="3" t="s">
        <v>31</v>
      </c>
      <c r="W261" s="3">
        <v>3.3239302999999999E-4</v>
      </c>
      <c r="X261" s="3">
        <v>1.5525108E-4</v>
      </c>
    </row>
    <row r="262" spans="1:24" x14ac:dyDescent="0.3">
      <c r="A262" s="17" t="s">
        <v>113</v>
      </c>
      <c r="C262" s="3">
        <v>96</v>
      </c>
      <c r="F262" s="3">
        <v>6.3792099999999996</v>
      </c>
      <c r="G262" s="16">
        <v>3477.5</v>
      </c>
      <c r="H262" s="13">
        <f t="shared" si="8"/>
        <v>0.96833657736528911</v>
      </c>
      <c r="I262" s="18">
        <v>545130000</v>
      </c>
      <c r="J262" s="18">
        <v>25813.599999999999</v>
      </c>
      <c r="K262" s="3">
        <v>4.6955176000000001E-2</v>
      </c>
      <c r="L262" s="18">
        <v>7.7867292000000004E-5</v>
      </c>
      <c r="M262" s="18">
        <v>6.7434243000000002E-6</v>
      </c>
      <c r="N262" s="18">
        <v>7.4283959000000002E-8</v>
      </c>
      <c r="O262" s="18">
        <v>2.3782603999999999E-14</v>
      </c>
      <c r="P262" s="3" t="s">
        <v>31</v>
      </c>
      <c r="Q262" s="3">
        <v>3.5010062000000002E-3</v>
      </c>
      <c r="R262" s="3">
        <v>1.5885724999999999E-4</v>
      </c>
      <c r="S262" s="3">
        <v>2.796109</v>
      </c>
      <c r="T262" s="3">
        <v>2.8626339000000001E-2</v>
      </c>
      <c r="U262" s="18">
        <v>2.3737920999999999E-8</v>
      </c>
      <c r="V262" s="18">
        <v>1.1953935E-9</v>
      </c>
      <c r="W262" s="3">
        <v>-2.4691886999999999E-4</v>
      </c>
      <c r="X262" s="3">
        <v>1.1838044000000001E-4</v>
      </c>
    </row>
    <row r="263" spans="1:24" x14ac:dyDescent="0.3">
      <c r="A263" s="17" t="s">
        <v>113</v>
      </c>
      <c r="C263" s="3">
        <v>100</v>
      </c>
      <c r="F263" s="3">
        <v>6.3792099999999996</v>
      </c>
      <c r="G263" s="16">
        <v>3496.09</v>
      </c>
      <c r="H263" s="13">
        <f t="shared" si="8"/>
        <v>0.97351310561064375</v>
      </c>
      <c r="I263" s="18">
        <v>548044000</v>
      </c>
      <c r="J263" s="18">
        <v>27749.1</v>
      </c>
      <c r="K263" s="3">
        <v>4.4010074000000003E-2</v>
      </c>
      <c r="L263" s="3">
        <v>5.7535544999999999E-4</v>
      </c>
      <c r="M263" s="18">
        <v>6.8605632000000003E-6</v>
      </c>
      <c r="N263" s="18">
        <v>1.6041631000000001E-7</v>
      </c>
      <c r="O263" s="18">
        <v>9.6589634000000004E-6</v>
      </c>
      <c r="P263" s="18">
        <v>1.0318546000000001E-6</v>
      </c>
      <c r="Q263" s="3">
        <v>3.1872313000000001E-3</v>
      </c>
      <c r="R263" s="3">
        <v>1.3667972000000001E-4</v>
      </c>
      <c r="S263" s="3">
        <v>-2.5740582000000001</v>
      </c>
      <c r="T263" s="3">
        <v>2.7906423999999999E-2</v>
      </c>
      <c r="U263" s="18">
        <v>2.4283918000000001E-8</v>
      </c>
      <c r="V263" s="18">
        <v>1.2135645999999999E-9</v>
      </c>
      <c r="W263" s="3">
        <v>-2.6462224999999998E-4</v>
      </c>
      <c r="X263" s="3">
        <v>1.7316616999999999E-4</v>
      </c>
    </row>
    <row r="264" spans="1:24" x14ac:dyDescent="0.3">
      <c r="A264" s="17" t="s">
        <v>113</v>
      </c>
      <c r="C264" s="3">
        <v>104</v>
      </c>
      <c r="F264" s="3">
        <v>6.3792099999999996</v>
      </c>
      <c r="G264" s="16">
        <v>3545.64</v>
      </c>
      <c r="H264" s="13">
        <f t="shared" si="8"/>
        <v>0.98731068358575513</v>
      </c>
      <c r="I264" s="18">
        <v>555812000</v>
      </c>
      <c r="J264" s="18">
        <v>20135</v>
      </c>
      <c r="K264" s="3">
        <v>4.0930439999999998E-2</v>
      </c>
      <c r="L264" s="3">
        <v>6.9737911000000003E-4</v>
      </c>
      <c r="M264" s="18">
        <v>6.742322E-6</v>
      </c>
      <c r="N264" s="18">
        <v>1.8654805000000001E-7</v>
      </c>
      <c r="O264" s="18">
        <v>3.9000842000000002E-8</v>
      </c>
      <c r="P264" s="18">
        <v>1.5458741999999999E-6</v>
      </c>
      <c r="Q264" s="3">
        <v>2.8609096999999998E-3</v>
      </c>
      <c r="R264" s="3">
        <v>1.2478226999999999E-4</v>
      </c>
      <c r="S264" s="3">
        <v>1.4562145</v>
      </c>
      <c r="T264" s="3">
        <v>2.7765043999999999E-2</v>
      </c>
      <c r="U264" s="18">
        <v>3.1485279E-8</v>
      </c>
      <c r="V264" s="18">
        <v>1.6078394999999999E-9</v>
      </c>
      <c r="W264" s="3">
        <v>-2.5908080999999998E-4</v>
      </c>
      <c r="X264" s="3">
        <v>1.9719179E-4</v>
      </c>
    </row>
    <row r="265" spans="1:24" x14ac:dyDescent="0.3">
      <c r="A265" s="17" t="s">
        <v>113</v>
      </c>
      <c r="C265" s="3">
        <v>108</v>
      </c>
      <c r="F265" s="3">
        <v>6.3792099999999996</v>
      </c>
      <c r="G265" s="16">
        <v>3567.4</v>
      </c>
      <c r="H265" s="13">
        <f t="shared" si="8"/>
        <v>0.99336992267230262</v>
      </c>
      <c r="I265" s="18">
        <v>559223000</v>
      </c>
      <c r="J265" s="18">
        <v>30002.1</v>
      </c>
      <c r="K265" s="3">
        <v>3.5578673999999998E-2</v>
      </c>
      <c r="L265" s="18">
        <v>7.6155137E-5</v>
      </c>
      <c r="M265" s="18">
        <v>7.1249167000000002E-6</v>
      </c>
      <c r="N265" s="18">
        <v>9.6918963999999998E-8</v>
      </c>
      <c r="O265" s="18">
        <v>2.3636131E-14</v>
      </c>
      <c r="P265" s="3" t="s">
        <v>31</v>
      </c>
      <c r="Q265" s="3">
        <v>2.2337125999999999E-3</v>
      </c>
      <c r="R265" s="3">
        <v>1.1182413E-4</v>
      </c>
      <c r="S265" s="3">
        <v>-2.1121574000000001</v>
      </c>
      <c r="T265" s="3">
        <v>3.3041498000000002E-2</v>
      </c>
      <c r="U265" s="18">
        <v>3.3296773999999998E-8</v>
      </c>
      <c r="V265" s="18">
        <v>2.0730668E-9</v>
      </c>
      <c r="W265" s="3">
        <v>1.9535264999999999E-4</v>
      </c>
      <c r="X265" s="3">
        <v>1.0817036E-4</v>
      </c>
    </row>
    <row r="266" spans="1:24" x14ac:dyDescent="0.3">
      <c r="A266" s="17" t="s">
        <v>113</v>
      </c>
      <c r="C266" s="3">
        <v>112</v>
      </c>
      <c r="F266" s="3">
        <v>6.3792099999999996</v>
      </c>
      <c r="G266" s="16">
        <v>3496.81</v>
      </c>
      <c r="H266" s="13">
        <f t="shared" si="8"/>
        <v>0.97371359513924272</v>
      </c>
      <c r="I266" s="18">
        <v>548157000</v>
      </c>
      <c r="J266" s="18">
        <v>412048</v>
      </c>
      <c r="K266" s="3">
        <v>5.2382449999999997E-2</v>
      </c>
      <c r="L266" s="3">
        <v>1.0811701E-3</v>
      </c>
      <c r="M266" s="18">
        <v>7.4985235000000004E-6</v>
      </c>
      <c r="N266" s="18">
        <v>2.0954733E-7</v>
      </c>
      <c r="O266" s="18">
        <v>8.4883941000000001E-6</v>
      </c>
      <c r="P266" s="18">
        <v>1.6042311E-6</v>
      </c>
      <c r="Q266" s="3">
        <v>1.8920034000000001E-3</v>
      </c>
      <c r="R266" s="3">
        <v>2.4431852000000002E-4</v>
      </c>
      <c r="S266" s="3">
        <v>1.4571854</v>
      </c>
      <c r="T266" s="3">
        <v>7.7546830999999997E-2</v>
      </c>
      <c r="U266" s="18">
        <v>2.1882043000000001E-8</v>
      </c>
      <c r="V266" s="18">
        <v>2.9296203000000002E-9</v>
      </c>
      <c r="W266" s="18">
        <v>-2.8225476999999999E-6</v>
      </c>
      <c r="X266" s="3">
        <v>2.2050746E-4</v>
      </c>
    </row>
    <row r="267" spans="1:24" x14ac:dyDescent="0.3">
      <c r="A267" s="17" t="s">
        <v>113</v>
      </c>
      <c r="C267" s="3">
        <v>116</v>
      </c>
      <c r="F267" s="3">
        <v>6.3792099999999996</v>
      </c>
      <c r="G267" s="16">
        <v>2950.25</v>
      </c>
      <c r="H267" s="13">
        <f t="shared" ref="H267:H285" si="9">G267/MAX($G$10:$G$285)</f>
        <v>0.82151976631831614</v>
      </c>
      <c r="I267" s="18">
        <v>462478000</v>
      </c>
      <c r="J267" s="18">
        <v>7582.2</v>
      </c>
      <c r="K267" s="3">
        <v>4.6854962E-2</v>
      </c>
      <c r="L267" s="3">
        <v>5.7556779999999997E-4</v>
      </c>
      <c r="M267" s="18">
        <v>6.9896554000000002E-6</v>
      </c>
      <c r="N267" s="18">
        <v>1.4940786000000001E-7</v>
      </c>
      <c r="O267" s="18">
        <v>3.8682454E-6</v>
      </c>
      <c r="P267" s="18">
        <v>1.021565E-6</v>
      </c>
      <c r="Q267" s="3">
        <v>5.3055391999999998E-3</v>
      </c>
      <c r="R267" s="3">
        <v>1.1839768000000001E-4</v>
      </c>
      <c r="S267" s="3">
        <v>2.0045525</v>
      </c>
      <c r="T267" s="3">
        <v>1.4352082E-2</v>
      </c>
      <c r="U267" s="18">
        <v>2.9925667000000002E-8</v>
      </c>
      <c r="V267" s="18">
        <v>8.1329256000000002E-10</v>
      </c>
      <c r="W267" s="3">
        <v>-4.1192664E-4</v>
      </c>
      <c r="X267" s="3">
        <v>1.7234936E-4</v>
      </c>
    </row>
    <row r="268" spans="1:24" x14ac:dyDescent="0.3">
      <c r="A268" s="17" t="s">
        <v>113</v>
      </c>
      <c r="C268" s="3">
        <v>120</v>
      </c>
      <c r="F268" s="3">
        <v>6.3792099999999996</v>
      </c>
      <c r="G268" s="16">
        <v>3009.35</v>
      </c>
      <c r="H268" s="13">
        <f t="shared" si="9"/>
        <v>0.83797661512415034</v>
      </c>
      <c r="I268" s="18">
        <v>471744000</v>
      </c>
      <c r="J268" s="18">
        <v>4991.28</v>
      </c>
      <c r="K268" s="3">
        <v>5.1838228E-2</v>
      </c>
      <c r="L268" s="3">
        <v>6.2757269999999998E-4</v>
      </c>
      <c r="M268" s="18">
        <v>7.6483121000000004E-6</v>
      </c>
      <c r="N268" s="18">
        <v>1.4081108E-7</v>
      </c>
      <c r="O268" s="18">
        <v>9.9669969999999997E-6</v>
      </c>
      <c r="P268" s="18">
        <v>8.8206927000000001E-7</v>
      </c>
      <c r="Q268" s="3">
        <v>6.4264109999999999E-3</v>
      </c>
      <c r="R268" s="3">
        <v>1.1578172E-4</v>
      </c>
      <c r="S268" s="3">
        <v>1.2715312000000001</v>
      </c>
      <c r="T268" s="3">
        <v>1.1581378E-2</v>
      </c>
      <c r="U268" s="18">
        <v>3.0699937999999997E-8</v>
      </c>
      <c r="V268" s="18">
        <v>6.7443003999999999E-10</v>
      </c>
      <c r="W268" s="18">
        <v>-6.1904011999999998E-7</v>
      </c>
      <c r="X268" s="3">
        <v>1.4716704E-4</v>
      </c>
    </row>
    <row r="269" spans="1:24" x14ac:dyDescent="0.3">
      <c r="A269" s="17" t="s">
        <v>113</v>
      </c>
      <c r="C269" s="3">
        <v>124</v>
      </c>
      <c r="F269" s="3">
        <v>6.3792099999999996</v>
      </c>
      <c r="G269" s="16">
        <v>3027.71</v>
      </c>
      <c r="H269" s="13">
        <f t="shared" si="9"/>
        <v>0.84308909810342481</v>
      </c>
      <c r="I269" s="18">
        <v>474622000</v>
      </c>
      <c r="J269" s="18">
        <v>4366.7299999999996</v>
      </c>
      <c r="K269" s="3">
        <v>4.7529872000000001E-2</v>
      </c>
      <c r="L269" s="3">
        <v>5.7359713000000004E-4</v>
      </c>
      <c r="M269" s="18">
        <v>7.0879306000000004E-6</v>
      </c>
      <c r="N269" s="18">
        <v>1.4367847999999999E-7</v>
      </c>
      <c r="O269" s="18">
        <v>6.0037448999999996E-6</v>
      </c>
      <c r="P269" s="18">
        <v>9.7304097000000001E-7</v>
      </c>
      <c r="Q269" s="3">
        <v>8.0593044999999995E-3</v>
      </c>
      <c r="R269" s="3">
        <v>1.2088425999999999E-4</v>
      </c>
      <c r="S269" s="3">
        <v>0.89908860000000002</v>
      </c>
      <c r="T269" s="3">
        <v>9.6226035000000001E-3</v>
      </c>
      <c r="U269" s="18">
        <v>2.7766165000000002E-8</v>
      </c>
      <c r="V269" s="18">
        <v>4.9713028999999997E-10</v>
      </c>
      <c r="W269" s="3">
        <v>-4.1218344000000002E-4</v>
      </c>
      <c r="X269" s="3">
        <v>1.6120713000000001E-4</v>
      </c>
    </row>
    <row r="270" spans="1:24" x14ac:dyDescent="0.3">
      <c r="A270" s="17" t="s">
        <v>113</v>
      </c>
      <c r="C270" s="3">
        <v>128</v>
      </c>
      <c r="F270" s="3">
        <v>6.3792099999999996</v>
      </c>
      <c r="G270" s="16">
        <v>3023.74</v>
      </c>
      <c r="H270" s="13">
        <f t="shared" si="9"/>
        <v>0.84198362111934411</v>
      </c>
      <c r="I270" s="18">
        <v>473999000</v>
      </c>
      <c r="J270" s="18">
        <v>3775.19</v>
      </c>
      <c r="K270" s="3">
        <v>5.4867238999999998E-2</v>
      </c>
      <c r="L270" s="3">
        <v>6.2072148E-4</v>
      </c>
      <c r="M270" s="18">
        <v>7.4634372999999998E-6</v>
      </c>
      <c r="N270" s="18">
        <v>1.3432322000000001E-7</v>
      </c>
      <c r="O270" s="18">
        <v>9.2747707000000006E-6</v>
      </c>
      <c r="P270" s="18">
        <v>8.4319884999999999E-7</v>
      </c>
      <c r="Q270" s="3">
        <v>8.5020149999999999E-3</v>
      </c>
      <c r="R270" s="3">
        <v>1.1615324E-4</v>
      </c>
      <c r="S270" s="3">
        <v>1.4984930999999999</v>
      </c>
      <c r="T270" s="3">
        <v>8.8099518000000002E-3</v>
      </c>
      <c r="U270" s="18">
        <v>3.1242368000000001E-8</v>
      </c>
      <c r="V270" s="18">
        <v>5.2360299999999995E-10</v>
      </c>
      <c r="W270" s="3">
        <v>5.1926505999999996E-4</v>
      </c>
      <c r="X270" s="3">
        <v>1.5652031000000001E-4</v>
      </c>
    </row>
    <row r="271" spans="1:24" x14ac:dyDescent="0.3">
      <c r="A271" s="17" t="s">
        <v>113</v>
      </c>
      <c r="C271" s="3">
        <v>132</v>
      </c>
      <c r="F271" s="3">
        <v>6.3792099999999996</v>
      </c>
      <c r="G271" s="16">
        <v>2991.44</v>
      </c>
      <c r="H271" s="13">
        <f t="shared" si="9"/>
        <v>0.83298943810025039</v>
      </c>
      <c r="I271" s="18">
        <v>468935000</v>
      </c>
      <c r="J271" s="18">
        <v>6900.2</v>
      </c>
      <c r="K271" s="3">
        <v>5.8824078000000002E-2</v>
      </c>
      <c r="L271" s="3">
        <v>8.0225619E-4</v>
      </c>
      <c r="M271" s="18">
        <v>6.9648813000000004E-6</v>
      </c>
      <c r="N271" s="18">
        <v>1.4619952E-7</v>
      </c>
      <c r="O271" s="18">
        <v>6.1328459E-6</v>
      </c>
      <c r="P271" s="18">
        <v>1.1364409999999999E-6</v>
      </c>
      <c r="Q271" s="3">
        <v>1.0897496E-2</v>
      </c>
      <c r="R271" s="3">
        <v>1.8255627000000001E-4</v>
      </c>
      <c r="S271" s="3">
        <v>-1.7041421999999999</v>
      </c>
      <c r="T271" s="3">
        <v>1.0157008E-2</v>
      </c>
      <c r="U271" s="18">
        <v>2.3326947000000001E-8</v>
      </c>
      <c r="V271" s="18">
        <v>4.1625219000000002E-10</v>
      </c>
      <c r="W271" s="3">
        <v>-2.3296273999999999E-4</v>
      </c>
      <c r="X271" s="3">
        <v>2.0187067E-4</v>
      </c>
    </row>
    <row r="272" spans="1:24" x14ac:dyDescent="0.3">
      <c r="A272" s="17" t="s">
        <v>113</v>
      </c>
      <c r="C272" s="3">
        <v>136</v>
      </c>
      <c r="F272" s="3">
        <v>6.3792099999999996</v>
      </c>
      <c r="G272" s="16">
        <v>2952.67</v>
      </c>
      <c r="H272" s="13">
        <f t="shared" si="9"/>
        <v>0.82219363390055167</v>
      </c>
      <c r="I272" s="18">
        <v>462858000</v>
      </c>
      <c r="J272" s="18">
        <v>4749.49</v>
      </c>
      <c r="K272" s="3">
        <v>4.1321740000000003E-2</v>
      </c>
      <c r="L272" s="3">
        <v>6.6290855E-4</v>
      </c>
      <c r="M272" s="18">
        <v>8.0841229000000007E-6</v>
      </c>
      <c r="N272" s="18">
        <v>1.7107664000000001E-7</v>
      </c>
      <c r="O272" s="18">
        <v>3.9787683999999996E-6</v>
      </c>
      <c r="P272" s="18">
        <v>1.2335111E-6</v>
      </c>
      <c r="Q272" s="3">
        <v>7.2990444000000003E-3</v>
      </c>
      <c r="R272" s="3">
        <v>1.1709422E-4</v>
      </c>
      <c r="S272" s="3">
        <v>0.85232993999999995</v>
      </c>
      <c r="T272" s="3">
        <v>1.0233427E-2</v>
      </c>
      <c r="U272" s="18">
        <v>2.9816124999999997E-8</v>
      </c>
      <c r="V272" s="18">
        <v>5.7486834999999999E-10</v>
      </c>
      <c r="W272" s="3">
        <v>3.4784360000000001E-4</v>
      </c>
      <c r="X272" s="3">
        <v>1.3126621E-4</v>
      </c>
    </row>
    <row r="273" spans="1:24" x14ac:dyDescent="0.3">
      <c r="A273" s="17" t="s">
        <v>113</v>
      </c>
      <c r="C273" s="3">
        <v>140</v>
      </c>
      <c r="F273" s="3">
        <v>6.3792099999999996</v>
      </c>
      <c r="G273" s="16">
        <v>2889.2</v>
      </c>
      <c r="H273" s="13">
        <f t="shared" si="9"/>
        <v>0.8045199250391929</v>
      </c>
      <c r="I273" s="18">
        <v>452908000</v>
      </c>
      <c r="J273" s="18">
        <v>4892.1400000000003</v>
      </c>
      <c r="K273" s="3">
        <v>4.819478E-2</v>
      </c>
      <c r="L273" s="3">
        <v>6.5679447000000001E-4</v>
      </c>
      <c r="M273" s="18">
        <v>6.9539215000000001E-6</v>
      </c>
      <c r="N273" s="18">
        <v>1.5871308E-7</v>
      </c>
      <c r="O273" s="18">
        <v>9.0759411999999995E-7</v>
      </c>
      <c r="P273" s="18">
        <v>1.1839983E-6</v>
      </c>
      <c r="Q273" s="3">
        <v>7.8543533000000002E-3</v>
      </c>
      <c r="R273" s="3">
        <v>1.3101618000000001E-4</v>
      </c>
      <c r="S273" s="3">
        <v>1.0921129999999999</v>
      </c>
      <c r="T273" s="3">
        <v>1.0620545E-2</v>
      </c>
      <c r="U273" s="18">
        <v>3.0050248999999998E-8</v>
      </c>
      <c r="V273" s="18">
        <v>6.0132099000000001E-10</v>
      </c>
      <c r="W273" s="3">
        <v>-6.4587629999999997E-4</v>
      </c>
      <c r="X273" s="3">
        <v>1.9073498000000001E-4</v>
      </c>
    </row>
    <row r="274" spans="1:24" x14ac:dyDescent="0.3">
      <c r="A274" s="17" t="s">
        <v>113</v>
      </c>
      <c r="C274" s="3">
        <v>144</v>
      </c>
      <c r="F274" s="3">
        <v>6.3792099999999996</v>
      </c>
      <c r="G274" s="16">
        <v>2825.65</v>
      </c>
      <c r="H274" s="13">
        <f t="shared" si="9"/>
        <v>0.78682393956354546</v>
      </c>
      <c r="I274" s="18">
        <v>442947000</v>
      </c>
      <c r="J274" s="18">
        <v>11465.9</v>
      </c>
      <c r="K274" s="3">
        <v>5.0697701999999997E-2</v>
      </c>
      <c r="L274" s="3">
        <v>6.4315371999999998E-4</v>
      </c>
      <c r="M274" s="18">
        <v>6.9242086000000004E-6</v>
      </c>
      <c r="N274" s="18">
        <v>1.4769112999999999E-7</v>
      </c>
      <c r="O274" s="18">
        <v>1.4765286E-6</v>
      </c>
      <c r="P274" s="18">
        <v>1.0992166000000001E-6</v>
      </c>
      <c r="Q274" s="3">
        <v>8.4538440000000003E-3</v>
      </c>
      <c r="R274" s="3">
        <v>1.1833874E-4</v>
      </c>
      <c r="S274" s="3">
        <v>1.6349916</v>
      </c>
      <c r="T274" s="3">
        <v>1.3843265E-2</v>
      </c>
      <c r="U274" s="18">
        <v>1.9581272999999999E-8</v>
      </c>
      <c r="V274" s="3" t="s">
        <v>31</v>
      </c>
      <c r="W274" s="3">
        <v>-2.0033458E-4</v>
      </c>
      <c r="X274" s="3">
        <v>1.8730784000000001E-4</v>
      </c>
    </row>
    <row r="275" spans="1:24" x14ac:dyDescent="0.3">
      <c r="A275" s="17" t="s">
        <v>113</v>
      </c>
      <c r="C275" s="3">
        <v>148</v>
      </c>
      <c r="F275" s="3">
        <v>6.3792099999999996</v>
      </c>
      <c r="G275" s="16">
        <v>2914.15</v>
      </c>
      <c r="H275" s="13">
        <f t="shared" si="9"/>
        <v>0.81146744412050531</v>
      </c>
      <c r="I275" s="18">
        <v>456819000</v>
      </c>
      <c r="J275" s="18">
        <v>26041</v>
      </c>
      <c r="K275" s="3">
        <v>5.9676891000000003E-2</v>
      </c>
      <c r="L275" s="3">
        <v>6.7540305E-4</v>
      </c>
      <c r="M275" s="18">
        <v>7.1469634999999997E-6</v>
      </c>
      <c r="N275" s="18">
        <v>1.3574554E-7</v>
      </c>
      <c r="O275" s="18">
        <v>7.5777232999999997E-6</v>
      </c>
      <c r="P275" s="18">
        <v>8.8902004999999997E-7</v>
      </c>
      <c r="Q275" s="3">
        <v>9.3097114999999998E-3</v>
      </c>
      <c r="R275" s="3">
        <v>1.7275545000000001E-4</v>
      </c>
      <c r="S275" s="3">
        <v>1.7313627</v>
      </c>
      <c r="T275" s="3">
        <v>1.8118782E-2</v>
      </c>
      <c r="U275" s="18">
        <v>1.4047556E-8</v>
      </c>
      <c r="V275" s="3" t="s">
        <v>31</v>
      </c>
      <c r="W275" s="3">
        <v>-1.9637197999999999E-4</v>
      </c>
      <c r="X275" s="3">
        <v>1.8727722E-4</v>
      </c>
    </row>
    <row r="276" spans="1:24" x14ac:dyDescent="0.3">
      <c r="A276" s="17" t="s">
        <v>113</v>
      </c>
      <c r="C276" s="3">
        <v>152</v>
      </c>
      <c r="F276" s="3">
        <v>6.3792099999999996</v>
      </c>
      <c r="G276" s="16">
        <v>2754.28</v>
      </c>
      <c r="H276" s="13">
        <f t="shared" si="9"/>
        <v>0.76695041504117001</v>
      </c>
      <c r="I276" s="18">
        <v>431758000</v>
      </c>
      <c r="J276" s="18">
        <v>4773.12</v>
      </c>
      <c r="K276" s="3">
        <v>5.8279961999999998E-2</v>
      </c>
      <c r="L276" s="3">
        <v>7.1553706999999997E-4</v>
      </c>
      <c r="M276" s="18">
        <v>7.0059186999999998E-6</v>
      </c>
      <c r="N276" s="18">
        <v>1.4637300999999999E-7</v>
      </c>
      <c r="O276" s="18">
        <v>6.9881075999999997E-6</v>
      </c>
      <c r="P276" s="18">
        <v>9.8787380999999997E-7</v>
      </c>
      <c r="Q276" s="3">
        <v>6.1087381000000003E-3</v>
      </c>
      <c r="R276" s="3">
        <v>1.1551825E-4</v>
      </c>
      <c r="S276" s="3">
        <v>2.2231331000000001</v>
      </c>
      <c r="T276" s="3">
        <v>1.2163332000000001E-2</v>
      </c>
      <c r="U276" s="18">
        <v>3.9102617000000003E-8</v>
      </c>
      <c r="V276" s="18">
        <v>9.2631405000000003E-10</v>
      </c>
      <c r="W276" s="3">
        <v>-1.9334539E-4</v>
      </c>
      <c r="X276" s="3">
        <v>2.0399386E-4</v>
      </c>
    </row>
    <row r="277" spans="1:24" x14ac:dyDescent="0.3">
      <c r="A277" s="17" t="s">
        <v>113</v>
      </c>
      <c r="C277" s="3">
        <v>156</v>
      </c>
      <c r="F277" s="3">
        <v>6.3792099999999996</v>
      </c>
      <c r="G277" s="16">
        <v>2733.49</v>
      </c>
      <c r="H277" s="13">
        <f t="shared" si="9"/>
        <v>0.76116127990287386</v>
      </c>
      <c r="I277" s="18">
        <v>428500000</v>
      </c>
      <c r="J277" s="18">
        <v>6004.22</v>
      </c>
      <c r="K277" s="3">
        <v>6.1067771999999999E-2</v>
      </c>
      <c r="L277" s="3">
        <v>7.0104016000000001E-4</v>
      </c>
      <c r="M277" s="18">
        <v>6.9820981999999999E-6</v>
      </c>
      <c r="N277" s="18">
        <v>1.4025257999999999E-7</v>
      </c>
      <c r="O277" s="18">
        <v>5.9432551999999996E-6</v>
      </c>
      <c r="P277" s="18">
        <v>9.3298182000000002E-7</v>
      </c>
      <c r="Q277" s="3">
        <v>6.3721259000000001E-3</v>
      </c>
      <c r="R277" s="3">
        <v>1.2816592999999999E-4</v>
      </c>
      <c r="S277" s="3">
        <v>-3.0976450999999998</v>
      </c>
      <c r="T277" s="3">
        <v>1.2970679000000001E-2</v>
      </c>
      <c r="U277" s="18">
        <v>3.4595024999999998E-8</v>
      </c>
      <c r="V277" s="18">
        <v>8.6390092999999999E-10</v>
      </c>
      <c r="W277" s="3">
        <v>-1.5057933999999999E-4</v>
      </c>
      <c r="X277" s="3">
        <v>2.0884891999999999E-4</v>
      </c>
    </row>
    <row r="278" spans="1:24" x14ac:dyDescent="0.3">
      <c r="A278" s="17" t="s">
        <v>113</v>
      </c>
      <c r="C278" s="3">
        <v>160</v>
      </c>
      <c r="F278" s="3">
        <v>6.3792099999999996</v>
      </c>
      <c r="G278" s="16">
        <v>2714.5</v>
      </c>
      <c r="H278" s="13">
        <f t="shared" si="9"/>
        <v>0.75587336858607546</v>
      </c>
      <c r="I278" s="18">
        <v>425522000</v>
      </c>
      <c r="J278" s="18">
        <v>6407.83</v>
      </c>
      <c r="K278" s="3">
        <v>5.7216465000000001E-2</v>
      </c>
      <c r="L278" s="3">
        <v>5.6522951000000001E-4</v>
      </c>
      <c r="M278" s="18">
        <v>6.6219473000000001E-6</v>
      </c>
      <c r="N278" s="18">
        <v>1.2640492E-7</v>
      </c>
      <c r="O278" s="18">
        <v>7.7200173000000003E-6</v>
      </c>
      <c r="P278" s="18">
        <v>8.1639224000000005E-7</v>
      </c>
      <c r="Q278" s="3">
        <v>5.3566157000000001E-3</v>
      </c>
      <c r="R278" s="3">
        <v>1.0869878E-4</v>
      </c>
      <c r="S278" s="3">
        <v>2.9570012999999999</v>
      </c>
      <c r="T278" s="3">
        <v>1.3067527000000001E-2</v>
      </c>
      <c r="U278" s="18">
        <v>3.4266953999999997E-8</v>
      </c>
      <c r="V278" s="18">
        <v>8.598945E-10</v>
      </c>
      <c r="W278" s="3">
        <v>-7.7209209999999997E-4</v>
      </c>
      <c r="X278" s="3">
        <v>1.9221593E-4</v>
      </c>
    </row>
    <row r="279" spans="1:24" x14ac:dyDescent="0.3">
      <c r="A279" s="17" t="s">
        <v>113</v>
      </c>
      <c r="C279" s="3">
        <v>164</v>
      </c>
      <c r="F279" s="3">
        <v>6.3792099999999996</v>
      </c>
      <c r="G279" s="16">
        <v>2686.93</v>
      </c>
      <c r="H279" s="13">
        <f t="shared" si="9"/>
        <v>0.74819629038680546</v>
      </c>
      <c r="I279" s="18">
        <v>421201000</v>
      </c>
      <c r="J279" s="18">
        <v>14822.3</v>
      </c>
      <c r="K279" s="3">
        <v>5.4424822999999997E-2</v>
      </c>
      <c r="L279" s="3">
        <v>5.7275393000000003E-4</v>
      </c>
      <c r="M279" s="18">
        <v>6.9225030000000001E-6</v>
      </c>
      <c r="N279" s="18">
        <v>1.3076685000000001E-7</v>
      </c>
      <c r="O279" s="18">
        <v>8.1637513000000005E-6</v>
      </c>
      <c r="P279" s="18">
        <v>8.3706087000000004E-7</v>
      </c>
      <c r="Q279" s="3">
        <v>4.5529152000000003E-3</v>
      </c>
      <c r="R279" s="3">
        <v>1.2778997999999999E-4</v>
      </c>
      <c r="S279" s="3">
        <v>-2.8170277000000001</v>
      </c>
      <c r="T279" s="3">
        <v>1.7917760000000001E-2</v>
      </c>
      <c r="U279" s="18">
        <v>2.7198542E-8</v>
      </c>
      <c r="V279" s="18">
        <v>9.1107729999999999E-10</v>
      </c>
      <c r="W279" s="18">
        <v>6.2943847000000001E-5</v>
      </c>
      <c r="X279" s="3">
        <v>1.7439395000000001E-4</v>
      </c>
    </row>
    <row r="280" spans="1:24" x14ac:dyDescent="0.3">
      <c r="A280" s="17" t="s">
        <v>113</v>
      </c>
      <c r="C280" s="3">
        <v>168</v>
      </c>
      <c r="F280" s="3">
        <v>6.3792099999999996</v>
      </c>
      <c r="G280" s="16">
        <v>2728.17</v>
      </c>
      <c r="H280" s="13">
        <f t="shared" si="9"/>
        <v>0.75967988505267026</v>
      </c>
      <c r="I280" s="18">
        <v>427666000</v>
      </c>
      <c r="J280" s="18">
        <v>10127.299999999999</v>
      </c>
      <c r="K280" s="3">
        <v>6.0875374000000003E-2</v>
      </c>
      <c r="L280" s="3">
        <v>8.3137814E-4</v>
      </c>
      <c r="M280" s="18">
        <v>6.3908081E-6</v>
      </c>
      <c r="N280" s="18">
        <v>1.7918546E-7</v>
      </c>
      <c r="O280" s="18">
        <v>6.4199019999999998E-6</v>
      </c>
      <c r="P280" s="18">
        <v>1.1774996999999999E-6</v>
      </c>
      <c r="Q280" s="18">
        <v>5.5277371999999997E-9</v>
      </c>
      <c r="R280" s="3" t="s">
        <v>31</v>
      </c>
      <c r="S280" s="3">
        <v>6.2831558000000003</v>
      </c>
      <c r="T280" s="3">
        <v>191520.1</v>
      </c>
      <c r="U280" s="18">
        <v>5.0000341000000002E-9</v>
      </c>
      <c r="V280" s="3" t="s">
        <v>31</v>
      </c>
      <c r="W280" s="3">
        <v>-1.0248162000000001E-3</v>
      </c>
      <c r="X280" s="3">
        <v>3.1081373000000002E-4</v>
      </c>
    </row>
    <row r="281" spans="1:24" x14ac:dyDescent="0.3">
      <c r="A281" s="17" t="s">
        <v>113</v>
      </c>
      <c r="C281" s="3">
        <v>172</v>
      </c>
      <c r="F281" s="3">
        <v>6.3792099999999996</v>
      </c>
      <c r="G281" s="16">
        <v>2689.63</v>
      </c>
      <c r="H281" s="13">
        <f t="shared" si="9"/>
        <v>0.74894812611905182</v>
      </c>
      <c r="I281" s="18">
        <v>421624000</v>
      </c>
      <c r="J281" s="18">
        <v>24568.1</v>
      </c>
      <c r="K281" s="3">
        <v>6.6498552000000002E-2</v>
      </c>
      <c r="L281" s="3">
        <v>6.6181864000000004E-4</v>
      </c>
      <c r="M281" s="18">
        <v>7.1513464000000002E-6</v>
      </c>
      <c r="N281" s="18">
        <v>1.2267114000000001E-7</v>
      </c>
      <c r="O281" s="18">
        <v>1.1942645E-5</v>
      </c>
      <c r="P281" s="18">
        <v>7.3739985000000001E-7</v>
      </c>
      <c r="Q281" s="3">
        <v>4.8470859999999996E-3</v>
      </c>
      <c r="R281" s="3">
        <v>1.8023944000000001E-4</v>
      </c>
      <c r="S281" s="3">
        <v>-2.5692065999999998</v>
      </c>
      <c r="T281" s="3">
        <v>2.3404590999999999E-2</v>
      </c>
      <c r="U281" s="18">
        <v>2.0905474E-8</v>
      </c>
      <c r="V281" s="18">
        <v>8.7866368E-10</v>
      </c>
      <c r="W281" s="3">
        <v>2.6669893000000002E-4</v>
      </c>
      <c r="X281" s="3">
        <v>1.8475607E-4</v>
      </c>
    </row>
    <row r="282" spans="1:24" x14ac:dyDescent="0.3">
      <c r="A282" s="17" t="s">
        <v>113</v>
      </c>
      <c r="C282" s="3">
        <v>176</v>
      </c>
      <c r="F282" s="3">
        <v>6.3792099999999996</v>
      </c>
      <c r="G282" s="16">
        <v>2698.6</v>
      </c>
      <c r="H282" s="13">
        <f t="shared" si="9"/>
        <v>0.75144589149618091</v>
      </c>
      <c r="I282" s="18">
        <v>423030000</v>
      </c>
      <c r="J282" s="18">
        <v>36868.5</v>
      </c>
      <c r="K282" s="3">
        <v>6.1953458000000003E-2</v>
      </c>
      <c r="L282" s="3">
        <v>6.1635688000000004E-4</v>
      </c>
      <c r="M282" s="18">
        <v>6.6117791999999999E-6</v>
      </c>
      <c r="N282" s="18">
        <v>1.2616682E-7</v>
      </c>
      <c r="O282" s="18">
        <v>7.1263848999999999E-6</v>
      </c>
      <c r="P282" s="18">
        <v>8.3000138000000002E-7</v>
      </c>
      <c r="Q282" s="3">
        <v>5.8250296E-3</v>
      </c>
      <c r="R282" s="3">
        <v>1.4327517E-4</v>
      </c>
      <c r="S282" s="3">
        <v>-2.8909353000000002</v>
      </c>
      <c r="T282" s="3">
        <v>2.4178472999999999E-2</v>
      </c>
      <c r="U282" s="18">
        <v>1.6425472000000001E-8</v>
      </c>
      <c r="V282" s="3" t="s">
        <v>31</v>
      </c>
      <c r="W282" s="3">
        <v>-3.7836419000000001E-4</v>
      </c>
      <c r="X282" s="3">
        <v>2.0844534E-4</v>
      </c>
    </row>
    <row r="283" spans="1:24" x14ac:dyDescent="0.3">
      <c r="A283" s="17" t="s">
        <v>113</v>
      </c>
      <c r="C283" s="3">
        <v>180</v>
      </c>
      <c r="F283" s="3">
        <v>6.3792099999999996</v>
      </c>
      <c r="G283" s="16">
        <v>2654.38</v>
      </c>
      <c r="H283" s="13">
        <f t="shared" si="9"/>
        <v>0.73913249294805927</v>
      </c>
      <c r="I283" s="18">
        <v>416098000</v>
      </c>
      <c r="J283" s="18">
        <v>78080.899999999994</v>
      </c>
      <c r="K283" s="3">
        <v>6.5968937000000005E-2</v>
      </c>
      <c r="L283" s="3">
        <v>6.1336053000000002E-4</v>
      </c>
      <c r="M283" s="18">
        <v>6.7525407E-6</v>
      </c>
      <c r="N283" s="18">
        <v>1.1532335000000001E-7</v>
      </c>
      <c r="O283" s="18">
        <v>6.4852180000000003E-6</v>
      </c>
      <c r="P283" s="18">
        <v>7.7009699000000003E-7</v>
      </c>
      <c r="Q283" s="3">
        <v>6.3746141999999999E-3</v>
      </c>
      <c r="R283" s="3">
        <v>1.9999393999999999E-4</v>
      </c>
      <c r="S283" s="3">
        <v>-2.5566124000000001</v>
      </c>
      <c r="T283" s="3">
        <v>3.0592667E-2</v>
      </c>
      <c r="U283" s="18">
        <v>1.182975E-8</v>
      </c>
      <c r="V283" s="3" t="s">
        <v>31</v>
      </c>
      <c r="W283" s="3">
        <v>-3.9677916E-4</v>
      </c>
      <c r="X283" s="3">
        <v>1.9579704E-4</v>
      </c>
    </row>
    <row r="284" spans="1:24" x14ac:dyDescent="0.3">
      <c r="A284" s="17" t="s">
        <v>113</v>
      </c>
      <c r="C284" s="3">
        <v>184</v>
      </c>
      <c r="F284" s="3">
        <v>6.3792099999999996</v>
      </c>
      <c r="G284" s="16">
        <v>2662.52</v>
      </c>
      <c r="H284" s="13">
        <f t="shared" si="9"/>
        <v>0.74139913845194239</v>
      </c>
      <c r="I284" s="18">
        <v>417374000</v>
      </c>
      <c r="J284" s="18">
        <v>41337.4</v>
      </c>
      <c r="K284" s="3">
        <v>4.3714416999999998E-2</v>
      </c>
      <c r="L284" s="3">
        <v>5.6392732000000001E-4</v>
      </c>
      <c r="M284" s="18">
        <v>6.6118666000000001E-6</v>
      </c>
      <c r="N284" s="18">
        <v>1.5561632E-7</v>
      </c>
      <c r="O284" s="18">
        <v>2.2712446E-6</v>
      </c>
      <c r="P284" s="18">
        <v>1.1425786999999999E-6</v>
      </c>
      <c r="Q284" s="3">
        <v>2.6341454999999998E-3</v>
      </c>
      <c r="R284" s="3">
        <v>1.4020910999999999E-4</v>
      </c>
      <c r="S284" s="3">
        <v>2.4085030000000001</v>
      </c>
      <c r="T284" s="3">
        <v>3.3309190000000002E-2</v>
      </c>
      <c r="U284" s="18">
        <v>2.4284199999999999E-8</v>
      </c>
      <c r="V284" s="18">
        <v>1.4751470000000001E-9</v>
      </c>
      <c r="W284" s="3">
        <v>-1.0371498E-4</v>
      </c>
      <c r="X284" s="3">
        <v>1.8395624999999999E-4</v>
      </c>
    </row>
    <row r="285" spans="1:24" x14ac:dyDescent="0.3">
      <c r="A285" s="17" t="s">
        <v>113</v>
      </c>
      <c r="C285" s="3">
        <v>188</v>
      </c>
      <c r="F285" s="3">
        <v>6.3792099999999996</v>
      </c>
      <c r="G285" s="16">
        <v>2727.59</v>
      </c>
      <c r="H285" s="13">
        <f t="shared" si="9"/>
        <v>0.75951837959907664</v>
      </c>
      <c r="I285" s="18">
        <v>427575000</v>
      </c>
      <c r="J285" s="18">
        <v>15512.4</v>
      </c>
      <c r="K285" s="3">
        <v>5.8296713E-2</v>
      </c>
      <c r="L285" s="3">
        <v>5.8680986999999998E-4</v>
      </c>
      <c r="M285" s="18">
        <v>6.8040718999999999E-6</v>
      </c>
      <c r="N285" s="18">
        <v>1.2729865999999999E-7</v>
      </c>
      <c r="O285" s="18">
        <v>8.8276012999999992E-6</v>
      </c>
      <c r="P285" s="18">
        <v>8.0385958999999999E-7</v>
      </c>
      <c r="Q285" s="3">
        <v>4.6059472999999997E-3</v>
      </c>
      <c r="R285" s="3">
        <v>1.4061790000000001E-4</v>
      </c>
      <c r="S285" s="3">
        <v>-2.9294147000000001</v>
      </c>
      <c r="T285" s="3">
        <v>1.9407839E-2</v>
      </c>
      <c r="U285" s="18">
        <v>2.5481919E-8</v>
      </c>
      <c r="V285" s="18">
        <v>9.1699593E-10</v>
      </c>
      <c r="W285" s="18">
        <v>-4.0236997E-5</v>
      </c>
      <c r="X285" s="3">
        <v>1.8711526E-4</v>
      </c>
    </row>
    <row r="286" spans="1:24" x14ac:dyDescent="0.3">
      <c r="A286" s="17" t="s">
        <v>143</v>
      </c>
      <c r="C286">
        <v>0</v>
      </c>
      <c r="D286">
        <f>C286+14</f>
        <v>14</v>
      </c>
      <c r="G286">
        <v>2560.3511338697899</v>
      </c>
      <c r="H286" s="13">
        <f>G286/MAX($G$286:$G$1009)</f>
        <v>0.78127286027798271</v>
      </c>
    </row>
    <row r="287" spans="1:24" x14ac:dyDescent="0.3">
      <c r="A287" s="17" t="s">
        <v>143</v>
      </c>
      <c r="C287">
        <v>1</v>
      </c>
      <c r="D287">
        <f t="shared" ref="D287:D350" si="10">C287+14</f>
        <v>15</v>
      </c>
      <c r="G287">
        <v>2551.0204081632701</v>
      </c>
      <c r="H287" s="13">
        <f t="shared" ref="H287:H350" si="11">G287/MAX($G$286:$G$1009)</f>
        <v>0.7784256559766789</v>
      </c>
    </row>
    <row r="288" spans="1:24" x14ac:dyDescent="0.3">
      <c r="A288" s="17" t="s">
        <v>143</v>
      </c>
      <c r="C288">
        <v>2</v>
      </c>
      <c r="D288">
        <f t="shared" si="10"/>
        <v>16</v>
      </c>
      <c r="G288">
        <v>2539.9129172714102</v>
      </c>
      <c r="H288" s="13">
        <f t="shared" si="11"/>
        <v>0.77503628447024853</v>
      </c>
    </row>
    <row r="289" spans="1:8" x14ac:dyDescent="0.3">
      <c r="A289" s="17" t="s">
        <v>143</v>
      </c>
      <c r="C289">
        <v>3</v>
      </c>
      <c r="D289">
        <f t="shared" si="10"/>
        <v>17</v>
      </c>
      <c r="G289">
        <v>2528.9017341040499</v>
      </c>
      <c r="H289" s="13">
        <f t="shared" si="11"/>
        <v>0.77167630057803682</v>
      </c>
    </row>
    <row r="290" spans="1:8" x14ac:dyDescent="0.3">
      <c r="A290" s="17" t="s">
        <v>143</v>
      </c>
      <c r="C290">
        <v>4</v>
      </c>
      <c r="D290">
        <f t="shared" si="10"/>
        <v>18</v>
      </c>
      <c r="G290">
        <v>2519.79841612671</v>
      </c>
      <c r="H290" s="13">
        <f t="shared" si="11"/>
        <v>0.76889848812095141</v>
      </c>
    </row>
    <row r="291" spans="1:8" x14ac:dyDescent="0.3">
      <c r="A291" s="17" t="s">
        <v>143</v>
      </c>
      <c r="C291">
        <v>5</v>
      </c>
      <c r="D291">
        <f t="shared" si="10"/>
        <v>19</v>
      </c>
      <c r="G291">
        <v>2508.9605734767001</v>
      </c>
      <c r="H291" s="13">
        <f t="shared" si="11"/>
        <v>0.76559139784946262</v>
      </c>
    </row>
    <row r="292" spans="1:8" x14ac:dyDescent="0.3">
      <c r="A292" s="17" t="s">
        <v>143</v>
      </c>
      <c r="C292">
        <v>6</v>
      </c>
      <c r="D292">
        <f t="shared" si="10"/>
        <v>20</v>
      </c>
      <c r="G292">
        <v>2500</v>
      </c>
      <c r="H292" s="13">
        <f t="shared" si="11"/>
        <v>0.7628571428571439</v>
      </c>
    </row>
    <row r="293" spans="1:8" x14ac:dyDescent="0.3">
      <c r="A293" s="17" t="s">
        <v>143</v>
      </c>
      <c r="C293">
        <v>7</v>
      </c>
      <c r="D293">
        <f t="shared" si="10"/>
        <v>21</v>
      </c>
      <c r="G293">
        <v>2489.3314366998602</v>
      </c>
      <c r="H293" s="13">
        <f t="shared" si="11"/>
        <v>0.75960170697012974</v>
      </c>
    </row>
    <row r="294" spans="1:8" x14ac:dyDescent="0.3">
      <c r="A294" s="17" t="s">
        <v>143</v>
      </c>
      <c r="C294">
        <v>8</v>
      </c>
      <c r="D294">
        <f t="shared" si="10"/>
        <v>22</v>
      </c>
      <c r="G294">
        <v>2480.5102763997202</v>
      </c>
      <c r="H294" s="13">
        <f t="shared" si="11"/>
        <v>0.7569099929128299</v>
      </c>
    </row>
    <row r="295" spans="1:8" x14ac:dyDescent="0.3">
      <c r="A295" s="17" t="s">
        <v>143</v>
      </c>
      <c r="C295">
        <v>9</v>
      </c>
      <c r="D295">
        <f t="shared" si="10"/>
        <v>23</v>
      </c>
      <c r="G295">
        <v>2471.7514124293798</v>
      </c>
      <c r="H295" s="13">
        <f t="shared" si="11"/>
        <v>0.75423728813559465</v>
      </c>
    </row>
    <row r="296" spans="1:8" x14ac:dyDescent="0.3">
      <c r="A296" s="17" t="s">
        <v>143</v>
      </c>
      <c r="C296">
        <v>10</v>
      </c>
      <c r="D296">
        <f t="shared" si="10"/>
        <v>24</v>
      </c>
      <c r="G296">
        <v>2464.7887323943701</v>
      </c>
      <c r="H296" s="13">
        <f t="shared" si="11"/>
        <v>0.75211267605634025</v>
      </c>
    </row>
    <row r="297" spans="1:8" x14ac:dyDescent="0.3">
      <c r="A297" s="17" t="s">
        <v>143</v>
      </c>
      <c r="C297">
        <v>11</v>
      </c>
      <c r="D297">
        <f t="shared" si="10"/>
        <v>25</v>
      </c>
      <c r="G297">
        <v>2456.14035087719</v>
      </c>
      <c r="H297" s="13">
        <f t="shared" si="11"/>
        <v>0.7494736842105264</v>
      </c>
    </row>
    <row r="298" spans="1:8" x14ac:dyDescent="0.3">
      <c r="A298" s="17" t="s">
        <v>143</v>
      </c>
      <c r="C298">
        <v>12</v>
      </c>
      <c r="D298">
        <f t="shared" si="10"/>
        <v>26</v>
      </c>
      <c r="G298">
        <v>2449.2652204338701</v>
      </c>
      <c r="H298" s="13">
        <f t="shared" si="11"/>
        <v>0.74737578726382192</v>
      </c>
    </row>
    <row r="299" spans="1:8" x14ac:dyDescent="0.3">
      <c r="A299" s="17" t="s">
        <v>143</v>
      </c>
      <c r="C299">
        <v>13</v>
      </c>
      <c r="D299">
        <f t="shared" si="10"/>
        <v>27</v>
      </c>
      <c r="G299">
        <v>2442.4284717376099</v>
      </c>
      <c r="H299" s="13">
        <f t="shared" si="11"/>
        <v>0.74528960223307739</v>
      </c>
    </row>
    <row r="300" spans="1:8" x14ac:dyDescent="0.3">
      <c r="A300" s="17" t="s">
        <v>143</v>
      </c>
      <c r="C300">
        <v>14</v>
      </c>
      <c r="D300">
        <f t="shared" si="10"/>
        <v>28</v>
      </c>
      <c r="G300">
        <v>2437.32590529248</v>
      </c>
      <c r="H300" s="13">
        <f t="shared" si="11"/>
        <v>0.74373259052924923</v>
      </c>
    </row>
    <row r="301" spans="1:8" x14ac:dyDescent="0.3">
      <c r="A301" s="17" t="s">
        <v>143</v>
      </c>
      <c r="C301">
        <v>15</v>
      </c>
      <c r="D301">
        <f t="shared" si="10"/>
        <v>29</v>
      </c>
      <c r="G301">
        <v>2432.2446143154998</v>
      </c>
      <c r="H301" s="13">
        <f t="shared" si="11"/>
        <v>0.74218207088255916</v>
      </c>
    </row>
    <row r="302" spans="1:8" x14ac:dyDescent="0.3">
      <c r="A302" s="17" t="s">
        <v>143</v>
      </c>
      <c r="C302">
        <v>16</v>
      </c>
      <c r="D302">
        <f t="shared" si="10"/>
        <v>30</v>
      </c>
      <c r="G302">
        <v>2427.1844660194201</v>
      </c>
      <c r="H302" s="13">
        <f t="shared" si="11"/>
        <v>0.74063800277392688</v>
      </c>
    </row>
    <row r="303" spans="1:8" x14ac:dyDescent="0.3">
      <c r="A303" s="17" t="s">
        <v>143</v>
      </c>
      <c r="C303">
        <v>17</v>
      </c>
      <c r="D303">
        <f t="shared" si="10"/>
        <v>31</v>
      </c>
      <c r="G303">
        <v>2423.8227146814402</v>
      </c>
      <c r="H303" s="13">
        <f t="shared" si="11"/>
        <v>0.7396121883656519</v>
      </c>
    </row>
    <row r="304" spans="1:8" x14ac:dyDescent="0.3">
      <c r="A304" s="17" t="s">
        <v>143</v>
      </c>
      <c r="C304">
        <v>18</v>
      </c>
      <c r="D304">
        <f t="shared" si="10"/>
        <v>32</v>
      </c>
      <c r="G304">
        <v>2420.47026279391</v>
      </c>
      <c r="H304" s="13">
        <f t="shared" si="11"/>
        <v>0.73858921161825697</v>
      </c>
    </row>
    <row r="305" spans="1:8" x14ac:dyDescent="0.3">
      <c r="A305" s="17" t="s">
        <v>143</v>
      </c>
      <c r="C305">
        <v>19</v>
      </c>
      <c r="D305">
        <f t="shared" si="10"/>
        <v>33</v>
      </c>
      <c r="G305">
        <v>2417.1270718231999</v>
      </c>
      <c r="H305" s="13">
        <f t="shared" si="11"/>
        <v>0.73756906077348028</v>
      </c>
    </row>
    <row r="306" spans="1:8" x14ac:dyDescent="0.3">
      <c r="A306" s="17" t="s">
        <v>143</v>
      </c>
      <c r="C306">
        <v>20</v>
      </c>
      <c r="D306">
        <f t="shared" si="10"/>
        <v>34</v>
      </c>
      <c r="G306">
        <v>2415.4589371980701</v>
      </c>
      <c r="H306" s="13">
        <f t="shared" si="11"/>
        <v>0.73706004140786918</v>
      </c>
    </row>
    <row r="307" spans="1:8" x14ac:dyDescent="0.3">
      <c r="A307" s="17" t="s">
        <v>143</v>
      </c>
      <c r="C307">
        <v>21</v>
      </c>
      <c r="D307">
        <f t="shared" si="10"/>
        <v>35</v>
      </c>
      <c r="G307">
        <v>2415.4589371980701</v>
      </c>
      <c r="H307" s="13">
        <f t="shared" si="11"/>
        <v>0.73706004140786918</v>
      </c>
    </row>
    <row r="308" spans="1:8" x14ac:dyDescent="0.3">
      <c r="A308" s="17" t="s">
        <v>143</v>
      </c>
      <c r="C308">
        <v>22</v>
      </c>
      <c r="D308">
        <f t="shared" si="10"/>
        <v>36</v>
      </c>
      <c r="G308">
        <v>2415.4589371980701</v>
      </c>
      <c r="H308" s="13">
        <f t="shared" si="11"/>
        <v>0.73706004140786918</v>
      </c>
    </row>
    <row r="309" spans="1:8" x14ac:dyDescent="0.3">
      <c r="A309" s="17" t="s">
        <v>143</v>
      </c>
      <c r="C309">
        <v>23</v>
      </c>
      <c r="D309">
        <f t="shared" si="10"/>
        <v>37</v>
      </c>
      <c r="G309">
        <v>2415.4589371980701</v>
      </c>
      <c r="H309" s="13">
        <f t="shared" si="11"/>
        <v>0.73706004140786918</v>
      </c>
    </row>
    <row r="310" spans="1:8" x14ac:dyDescent="0.3">
      <c r="A310" s="17" t="s">
        <v>143</v>
      </c>
      <c r="C310">
        <v>24</v>
      </c>
      <c r="D310">
        <f t="shared" si="10"/>
        <v>38</v>
      </c>
      <c r="G310">
        <v>2417.1270718231999</v>
      </c>
      <c r="H310" s="13">
        <f t="shared" si="11"/>
        <v>0.73756906077348028</v>
      </c>
    </row>
    <row r="311" spans="1:8" x14ac:dyDescent="0.3">
      <c r="A311" s="17" t="s">
        <v>143</v>
      </c>
      <c r="C311">
        <v>25</v>
      </c>
      <c r="D311">
        <f t="shared" si="10"/>
        <v>39</v>
      </c>
      <c r="G311">
        <v>2418.79751209399</v>
      </c>
      <c r="H311" s="13">
        <f t="shared" si="11"/>
        <v>0.7380787836903957</v>
      </c>
    </row>
    <row r="312" spans="1:8" x14ac:dyDescent="0.3">
      <c r="A312" s="17" t="s">
        <v>143</v>
      </c>
      <c r="C312">
        <v>26</v>
      </c>
      <c r="D312">
        <f t="shared" si="10"/>
        <v>40</v>
      </c>
      <c r="G312">
        <v>2420.47026279391</v>
      </c>
      <c r="H312" s="13">
        <f t="shared" si="11"/>
        <v>0.73858921161825697</v>
      </c>
    </row>
    <row r="313" spans="1:8" x14ac:dyDescent="0.3">
      <c r="A313" s="17" t="s">
        <v>143</v>
      </c>
      <c r="C313">
        <v>27</v>
      </c>
      <c r="D313">
        <f t="shared" si="10"/>
        <v>41</v>
      </c>
      <c r="G313">
        <v>2423.8227146814402</v>
      </c>
      <c r="H313" s="13">
        <f t="shared" si="11"/>
        <v>0.7396121883656519</v>
      </c>
    </row>
    <row r="314" spans="1:8" x14ac:dyDescent="0.3">
      <c r="A314" s="17" t="s">
        <v>143</v>
      </c>
      <c r="C314">
        <v>28</v>
      </c>
      <c r="D314">
        <f t="shared" si="10"/>
        <v>42</v>
      </c>
      <c r="G314">
        <v>2428.8688410825798</v>
      </c>
      <c r="H314" s="13">
        <f t="shared" si="11"/>
        <v>0.74115197779319963</v>
      </c>
    </row>
    <row r="315" spans="1:8" x14ac:dyDescent="0.3">
      <c r="A315" s="17" t="s">
        <v>143</v>
      </c>
      <c r="C315">
        <v>29</v>
      </c>
      <c r="D315">
        <f t="shared" si="10"/>
        <v>43</v>
      </c>
      <c r="G315">
        <v>2433.93602225313</v>
      </c>
      <c r="H315" s="13">
        <f t="shared" si="11"/>
        <v>0.74269819193324182</v>
      </c>
    </row>
    <row r="316" spans="1:8" x14ac:dyDescent="0.3">
      <c r="A316" s="17" t="s">
        <v>143</v>
      </c>
      <c r="C316">
        <v>30</v>
      </c>
      <c r="D316">
        <f t="shared" si="10"/>
        <v>44</v>
      </c>
      <c r="G316">
        <v>2439.0243902439001</v>
      </c>
      <c r="H316" s="13">
        <f t="shared" si="11"/>
        <v>0.74425087108013965</v>
      </c>
    </row>
    <row r="317" spans="1:8" x14ac:dyDescent="0.3">
      <c r="A317" s="17" t="s">
        <v>143</v>
      </c>
      <c r="C317">
        <v>31</v>
      </c>
      <c r="D317">
        <f t="shared" si="10"/>
        <v>45</v>
      </c>
      <c r="G317">
        <v>2444.1340782122902</v>
      </c>
      <c r="H317" s="13">
        <f t="shared" si="11"/>
        <v>0.74581005586592275</v>
      </c>
    </row>
    <row r="318" spans="1:8" x14ac:dyDescent="0.3">
      <c r="A318" s="17" t="s">
        <v>143</v>
      </c>
      <c r="C318">
        <v>32</v>
      </c>
      <c r="D318">
        <f t="shared" si="10"/>
        <v>46</v>
      </c>
      <c r="G318">
        <v>2450.98039215686</v>
      </c>
      <c r="H318" s="13">
        <f t="shared" si="11"/>
        <v>0.74789915966386566</v>
      </c>
    </row>
    <row r="319" spans="1:8" x14ac:dyDescent="0.3">
      <c r="A319" s="17" t="s">
        <v>143</v>
      </c>
      <c r="C319">
        <v>33</v>
      </c>
      <c r="D319">
        <f t="shared" si="10"/>
        <v>47</v>
      </c>
      <c r="G319">
        <v>2457.8651685393302</v>
      </c>
      <c r="H319" s="13">
        <f t="shared" si="11"/>
        <v>0.75000000000000233</v>
      </c>
    </row>
    <row r="320" spans="1:8" x14ac:dyDescent="0.3">
      <c r="A320" s="17" t="s">
        <v>143</v>
      </c>
      <c r="C320">
        <v>34</v>
      </c>
      <c r="D320">
        <f t="shared" si="10"/>
        <v>48</v>
      </c>
      <c r="G320">
        <v>2466.5257223396802</v>
      </c>
      <c r="H320" s="13">
        <f t="shared" si="11"/>
        <v>0.75264270613108053</v>
      </c>
    </row>
    <row r="321" spans="1:8" x14ac:dyDescent="0.3">
      <c r="A321" s="17" t="s">
        <v>143</v>
      </c>
      <c r="C321">
        <v>35</v>
      </c>
      <c r="D321">
        <f t="shared" si="10"/>
        <v>49</v>
      </c>
      <c r="G321">
        <v>2473.49823321555</v>
      </c>
      <c r="H321" s="13">
        <f t="shared" si="11"/>
        <v>0.75477031802120309</v>
      </c>
    </row>
    <row r="322" spans="1:8" x14ac:dyDescent="0.3">
      <c r="A322" s="17" t="s">
        <v>143</v>
      </c>
      <c r="C322">
        <v>36</v>
      </c>
      <c r="D322">
        <f t="shared" si="10"/>
        <v>50</v>
      </c>
      <c r="G322">
        <v>2482.2695035461002</v>
      </c>
      <c r="H322" s="13">
        <f t="shared" si="11"/>
        <v>0.75744680851063961</v>
      </c>
    </row>
    <row r="323" spans="1:8" x14ac:dyDescent="0.3">
      <c r="A323" s="17" t="s">
        <v>143</v>
      </c>
      <c r="C323">
        <v>37</v>
      </c>
      <c r="D323">
        <f t="shared" si="10"/>
        <v>51</v>
      </c>
      <c r="G323">
        <v>2492.8774928774901</v>
      </c>
      <c r="H323" s="13">
        <f t="shared" si="11"/>
        <v>0.76068376068376087</v>
      </c>
    </row>
    <row r="324" spans="1:8" x14ac:dyDescent="0.3">
      <c r="A324" s="17" t="s">
        <v>143</v>
      </c>
      <c r="C324">
        <v>38</v>
      </c>
      <c r="D324">
        <f t="shared" si="10"/>
        <v>52</v>
      </c>
      <c r="G324">
        <v>2501.7869907076501</v>
      </c>
      <c r="H324" s="13">
        <f t="shared" si="11"/>
        <v>0.76340243030736399</v>
      </c>
    </row>
    <row r="325" spans="1:8" x14ac:dyDescent="0.3">
      <c r="A325" s="17" t="s">
        <v>143</v>
      </c>
      <c r="C325">
        <v>39</v>
      </c>
      <c r="D325">
        <f t="shared" si="10"/>
        <v>53</v>
      </c>
      <c r="G325">
        <v>2510.7604017216599</v>
      </c>
      <c r="H325" s="13">
        <f t="shared" si="11"/>
        <v>0.76614060258249617</v>
      </c>
    </row>
    <row r="326" spans="1:8" x14ac:dyDescent="0.3">
      <c r="A326" s="17" t="s">
        <v>143</v>
      </c>
      <c r="C326">
        <v>40</v>
      </c>
      <c r="D326">
        <f t="shared" si="10"/>
        <v>54</v>
      </c>
      <c r="G326">
        <v>2521.6138328530301</v>
      </c>
      <c r="H326" s="13">
        <f t="shared" si="11"/>
        <v>0.76945244956772563</v>
      </c>
    </row>
    <row r="327" spans="1:8" x14ac:dyDescent="0.3">
      <c r="A327" s="17" t="s">
        <v>143</v>
      </c>
      <c r="C327">
        <v>41</v>
      </c>
      <c r="D327">
        <f t="shared" si="10"/>
        <v>55</v>
      </c>
      <c r="G327">
        <v>2532.5615050651199</v>
      </c>
      <c r="H327" s="13">
        <f t="shared" si="11"/>
        <v>0.77279305354558625</v>
      </c>
    </row>
    <row r="328" spans="1:8" x14ac:dyDescent="0.3">
      <c r="A328" s="17" t="s">
        <v>143</v>
      </c>
      <c r="C328">
        <v>42</v>
      </c>
      <c r="D328">
        <f t="shared" si="10"/>
        <v>56</v>
      </c>
      <c r="G328">
        <v>2541.7574437182302</v>
      </c>
      <c r="H328" s="13">
        <f t="shared" si="11"/>
        <v>0.77559912854030666</v>
      </c>
    </row>
    <row r="329" spans="1:8" x14ac:dyDescent="0.3">
      <c r="A329" s="17" t="s">
        <v>143</v>
      </c>
      <c r="C329">
        <v>43</v>
      </c>
      <c r="D329">
        <f t="shared" si="10"/>
        <v>57</v>
      </c>
      <c r="G329">
        <v>2552.8811086798</v>
      </c>
      <c r="H329" s="13">
        <f t="shared" si="11"/>
        <v>0.77899343544858002</v>
      </c>
    </row>
    <row r="330" spans="1:8" x14ac:dyDescent="0.3">
      <c r="A330" s="17" t="s">
        <v>143</v>
      </c>
      <c r="C330">
        <v>44</v>
      </c>
      <c r="D330">
        <f t="shared" si="10"/>
        <v>58</v>
      </c>
      <c r="G330">
        <v>2562.2254758418699</v>
      </c>
      <c r="H330" s="13">
        <f t="shared" si="11"/>
        <v>0.78184480234260589</v>
      </c>
    </row>
    <row r="331" spans="1:8" x14ac:dyDescent="0.3">
      <c r="A331" s="17" t="s">
        <v>143</v>
      </c>
      <c r="C331">
        <v>45</v>
      </c>
      <c r="D331">
        <f t="shared" si="10"/>
        <v>59</v>
      </c>
      <c r="G331">
        <v>2573.5294117647099</v>
      </c>
      <c r="H331" s="13">
        <f t="shared" si="11"/>
        <v>0.78529411764706114</v>
      </c>
    </row>
    <row r="332" spans="1:8" x14ac:dyDescent="0.3">
      <c r="A332" s="17" t="s">
        <v>143</v>
      </c>
      <c r="C332">
        <v>46</v>
      </c>
      <c r="D332">
        <f t="shared" si="10"/>
        <v>60</v>
      </c>
      <c r="G332">
        <v>2583.0258302583002</v>
      </c>
      <c r="H332" s="13">
        <f t="shared" si="11"/>
        <v>0.7881918819188195</v>
      </c>
    </row>
    <row r="333" spans="1:8" x14ac:dyDescent="0.3">
      <c r="A333" s="17" t="s">
        <v>143</v>
      </c>
      <c r="C333">
        <v>47</v>
      </c>
      <c r="D333">
        <f t="shared" si="10"/>
        <v>61</v>
      </c>
      <c r="G333">
        <v>2592.5925925925899</v>
      </c>
      <c r="H333" s="13">
        <f t="shared" si="11"/>
        <v>0.79111111111111132</v>
      </c>
    </row>
    <row r="334" spans="1:8" x14ac:dyDescent="0.3">
      <c r="A334" s="17" t="s">
        <v>143</v>
      </c>
      <c r="C334">
        <v>48</v>
      </c>
      <c r="D334">
        <f t="shared" si="10"/>
        <v>62</v>
      </c>
      <c r="G334">
        <v>2602.2304832713799</v>
      </c>
      <c r="H334" s="13">
        <f t="shared" si="11"/>
        <v>0.79405204460966783</v>
      </c>
    </row>
    <row r="335" spans="1:8" x14ac:dyDescent="0.3">
      <c r="A335" s="17" t="s">
        <v>143</v>
      </c>
      <c r="C335">
        <v>49</v>
      </c>
      <c r="D335">
        <f t="shared" si="10"/>
        <v>63</v>
      </c>
      <c r="G335">
        <v>2609.99254287845</v>
      </c>
      <c r="H335" s="13">
        <f t="shared" si="11"/>
        <v>0.79642058165548235</v>
      </c>
    </row>
    <row r="336" spans="1:8" x14ac:dyDescent="0.3">
      <c r="A336" s="17" t="s">
        <v>143</v>
      </c>
      <c r="C336">
        <v>50</v>
      </c>
      <c r="D336">
        <f t="shared" si="10"/>
        <v>64</v>
      </c>
      <c r="G336">
        <v>2617.8010471204202</v>
      </c>
      <c r="H336" s="13">
        <f t="shared" si="11"/>
        <v>0.79880329094988933</v>
      </c>
    </row>
    <row r="337" spans="1:8" x14ac:dyDescent="0.3">
      <c r="A337" s="17" t="s">
        <v>143</v>
      </c>
      <c r="C337">
        <v>51</v>
      </c>
      <c r="D337">
        <f t="shared" si="10"/>
        <v>65</v>
      </c>
      <c r="G337">
        <v>2623.6881559220401</v>
      </c>
      <c r="H337" s="13">
        <f t="shared" si="11"/>
        <v>0.80059970014992643</v>
      </c>
    </row>
    <row r="338" spans="1:8" x14ac:dyDescent="0.3">
      <c r="A338" s="17" t="s">
        <v>143</v>
      </c>
      <c r="C338">
        <v>52</v>
      </c>
      <c r="D338">
        <f t="shared" si="10"/>
        <v>66</v>
      </c>
      <c r="G338">
        <v>2627.6276276276299</v>
      </c>
      <c r="H338" s="13">
        <f t="shared" si="11"/>
        <v>0.8018018018018036</v>
      </c>
    </row>
    <row r="339" spans="1:8" x14ac:dyDescent="0.3">
      <c r="A339" s="17" t="s">
        <v>143</v>
      </c>
      <c r="C339">
        <v>53</v>
      </c>
      <c r="D339">
        <f t="shared" si="10"/>
        <v>67</v>
      </c>
      <c r="G339">
        <v>2631.5789473684199</v>
      </c>
      <c r="H339" s="13">
        <f t="shared" si="11"/>
        <v>0.80300751879699317</v>
      </c>
    </row>
    <row r="340" spans="1:8" x14ac:dyDescent="0.3">
      <c r="A340" s="17" t="s">
        <v>143</v>
      </c>
      <c r="C340">
        <v>54</v>
      </c>
      <c r="D340">
        <f t="shared" si="10"/>
        <v>68</v>
      </c>
      <c r="G340">
        <v>2633.5590669676499</v>
      </c>
      <c r="H340" s="13">
        <f t="shared" si="11"/>
        <v>0.80361173814898679</v>
      </c>
    </row>
    <row r="341" spans="1:8" x14ac:dyDescent="0.3">
      <c r="A341" s="17" t="s">
        <v>143</v>
      </c>
      <c r="C341">
        <v>55</v>
      </c>
      <c r="D341">
        <f t="shared" si="10"/>
        <v>69</v>
      </c>
      <c r="G341">
        <v>2633.5590669676499</v>
      </c>
      <c r="H341" s="13">
        <f t="shared" si="11"/>
        <v>0.80361173814898679</v>
      </c>
    </row>
    <row r="342" spans="1:8" x14ac:dyDescent="0.3">
      <c r="A342" s="17" t="s">
        <v>143</v>
      </c>
      <c r="C342">
        <v>56</v>
      </c>
      <c r="D342">
        <f t="shared" si="10"/>
        <v>70</v>
      </c>
      <c r="G342">
        <v>2631.5789473684199</v>
      </c>
      <c r="H342" s="13">
        <f t="shared" si="11"/>
        <v>0.80300751879699317</v>
      </c>
    </row>
    <row r="343" spans="1:8" x14ac:dyDescent="0.3">
      <c r="A343" s="17" t="s">
        <v>143</v>
      </c>
      <c r="C343">
        <v>57</v>
      </c>
      <c r="D343">
        <f t="shared" si="10"/>
        <v>71</v>
      </c>
      <c r="G343">
        <v>2627.6276276276299</v>
      </c>
      <c r="H343" s="13">
        <f t="shared" si="11"/>
        <v>0.8018018018018036</v>
      </c>
    </row>
    <row r="344" spans="1:8" x14ac:dyDescent="0.3">
      <c r="A344" s="17" t="s">
        <v>143</v>
      </c>
      <c r="C344">
        <v>58</v>
      </c>
      <c r="D344">
        <f t="shared" si="10"/>
        <v>72</v>
      </c>
      <c r="G344">
        <v>2621.72284644195</v>
      </c>
      <c r="H344" s="13">
        <f t="shared" si="11"/>
        <v>0.80000000000000182</v>
      </c>
    </row>
    <row r="345" spans="1:8" x14ac:dyDescent="0.3">
      <c r="A345" s="17" t="s">
        <v>143</v>
      </c>
      <c r="C345">
        <v>59</v>
      </c>
      <c r="D345">
        <f t="shared" si="10"/>
        <v>73</v>
      </c>
      <c r="G345">
        <v>2613.8909634055299</v>
      </c>
      <c r="H345" s="13">
        <f t="shared" si="11"/>
        <v>0.79761015683345993</v>
      </c>
    </row>
    <row r="346" spans="1:8" x14ac:dyDescent="0.3">
      <c r="A346" s="17" t="s">
        <v>143</v>
      </c>
      <c r="C346">
        <v>60</v>
      </c>
      <c r="D346">
        <f t="shared" si="10"/>
        <v>74</v>
      </c>
      <c r="G346">
        <v>2604.1666666666702</v>
      </c>
      <c r="H346" s="13">
        <f t="shared" si="11"/>
        <v>0.79464285714285932</v>
      </c>
    </row>
    <row r="347" spans="1:8" x14ac:dyDescent="0.3">
      <c r="A347" s="17" t="s">
        <v>143</v>
      </c>
      <c r="C347">
        <v>61</v>
      </c>
      <c r="D347">
        <f t="shared" si="10"/>
        <v>75</v>
      </c>
      <c r="G347">
        <v>2594.5144551519602</v>
      </c>
      <c r="H347" s="13">
        <f t="shared" si="11"/>
        <v>0.79169755374351347</v>
      </c>
    </row>
    <row r="348" spans="1:8" x14ac:dyDescent="0.3">
      <c r="A348" s="17" t="s">
        <v>143</v>
      </c>
      <c r="C348">
        <v>62</v>
      </c>
      <c r="D348">
        <f t="shared" si="10"/>
        <v>76</v>
      </c>
      <c r="G348">
        <v>2584.9335302806498</v>
      </c>
      <c r="H348" s="13">
        <f t="shared" si="11"/>
        <v>0.78877400295421074</v>
      </c>
    </row>
    <row r="349" spans="1:8" x14ac:dyDescent="0.3">
      <c r="A349" s="17" t="s">
        <v>143</v>
      </c>
      <c r="C349">
        <v>63</v>
      </c>
      <c r="D349">
        <f t="shared" si="10"/>
        <v>77</v>
      </c>
      <c r="G349">
        <v>2573.5294117647099</v>
      </c>
      <c r="H349" s="13">
        <f t="shared" si="11"/>
        <v>0.78529411764706114</v>
      </c>
    </row>
    <row r="350" spans="1:8" x14ac:dyDescent="0.3">
      <c r="A350" s="17" t="s">
        <v>143</v>
      </c>
      <c r="C350">
        <v>64</v>
      </c>
      <c r="D350">
        <f t="shared" si="10"/>
        <v>78</v>
      </c>
      <c r="G350">
        <v>2562.2254758418699</v>
      </c>
      <c r="H350" s="13">
        <f t="shared" si="11"/>
        <v>0.78184480234260589</v>
      </c>
    </row>
    <row r="351" spans="1:8" x14ac:dyDescent="0.3">
      <c r="A351" s="17" t="s">
        <v>143</v>
      </c>
      <c r="C351">
        <v>65</v>
      </c>
      <c r="D351">
        <f t="shared" ref="D351:D414" si="12">C351+14</f>
        <v>79</v>
      </c>
      <c r="G351">
        <v>2549.16241806264</v>
      </c>
      <c r="H351" s="13">
        <f t="shared" ref="H351:H414" si="13">G351/MAX($G$286:$G$1009)</f>
        <v>0.77785870356882947</v>
      </c>
    </row>
    <row r="352" spans="1:8" x14ac:dyDescent="0.3">
      <c r="A352" s="17" t="s">
        <v>143</v>
      </c>
      <c r="C352">
        <v>66</v>
      </c>
      <c r="D352">
        <f t="shared" si="12"/>
        <v>80</v>
      </c>
      <c r="G352">
        <v>2538.07106598985</v>
      </c>
      <c r="H352" s="13">
        <f t="shared" si="13"/>
        <v>0.77447425670776093</v>
      </c>
    </row>
    <row r="353" spans="1:8" x14ac:dyDescent="0.3">
      <c r="A353" s="17" t="s">
        <v>143</v>
      </c>
      <c r="C353">
        <v>67</v>
      </c>
      <c r="D353">
        <f t="shared" si="12"/>
        <v>81</v>
      </c>
      <c r="G353">
        <v>2527.07581227437</v>
      </c>
      <c r="H353" s="13">
        <f t="shared" si="13"/>
        <v>0.77111913357400885</v>
      </c>
    </row>
    <row r="354" spans="1:8" x14ac:dyDescent="0.3">
      <c r="A354" s="17" t="s">
        <v>143</v>
      </c>
      <c r="C354">
        <v>68</v>
      </c>
      <c r="D354">
        <f t="shared" si="12"/>
        <v>82</v>
      </c>
      <c r="G354">
        <v>2516.17541337168</v>
      </c>
      <c r="H354" s="13">
        <f t="shared" si="13"/>
        <v>0.76779295470884512</v>
      </c>
    </row>
    <row r="355" spans="1:8" x14ac:dyDescent="0.3">
      <c r="A355" s="17" t="s">
        <v>143</v>
      </c>
      <c r="C355">
        <v>69</v>
      </c>
      <c r="D355">
        <f t="shared" si="12"/>
        <v>83</v>
      </c>
      <c r="G355">
        <v>2507.1633237822398</v>
      </c>
      <c r="H355" s="13">
        <f t="shared" si="13"/>
        <v>0.76504297994269588</v>
      </c>
    </row>
    <row r="356" spans="1:8" x14ac:dyDescent="0.3">
      <c r="A356" s="17" t="s">
        <v>143</v>
      </c>
      <c r="C356">
        <v>70</v>
      </c>
      <c r="D356">
        <f t="shared" si="12"/>
        <v>84</v>
      </c>
      <c r="H356" s="13"/>
    </row>
    <row r="357" spans="1:8" x14ac:dyDescent="0.3">
      <c r="A357" s="17" t="s">
        <v>143</v>
      </c>
      <c r="C357">
        <v>71</v>
      </c>
      <c r="D357">
        <f t="shared" si="12"/>
        <v>85</v>
      </c>
      <c r="H357" s="13"/>
    </row>
    <row r="358" spans="1:8" x14ac:dyDescent="0.3">
      <c r="A358" s="17" t="s">
        <v>143</v>
      </c>
      <c r="C358">
        <v>72</v>
      </c>
      <c r="D358">
        <f t="shared" si="12"/>
        <v>86</v>
      </c>
      <c r="H358" s="13"/>
    </row>
    <row r="359" spans="1:8" x14ac:dyDescent="0.3">
      <c r="A359" s="17" t="s">
        <v>143</v>
      </c>
      <c r="C359">
        <v>73</v>
      </c>
      <c r="D359">
        <f t="shared" si="12"/>
        <v>87</v>
      </c>
      <c r="H359" s="13"/>
    </row>
    <row r="360" spans="1:8" x14ac:dyDescent="0.3">
      <c r="A360" s="17" t="s">
        <v>143</v>
      </c>
      <c r="C360">
        <v>74</v>
      </c>
      <c r="D360">
        <f t="shared" si="12"/>
        <v>88</v>
      </c>
      <c r="H360" s="13"/>
    </row>
    <row r="361" spans="1:8" x14ac:dyDescent="0.3">
      <c r="A361" s="17" t="s">
        <v>143</v>
      </c>
      <c r="C361">
        <v>75</v>
      </c>
      <c r="D361">
        <f t="shared" si="12"/>
        <v>89</v>
      </c>
      <c r="H361" s="13"/>
    </row>
    <row r="362" spans="1:8" x14ac:dyDescent="0.3">
      <c r="A362" s="17" t="s">
        <v>143</v>
      </c>
      <c r="C362">
        <v>76</v>
      </c>
      <c r="D362">
        <f t="shared" si="12"/>
        <v>90</v>
      </c>
      <c r="H362" s="13"/>
    </row>
    <row r="363" spans="1:8" x14ac:dyDescent="0.3">
      <c r="A363" s="17" t="s">
        <v>143</v>
      </c>
      <c r="C363">
        <v>77</v>
      </c>
      <c r="D363">
        <f t="shared" si="12"/>
        <v>91</v>
      </c>
      <c r="H363" s="13"/>
    </row>
    <row r="364" spans="1:8" x14ac:dyDescent="0.3">
      <c r="A364" s="17" t="s">
        <v>143</v>
      </c>
      <c r="C364">
        <v>78</v>
      </c>
      <c r="D364">
        <f t="shared" si="12"/>
        <v>92</v>
      </c>
      <c r="H364" s="13"/>
    </row>
    <row r="365" spans="1:8" x14ac:dyDescent="0.3">
      <c r="A365" s="17" t="s">
        <v>143</v>
      </c>
      <c r="C365">
        <v>79</v>
      </c>
      <c r="D365">
        <f t="shared" si="12"/>
        <v>93</v>
      </c>
      <c r="H365" s="13"/>
    </row>
    <row r="366" spans="1:8" x14ac:dyDescent="0.3">
      <c r="A366" s="17" t="s">
        <v>143</v>
      </c>
      <c r="C366">
        <v>80</v>
      </c>
      <c r="D366">
        <f t="shared" si="12"/>
        <v>94</v>
      </c>
      <c r="H366" s="13"/>
    </row>
    <row r="367" spans="1:8" x14ac:dyDescent="0.3">
      <c r="A367" s="17" t="s">
        <v>143</v>
      </c>
      <c r="C367">
        <v>81</v>
      </c>
      <c r="D367">
        <f t="shared" si="12"/>
        <v>95</v>
      </c>
      <c r="H367" s="13"/>
    </row>
    <row r="368" spans="1:8" x14ac:dyDescent="0.3">
      <c r="A368" s="17" t="s">
        <v>143</v>
      </c>
      <c r="C368">
        <v>82</v>
      </c>
      <c r="D368">
        <f t="shared" si="12"/>
        <v>96</v>
      </c>
      <c r="H368" s="13"/>
    </row>
    <row r="369" spans="1:8" x14ac:dyDescent="0.3">
      <c r="A369" s="17" t="s">
        <v>143</v>
      </c>
      <c r="C369">
        <v>83</v>
      </c>
      <c r="D369">
        <f t="shared" si="12"/>
        <v>97</v>
      </c>
      <c r="H369" s="13"/>
    </row>
    <row r="370" spans="1:8" x14ac:dyDescent="0.3">
      <c r="A370" s="17" t="s">
        <v>143</v>
      </c>
      <c r="C370">
        <v>84</v>
      </c>
      <c r="D370">
        <f t="shared" si="12"/>
        <v>98</v>
      </c>
      <c r="H370" s="13"/>
    </row>
    <row r="371" spans="1:8" x14ac:dyDescent="0.3">
      <c r="A371" s="17" t="s">
        <v>143</v>
      </c>
      <c r="C371">
        <v>85</v>
      </c>
      <c r="D371">
        <f t="shared" si="12"/>
        <v>99</v>
      </c>
      <c r="H371" s="13"/>
    </row>
    <row r="372" spans="1:8" x14ac:dyDescent="0.3">
      <c r="A372" s="17" t="s">
        <v>143</v>
      </c>
      <c r="C372">
        <v>86</v>
      </c>
      <c r="D372">
        <f t="shared" si="12"/>
        <v>100</v>
      </c>
      <c r="H372" s="13"/>
    </row>
    <row r="373" spans="1:8" x14ac:dyDescent="0.3">
      <c r="A373" s="17" t="s">
        <v>143</v>
      </c>
      <c r="C373">
        <v>87</v>
      </c>
      <c r="D373">
        <f t="shared" si="12"/>
        <v>101</v>
      </c>
      <c r="H373" s="13"/>
    </row>
    <row r="374" spans="1:8" x14ac:dyDescent="0.3">
      <c r="A374" s="17" t="s">
        <v>143</v>
      </c>
      <c r="C374">
        <v>88</v>
      </c>
      <c r="D374">
        <f t="shared" si="12"/>
        <v>102</v>
      </c>
      <c r="H374" s="13"/>
    </row>
    <row r="375" spans="1:8" x14ac:dyDescent="0.3">
      <c r="A375" s="17" t="s">
        <v>143</v>
      </c>
      <c r="C375">
        <v>89</v>
      </c>
      <c r="D375">
        <f t="shared" si="12"/>
        <v>103</v>
      </c>
      <c r="H375" s="13"/>
    </row>
    <row r="376" spans="1:8" x14ac:dyDescent="0.3">
      <c r="A376" s="17" t="s">
        <v>143</v>
      </c>
      <c r="C376">
        <v>90</v>
      </c>
      <c r="D376">
        <f t="shared" si="12"/>
        <v>104</v>
      </c>
      <c r="H376" s="13"/>
    </row>
    <row r="377" spans="1:8" x14ac:dyDescent="0.3">
      <c r="A377" s="17" t="s">
        <v>143</v>
      </c>
      <c r="C377">
        <v>91</v>
      </c>
      <c r="D377">
        <f t="shared" si="12"/>
        <v>105</v>
      </c>
      <c r="G377">
        <v>2517.98561151079</v>
      </c>
      <c r="H377" s="13">
        <f t="shared" si="13"/>
        <v>0.76834532374100784</v>
      </c>
    </row>
    <row r="378" spans="1:8" x14ac:dyDescent="0.3">
      <c r="A378" s="17" t="s">
        <v>143</v>
      </c>
      <c r="C378">
        <v>92</v>
      </c>
      <c r="D378">
        <f t="shared" si="12"/>
        <v>106</v>
      </c>
      <c r="G378">
        <v>2528.9017341040499</v>
      </c>
      <c r="H378" s="13">
        <f t="shared" si="13"/>
        <v>0.77167630057803682</v>
      </c>
    </row>
    <row r="379" spans="1:8" x14ac:dyDescent="0.3">
      <c r="A379" s="17" t="s">
        <v>143</v>
      </c>
      <c r="C379">
        <v>93</v>
      </c>
      <c r="D379">
        <f t="shared" si="12"/>
        <v>107</v>
      </c>
      <c r="G379">
        <v>2539.9129172714102</v>
      </c>
      <c r="H379" s="13">
        <f t="shared" si="13"/>
        <v>0.77503628447024853</v>
      </c>
    </row>
    <row r="380" spans="1:8" x14ac:dyDescent="0.3">
      <c r="A380" s="17" t="s">
        <v>143</v>
      </c>
      <c r="C380">
        <v>94</v>
      </c>
      <c r="D380">
        <f t="shared" si="12"/>
        <v>108</v>
      </c>
      <c r="G380">
        <v>2552.8811086798</v>
      </c>
      <c r="H380" s="13">
        <f t="shared" si="13"/>
        <v>0.77899343544858002</v>
      </c>
    </row>
    <row r="381" spans="1:8" x14ac:dyDescent="0.3">
      <c r="A381" s="17" t="s">
        <v>143</v>
      </c>
      <c r="C381">
        <v>95</v>
      </c>
      <c r="D381">
        <f t="shared" si="12"/>
        <v>109</v>
      </c>
      <c r="G381">
        <v>2565.9824046920799</v>
      </c>
      <c r="H381" s="13">
        <f t="shared" si="13"/>
        <v>0.78299120234604136</v>
      </c>
    </row>
    <row r="382" spans="1:8" x14ac:dyDescent="0.3">
      <c r="A382" s="17" t="s">
        <v>143</v>
      </c>
      <c r="C382">
        <v>96</v>
      </c>
      <c r="D382">
        <f t="shared" si="12"/>
        <v>110</v>
      </c>
      <c r="G382">
        <v>2579.2188651437</v>
      </c>
      <c r="H382" s="13">
        <f t="shared" si="13"/>
        <v>0.78703021370670723</v>
      </c>
    </row>
    <row r="383" spans="1:8" x14ac:dyDescent="0.3">
      <c r="A383" s="17" t="s">
        <v>143</v>
      </c>
      <c r="C383">
        <v>97</v>
      </c>
      <c r="D383">
        <f t="shared" si="12"/>
        <v>111</v>
      </c>
      <c r="G383">
        <v>2592.5925925925899</v>
      </c>
      <c r="H383" s="13">
        <f t="shared" si="13"/>
        <v>0.79111111111111132</v>
      </c>
    </row>
    <row r="384" spans="1:8" x14ac:dyDescent="0.3">
      <c r="A384" s="17" t="s">
        <v>143</v>
      </c>
      <c r="C384">
        <v>98</v>
      </c>
      <c r="D384">
        <f t="shared" si="12"/>
        <v>112</v>
      </c>
      <c r="G384">
        <v>2604.1666666666702</v>
      </c>
      <c r="H384" s="13">
        <f t="shared" si="13"/>
        <v>0.79464285714285932</v>
      </c>
    </row>
    <row r="385" spans="1:8" x14ac:dyDescent="0.3">
      <c r="A385" s="17" t="s">
        <v>143</v>
      </c>
      <c r="C385">
        <v>99</v>
      </c>
      <c r="D385">
        <f t="shared" si="12"/>
        <v>113</v>
      </c>
      <c r="G385">
        <v>2617.8010471204202</v>
      </c>
      <c r="H385" s="13">
        <f t="shared" si="13"/>
        <v>0.79880329094988933</v>
      </c>
    </row>
    <row r="386" spans="1:8" x14ac:dyDescent="0.3">
      <c r="A386" s="17" t="s">
        <v>143</v>
      </c>
      <c r="C386">
        <v>100</v>
      </c>
      <c r="D386">
        <f t="shared" si="12"/>
        <v>114</v>
      </c>
      <c r="G386">
        <v>2631.5789473684199</v>
      </c>
      <c r="H386" s="13">
        <f t="shared" si="13"/>
        <v>0.80300751879699317</v>
      </c>
    </row>
    <row r="387" spans="1:8" x14ac:dyDescent="0.3">
      <c r="A387" s="17" t="s">
        <v>143</v>
      </c>
      <c r="C387">
        <v>101</v>
      </c>
      <c r="D387">
        <f t="shared" si="12"/>
        <v>115</v>
      </c>
      <c r="G387">
        <v>2643.5045317220502</v>
      </c>
      <c r="H387" s="13">
        <f t="shared" si="13"/>
        <v>0.80664652567975814</v>
      </c>
    </row>
    <row r="388" spans="1:8" x14ac:dyDescent="0.3">
      <c r="A388" s="17" t="s">
        <v>143</v>
      </c>
      <c r="C388">
        <v>102</v>
      </c>
      <c r="D388">
        <f t="shared" si="12"/>
        <v>116</v>
      </c>
      <c r="G388">
        <v>2655.53869499241</v>
      </c>
      <c r="H388" s="13">
        <f t="shared" si="13"/>
        <v>0.8103186646433993</v>
      </c>
    </row>
    <row r="389" spans="1:8" x14ac:dyDescent="0.3">
      <c r="A389" s="17" t="s">
        <v>143</v>
      </c>
      <c r="C389">
        <v>103</v>
      </c>
      <c r="D389">
        <f t="shared" si="12"/>
        <v>117</v>
      </c>
      <c r="G389">
        <v>2667.6829268292699</v>
      </c>
      <c r="H389" s="13">
        <f t="shared" si="13"/>
        <v>0.81402439024390405</v>
      </c>
    </row>
    <row r="390" spans="1:8" x14ac:dyDescent="0.3">
      <c r="A390" s="17" t="s">
        <v>143</v>
      </c>
      <c r="C390">
        <v>104</v>
      </c>
      <c r="D390">
        <f t="shared" si="12"/>
        <v>118</v>
      </c>
      <c r="G390">
        <v>2677.8882938025999</v>
      </c>
      <c r="H390" s="13">
        <f t="shared" si="13"/>
        <v>0.81713848508033726</v>
      </c>
    </row>
    <row r="391" spans="1:8" x14ac:dyDescent="0.3">
      <c r="A391" s="17" t="s">
        <v>143</v>
      </c>
      <c r="C391">
        <v>105</v>
      </c>
      <c r="D391">
        <f t="shared" si="12"/>
        <v>119</v>
      </c>
      <c r="G391">
        <v>2688.1720430107498</v>
      </c>
      <c r="H391" s="13">
        <f t="shared" si="13"/>
        <v>0.82027649769585276</v>
      </c>
    </row>
    <row r="392" spans="1:8" x14ac:dyDescent="0.3">
      <c r="A392" s="17" t="s">
        <v>143</v>
      </c>
      <c r="C392">
        <v>106</v>
      </c>
      <c r="D392">
        <f t="shared" si="12"/>
        <v>120</v>
      </c>
      <c r="G392">
        <v>2696.4560862865901</v>
      </c>
      <c r="H392" s="13">
        <f t="shared" si="13"/>
        <v>0.82280431432973777</v>
      </c>
    </row>
    <row r="393" spans="1:8" x14ac:dyDescent="0.3">
      <c r="A393" s="17" t="s">
        <v>143</v>
      </c>
      <c r="C393">
        <v>107</v>
      </c>
      <c r="D393">
        <f t="shared" si="12"/>
        <v>121</v>
      </c>
      <c r="G393">
        <v>2704.7913446676998</v>
      </c>
      <c r="H393" s="13">
        <f t="shared" si="13"/>
        <v>0.82534775888717349</v>
      </c>
    </row>
    <row r="394" spans="1:8" x14ac:dyDescent="0.3">
      <c r="A394" s="17" t="s">
        <v>143</v>
      </c>
      <c r="C394">
        <v>108</v>
      </c>
      <c r="D394">
        <f t="shared" si="12"/>
        <v>122</v>
      </c>
      <c r="G394">
        <v>2711.0766847405098</v>
      </c>
      <c r="H394" s="13">
        <f t="shared" si="13"/>
        <v>0.82726568551510526</v>
      </c>
    </row>
    <row r="395" spans="1:8" x14ac:dyDescent="0.3">
      <c r="A395" s="17" t="s">
        <v>143</v>
      </c>
      <c r="C395">
        <v>109</v>
      </c>
      <c r="D395">
        <f t="shared" si="12"/>
        <v>123</v>
      </c>
      <c r="G395">
        <v>2715.2831652443801</v>
      </c>
      <c r="H395" s="13">
        <f t="shared" si="13"/>
        <v>0.82854926299457199</v>
      </c>
    </row>
    <row r="396" spans="1:8" x14ac:dyDescent="0.3">
      <c r="A396" s="17" t="s">
        <v>143</v>
      </c>
      <c r="C396">
        <v>110</v>
      </c>
      <c r="D396">
        <f t="shared" si="12"/>
        <v>124</v>
      </c>
      <c r="G396">
        <v>2719.5027195027201</v>
      </c>
      <c r="H396" s="13">
        <f t="shared" si="13"/>
        <v>0.82983682983683116</v>
      </c>
    </row>
    <row r="397" spans="1:8" x14ac:dyDescent="0.3">
      <c r="A397" s="17" t="s">
        <v>143</v>
      </c>
      <c r="C397">
        <v>111</v>
      </c>
      <c r="D397">
        <f t="shared" si="12"/>
        <v>125</v>
      </c>
      <c r="G397">
        <v>2721.61741835148</v>
      </c>
      <c r="H397" s="13">
        <f t="shared" si="13"/>
        <v>0.83048211508553837</v>
      </c>
    </row>
    <row r="398" spans="1:8" x14ac:dyDescent="0.3">
      <c r="A398" s="17" t="s">
        <v>143</v>
      </c>
      <c r="C398">
        <v>112</v>
      </c>
      <c r="D398">
        <f t="shared" si="12"/>
        <v>126</v>
      </c>
      <c r="G398">
        <v>2721.61741835148</v>
      </c>
      <c r="H398" s="13">
        <f t="shared" si="13"/>
        <v>0.83048211508553837</v>
      </c>
    </row>
    <row r="399" spans="1:8" x14ac:dyDescent="0.3">
      <c r="A399" s="17" t="s">
        <v>143</v>
      </c>
      <c r="C399">
        <v>113</v>
      </c>
      <c r="D399">
        <f t="shared" si="12"/>
        <v>127</v>
      </c>
      <c r="G399">
        <v>2719.5027195027201</v>
      </c>
      <c r="H399" s="13">
        <f t="shared" si="13"/>
        <v>0.82983682983683116</v>
      </c>
    </row>
    <row r="400" spans="1:8" x14ac:dyDescent="0.3">
      <c r="A400" s="17" t="s">
        <v>143</v>
      </c>
      <c r="C400">
        <v>114</v>
      </c>
      <c r="D400">
        <f t="shared" si="12"/>
        <v>128</v>
      </c>
      <c r="G400">
        <v>2717.3913043478301</v>
      </c>
      <c r="H400" s="13">
        <f t="shared" si="13"/>
        <v>0.82919254658385322</v>
      </c>
    </row>
    <row r="401" spans="1:8" x14ac:dyDescent="0.3">
      <c r="A401" s="17" t="s">
        <v>143</v>
      </c>
      <c r="C401">
        <v>115</v>
      </c>
      <c r="D401">
        <f t="shared" si="12"/>
        <v>129</v>
      </c>
      <c r="G401">
        <v>2711.0766847405098</v>
      </c>
      <c r="H401" s="13">
        <f t="shared" si="13"/>
        <v>0.82726568551510526</v>
      </c>
    </row>
    <row r="402" spans="1:8" x14ac:dyDescent="0.3">
      <c r="A402" s="17" t="s">
        <v>143</v>
      </c>
      <c r="C402">
        <v>116</v>
      </c>
      <c r="D402">
        <f t="shared" si="12"/>
        <v>130</v>
      </c>
      <c r="G402">
        <v>2706.8832173240498</v>
      </c>
      <c r="H402" s="13">
        <f t="shared" si="13"/>
        <v>0.82598607888631115</v>
      </c>
    </row>
    <row r="403" spans="1:8" x14ac:dyDescent="0.3">
      <c r="A403" s="17" t="s">
        <v>143</v>
      </c>
      <c r="C403">
        <v>117</v>
      </c>
      <c r="D403">
        <f t="shared" si="12"/>
        <v>131</v>
      </c>
      <c r="G403">
        <v>2698.53508095605</v>
      </c>
      <c r="H403" s="13">
        <f t="shared" si="13"/>
        <v>0.82343870470316149</v>
      </c>
    </row>
    <row r="404" spans="1:8" x14ac:dyDescent="0.3">
      <c r="A404" s="17" t="s">
        <v>143</v>
      </c>
      <c r="C404">
        <v>118</v>
      </c>
      <c r="D404">
        <f t="shared" si="12"/>
        <v>132</v>
      </c>
      <c r="G404">
        <v>2690.2382782475001</v>
      </c>
      <c r="H404" s="13">
        <f t="shared" si="13"/>
        <v>0.82090699461952399</v>
      </c>
    </row>
    <row r="405" spans="1:8" x14ac:dyDescent="0.3">
      <c r="A405" s="17" t="s">
        <v>143</v>
      </c>
      <c r="C405">
        <v>119</v>
      </c>
      <c r="D405">
        <f t="shared" si="12"/>
        <v>133</v>
      </c>
      <c r="G405">
        <v>2681.9923371647501</v>
      </c>
      <c r="H405" s="13">
        <f t="shared" si="13"/>
        <v>0.81839080459770197</v>
      </c>
    </row>
    <row r="406" spans="1:8" x14ac:dyDescent="0.3">
      <c r="A406" s="17" t="s">
        <v>143</v>
      </c>
      <c r="C406">
        <v>120</v>
      </c>
      <c r="D406">
        <f t="shared" si="12"/>
        <v>134</v>
      </c>
      <c r="G406">
        <v>2671.7557251908402</v>
      </c>
      <c r="H406" s="13">
        <f t="shared" si="13"/>
        <v>0.81526717557252026</v>
      </c>
    </row>
    <row r="407" spans="1:8" x14ac:dyDescent="0.3">
      <c r="A407" s="17" t="s">
        <v>143</v>
      </c>
      <c r="C407">
        <v>121</v>
      </c>
      <c r="D407">
        <f t="shared" si="12"/>
        <v>135</v>
      </c>
      <c r="G407">
        <v>2661.59695817491</v>
      </c>
      <c r="H407" s="13">
        <f t="shared" si="13"/>
        <v>0.81216730038023077</v>
      </c>
    </row>
    <row r="408" spans="1:8" x14ac:dyDescent="0.3">
      <c r="A408" s="17" t="s">
        <v>143</v>
      </c>
      <c r="C408">
        <v>122</v>
      </c>
      <c r="D408">
        <f t="shared" si="12"/>
        <v>136</v>
      </c>
      <c r="G408">
        <v>2649.5079485238498</v>
      </c>
      <c r="H408" s="13">
        <f t="shared" si="13"/>
        <v>0.8084784254352787</v>
      </c>
    </row>
    <row r="409" spans="1:8" x14ac:dyDescent="0.3">
      <c r="A409" s="17" t="s">
        <v>143</v>
      </c>
      <c r="C409">
        <v>123</v>
      </c>
      <c r="D409">
        <f t="shared" si="12"/>
        <v>137</v>
      </c>
      <c r="G409">
        <v>2639.5173453996999</v>
      </c>
      <c r="H409" s="13">
        <f t="shared" si="13"/>
        <v>0.80542986425339524</v>
      </c>
    </row>
    <row r="410" spans="1:8" x14ac:dyDescent="0.3">
      <c r="A410" s="17" t="s">
        <v>143</v>
      </c>
      <c r="C410">
        <v>124</v>
      </c>
      <c r="D410">
        <f t="shared" si="12"/>
        <v>138</v>
      </c>
      <c r="G410">
        <v>2627.6276276276299</v>
      </c>
      <c r="H410" s="13">
        <f t="shared" si="13"/>
        <v>0.8018018018018036</v>
      </c>
    </row>
    <row r="411" spans="1:8" x14ac:dyDescent="0.3">
      <c r="A411" s="17" t="s">
        <v>143</v>
      </c>
      <c r="C411">
        <v>125</v>
      </c>
      <c r="D411">
        <f t="shared" si="12"/>
        <v>139</v>
      </c>
      <c r="G411">
        <v>2615.8445440956698</v>
      </c>
      <c r="H411" s="13">
        <f t="shared" si="13"/>
        <v>0.79820627802690836</v>
      </c>
    </row>
    <row r="412" spans="1:8" x14ac:dyDescent="0.3">
      <c r="A412" s="17" t="s">
        <v>143</v>
      </c>
      <c r="C412">
        <v>126</v>
      </c>
      <c r="D412">
        <f t="shared" si="12"/>
        <v>140</v>
      </c>
      <c r="G412">
        <v>2602.2304832713799</v>
      </c>
      <c r="H412" s="13">
        <f t="shared" si="13"/>
        <v>0.79405204460966783</v>
      </c>
    </row>
    <row r="413" spans="1:8" x14ac:dyDescent="0.3">
      <c r="A413" s="17" t="s">
        <v>143</v>
      </c>
      <c r="C413">
        <v>127</v>
      </c>
      <c r="D413">
        <f t="shared" si="12"/>
        <v>141</v>
      </c>
      <c r="G413">
        <v>2590.67357512953</v>
      </c>
      <c r="H413" s="13">
        <f t="shared" si="13"/>
        <v>0.79052553663952618</v>
      </c>
    </row>
    <row r="414" spans="1:8" x14ac:dyDescent="0.3">
      <c r="A414" s="17" t="s">
        <v>143</v>
      </c>
      <c r="C414">
        <v>128</v>
      </c>
      <c r="D414">
        <f t="shared" si="12"/>
        <v>142</v>
      </c>
      <c r="G414">
        <v>2579.2188651437</v>
      </c>
      <c r="H414" s="13">
        <f t="shared" si="13"/>
        <v>0.78703021370670723</v>
      </c>
    </row>
    <row r="415" spans="1:8" x14ac:dyDescent="0.3">
      <c r="A415" s="17" t="s">
        <v>143</v>
      </c>
      <c r="C415">
        <v>129</v>
      </c>
      <c r="D415">
        <f t="shared" ref="D415:D452" si="14">C415+14</f>
        <v>143</v>
      </c>
      <c r="G415">
        <v>2567.8650036683798</v>
      </c>
      <c r="H415" s="13">
        <f t="shared" ref="H415:H452" si="15">G415/MAX($G$286:$G$1009)</f>
        <v>0.78356566397652383</v>
      </c>
    </row>
    <row r="416" spans="1:8" x14ac:dyDescent="0.3">
      <c r="A416" s="17" t="s">
        <v>143</v>
      </c>
      <c r="C416">
        <v>130</v>
      </c>
      <c r="D416">
        <f t="shared" si="14"/>
        <v>144</v>
      </c>
      <c r="G416">
        <v>2556.6106647187698</v>
      </c>
      <c r="H416" s="13">
        <f t="shared" si="15"/>
        <v>0.78013148283418565</v>
      </c>
    </row>
    <row r="417" spans="1:8" x14ac:dyDescent="0.3">
      <c r="A417" s="17" t="s">
        <v>143</v>
      </c>
      <c r="C417">
        <v>131</v>
      </c>
      <c r="D417">
        <f t="shared" si="14"/>
        <v>145</v>
      </c>
      <c r="G417">
        <v>2545.45454545455</v>
      </c>
      <c r="H417" s="13">
        <f t="shared" si="15"/>
        <v>0.77672727272727515</v>
      </c>
    </row>
    <row r="418" spans="1:8" x14ac:dyDescent="0.3">
      <c r="A418" s="17" t="s">
        <v>143</v>
      </c>
      <c r="C418">
        <v>132</v>
      </c>
      <c r="D418">
        <f t="shared" si="14"/>
        <v>146</v>
      </c>
      <c r="G418">
        <v>2534.39536567705</v>
      </c>
      <c r="H418" s="13">
        <f t="shared" si="15"/>
        <v>0.77335264301231232</v>
      </c>
    </row>
    <row r="419" spans="1:8" x14ac:dyDescent="0.3">
      <c r="A419" s="17" t="s">
        <v>143</v>
      </c>
      <c r="C419">
        <v>133</v>
      </c>
      <c r="D419">
        <f t="shared" si="14"/>
        <v>147</v>
      </c>
      <c r="G419">
        <v>2523.4318673395801</v>
      </c>
      <c r="H419" s="13">
        <f t="shared" si="15"/>
        <v>0.77000720980533577</v>
      </c>
    </row>
    <row r="420" spans="1:8" x14ac:dyDescent="0.3">
      <c r="A420" s="17" t="s">
        <v>143</v>
      </c>
      <c r="C420">
        <v>134</v>
      </c>
      <c r="D420">
        <f t="shared" si="14"/>
        <v>148</v>
      </c>
      <c r="G420">
        <v>2514.3678160919499</v>
      </c>
      <c r="H420" s="13">
        <f t="shared" si="15"/>
        <v>0.76724137931034464</v>
      </c>
    </row>
    <row r="421" spans="1:8" x14ac:dyDescent="0.3">
      <c r="A421" s="17" t="s">
        <v>143</v>
      </c>
      <c r="C421">
        <v>135</v>
      </c>
      <c r="D421">
        <f t="shared" si="14"/>
        <v>149</v>
      </c>
      <c r="G421">
        <v>2505.36864710093</v>
      </c>
      <c r="H421" s="13">
        <f t="shared" si="15"/>
        <v>0.76449534717251344</v>
      </c>
    </row>
    <row r="422" spans="1:8" x14ac:dyDescent="0.3">
      <c r="A422" s="17" t="s">
        <v>143</v>
      </c>
      <c r="C422">
        <v>136</v>
      </c>
      <c r="D422">
        <f t="shared" si="14"/>
        <v>150</v>
      </c>
      <c r="G422">
        <v>2498.21556031406</v>
      </c>
      <c r="H422" s="13">
        <f t="shared" si="15"/>
        <v>0.76231263383297709</v>
      </c>
    </row>
    <row r="423" spans="1:8" x14ac:dyDescent="0.3">
      <c r="A423" s="17" t="s">
        <v>143</v>
      </c>
      <c r="C423">
        <v>137</v>
      </c>
      <c r="D423">
        <f t="shared" si="14"/>
        <v>151</v>
      </c>
      <c r="G423">
        <v>2491.1032028469799</v>
      </c>
      <c r="H423" s="13">
        <f t="shared" si="15"/>
        <v>0.76014234875445086</v>
      </c>
    </row>
    <row r="424" spans="1:8" x14ac:dyDescent="0.3">
      <c r="A424" s="17" t="s">
        <v>143</v>
      </c>
      <c r="C424">
        <v>138</v>
      </c>
      <c r="D424">
        <f t="shared" si="14"/>
        <v>152</v>
      </c>
      <c r="G424">
        <v>2484.03122782115</v>
      </c>
      <c r="H424" s="13">
        <f t="shared" si="15"/>
        <v>0.7579843860894262</v>
      </c>
    </row>
    <row r="425" spans="1:8" x14ac:dyDescent="0.3">
      <c r="A425" s="17" t="s">
        <v>143</v>
      </c>
      <c r="C425">
        <v>139</v>
      </c>
      <c r="D425">
        <f t="shared" si="14"/>
        <v>153</v>
      </c>
      <c r="G425">
        <v>2476.9992922859201</v>
      </c>
      <c r="H425" s="13">
        <f t="shared" si="15"/>
        <v>0.75583864118896182</v>
      </c>
    </row>
    <row r="426" spans="1:8" x14ac:dyDescent="0.3">
      <c r="A426" s="17" t="s">
        <v>143</v>
      </c>
      <c r="C426">
        <v>140</v>
      </c>
      <c r="D426">
        <f t="shared" si="14"/>
        <v>154</v>
      </c>
      <c r="G426">
        <v>2473.49823321555</v>
      </c>
      <c r="H426" s="13">
        <f t="shared" si="15"/>
        <v>0.75477031802120309</v>
      </c>
    </row>
    <row r="427" spans="1:8" x14ac:dyDescent="0.3">
      <c r="A427" s="17" t="s">
        <v>143</v>
      </c>
      <c r="C427">
        <v>141</v>
      </c>
      <c r="D427">
        <f t="shared" si="14"/>
        <v>155</v>
      </c>
      <c r="G427">
        <v>2468.26516220028</v>
      </c>
      <c r="H427" s="13">
        <f t="shared" si="15"/>
        <v>0.75317348377997217</v>
      </c>
    </row>
    <row r="428" spans="1:8" x14ac:dyDescent="0.3">
      <c r="A428" s="17" t="s">
        <v>143</v>
      </c>
      <c r="C428">
        <v>142</v>
      </c>
      <c r="D428">
        <f t="shared" si="14"/>
        <v>156</v>
      </c>
      <c r="G428">
        <v>2464.7887323943701</v>
      </c>
      <c r="H428" s="13">
        <f t="shared" si="15"/>
        <v>0.75211267605634025</v>
      </c>
    </row>
    <row r="429" spans="1:8" x14ac:dyDescent="0.3">
      <c r="A429" s="17" t="s">
        <v>143</v>
      </c>
      <c r="C429">
        <v>143</v>
      </c>
      <c r="D429">
        <f t="shared" si="14"/>
        <v>157</v>
      </c>
      <c r="G429">
        <v>2463.05418719212</v>
      </c>
      <c r="H429" s="13">
        <f t="shared" si="15"/>
        <v>0.75158339197748225</v>
      </c>
    </row>
    <row r="430" spans="1:8" x14ac:dyDescent="0.3">
      <c r="A430" s="17" t="s">
        <v>143</v>
      </c>
      <c r="C430">
        <v>144</v>
      </c>
      <c r="D430">
        <f t="shared" si="14"/>
        <v>158</v>
      </c>
      <c r="G430">
        <v>2461.3220815752502</v>
      </c>
      <c r="H430" s="13">
        <f t="shared" si="15"/>
        <v>0.75105485232067737</v>
      </c>
    </row>
    <row r="431" spans="1:8" x14ac:dyDescent="0.3">
      <c r="A431" s="17" t="s">
        <v>143</v>
      </c>
      <c r="C431">
        <v>145</v>
      </c>
      <c r="D431">
        <f t="shared" si="14"/>
        <v>159</v>
      </c>
      <c r="G431">
        <v>2461.3220815752502</v>
      </c>
      <c r="H431" s="13">
        <f t="shared" si="15"/>
        <v>0.75105485232067737</v>
      </c>
    </row>
    <row r="432" spans="1:8" x14ac:dyDescent="0.3">
      <c r="A432" s="17" t="s">
        <v>143</v>
      </c>
      <c r="C432">
        <v>146</v>
      </c>
      <c r="D432">
        <f t="shared" si="14"/>
        <v>160</v>
      </c>
      <c r="G432">
        <v>2461.3220815752502</v>
      </c>
      <c r="H432" s="13">
        <f t="shared" si="15"/>
        <v>0.75105485232067737</v>
      </c>
    </row>
    <row r="433" spans="1:8" x14ac:dyDescent="0.3">
      <c r="A433" s="17" t="s">
        <v>143</v>
      </c>
      <c r="C433">
        <v>147</v>
      </c>
      <c r="D433">
        <f t="shared" si="14"/>
        <v>161</v>
      </c>
      <c r="G433">
        <v>2463.05418719212</v>
      </c>
      <c r="H433" s="13">
        <f t="shared" si="15"/>
        <v>0.75158339197748225</v>
      </c>
    </row>
    <row r="434" spans="1:8" x14ac:dyDescent="0.3">
      <c r="A434" s="17" t="s">
        <v>143</v>
      </c>
      <c r="C434">
        <v>148</v>
      </c>
      <c r="D434">
        <f t="shared" si="14"/>
        <v>162</v>
      </c>
      <c r="G434">
        <v>2464.7887323943701</v>
      </c>
      <c r="H434" s="13">
        <f t="shared" si="15"/>
        <v>0.75211267605634025</v>
      </c>
    </row>
    <row r="435" spans="1:8" x14ac:dyDescent="0.3">
      <c r="A435" s="17" t="s">
        <v>143</v>
      </c>
      <c r="C435">
        <v>149</v>
      </c>
      <c r="D435">
        <f t="shared" si="14"/>
        <v>163</v>
      </c>
      <c r="G435">
        <v>2468.26516220028</v>
      </c>
      <c r="H435" s="13">
        <f t="shared" si="15"/>
        <v>0.75317348377997217</v>
      </c>
    </row>
    <row r="436" spans="1:8" x14ac:dyDescent="0.3">
      <c r="A436" s="17" t="s">
        <v>143</v>
      </c>
      <c r="C436">
        <v>150</v>
      </c>
      <c r="D436">
        <f t="shared" si="14"/>
        <v>164</v>
      </c>
      <c r="G436">
        <v>2471.7514124293798</v>
      </c>
      <c r="H436" s="13">
        <f t="shared" si="15"/>
        <v>0.75423728813559465</v>
      </c>
    </row>
    <row r="437" spans="1:8" x14ac:dyDescent="0.3">
      <c r="A437" s="17" t="s">
        <v>143</v>
      </c>
      <c r="C437">
        <v>151</v>
      </c>
      <c r="D437">
        <f t="shared" si="14"/>
        <v>165</v>
      </c>
      <c r="G437">
        <v>2476.9992922859201</v>
      </c>
      <c r="H437" s="13">
        <f t="shared" si="15"/>
        <v>0.75583864118896182</v>
      </c>
    </row>
    <row r="438" spans="1:8" x14ac:dyDescent="0.3">
      <c r="A438" s="17" t="s">
        <v>143</v>
      </c>
      <c r="C438">
        <v>152</v>
      </c>
      <c r="D438">
        <f t="shared" si="14"/>
        <v>166</v>
      </c>
      <c r="G438">
        <v>2484.03122782115</v>
      </c>
      <c r="H438" s="13">
        <f t="shared" si="15"/>
        <v>0.7579843860894262</v>
      </c>
    </row>
    <row r="439" spans="1:8" x14ac:dyDescent="0.3">
      <c r="A439" s="17" t="s">
        <v>143</v>
      </c>
      <c r="C439">
        <v>153</v>
      </c>
      <c r="D439">
        <f t="shared" si="14"/>
        <v>167</v>
      </c>
      <c r="G439">
        <v>2489.3314366998602</v>
      </c>
      <c r="H439" s="13">
        <f t="shared" si="15"/>
        <v>0.75960170697012974</v>
      </c>
    </row>
    <row r="440" spans="1:8" x14ac:dyDescent="0.3">
      <c r="A440" s="17" t="s">
        <v>143</v>
      </c>
      <c r="C440">
        <v>154</v>
      </c>
      <c r="D440">
        <f t="shared" si="14"/>
        <v>168</v>
      </c>
      <c r="G440">
        <v>2498.21556031406</v>
      </c>
      <c r="H440" s="13">
        <f t="shared" si="15"/>
        <v>0.76231263383297709</v>
      </c>
    </row>
    <row r="441" spans="1:8" x14ac:dyDescent="0.3">
      <c r="A441" s="17" t="s">
        <v>143</v>
      </c>
      <c r="C441">
        <v>155</v>
      </c>
      <c r="D441">
        <f t="shared" si="14"/>
        <v>169</v>
      </c>
      <c r="G441">
        <v>2505.36864710093</v>
      </c>
      <c r="H441" s="13">
        <f t="shared" si="15"/>
        <v>0.76449534717251344</v>
      </c>
    </row>
    <row r="442" spans="1:8" x14ac:dyDescent="0.3">
      <c r="A442" s="17" t="s">
        <v>143</v>
      </c>
      <c r="C442">
        <v>156</v>
      </c>
      <c r="D442">
        <f t="shared" si="14"/>
        <v>170</v>
      </c>
      <c r="G442">
        <v>2514.3678160919499</v>
      </c>
      <c r="H442" s="13">
        <f t="shared" si="15"/>
        <v>0.76724137931034464</v>
      </c>
    </row>
    <row r="443" spans="1:8" x14ac:dyDescent="0.3">
      <c r="A443" s="17" t="s">
        <v>143</v>
      </c>
      <c r="C443">
        <v>157</v>
      </c>
      <c r="D443">
        <f t="shared" si="14"/>
        <v>171</v>
      </c>
      <c r="G443">
        <v>2523.4318673395801</v>
      </c>
      <c r="H443" s="13">
        <f t="shared" si="15"/>
        <v>0.77000720980533577</v>
      </c>
    </row>
    <row r="444" spans="1:8" x14ac:dyDescent="0.3">
      <c r="A444" s="17" t="s">
        <v>143</v>
      </c>
      <c r="C444">
        <v>158</v>
      </c>
      <c r="D444">
        <f t="shared" si="14"/>
        <v>172</v>
      </c>
      <c r="G444">
        <v>2534.39536567705</v>
      </c>
      <c r="H444" s="13">
        <f t="shared" si="15"/>
        <v>0.77335264301231232</v>
      </c>
    </row>
    <row r="445" spans="1:8" x14ac:dyDescent="0.3">
      <c r="A445" s="17" t="s">
        <v>143</v>
      </c>
      <c r="C445">
        <v>159</v>
      </c>
      <c r="D445">
        <f t="shared" si="14"/>
        <v>173</v>
      </c>
      <c r="G445">
        <v>2543.6046511627901</v>
      </c>
      <c r="H445" s="13">
        <f t="shared" si="15"/>
        <v>0.77616279069767524</v>
      </c>
    </row>
    <row r="446" spans="1:8" x14ac:dyDescent="0.3">
      <c r="A446" s="17" t="s">
        <v>143</v>
      </c>
      <c r="C446">
        <v>160</v>
      </c>
      <c r="D446">
        <f t="shared" si="14"/>
        <v>174</v>
      </c>
      <c r="G446">
        <v>2554.7445255474499</v>
      </c>
      <c r="H446" s="13">
        <f t="shared" si="15"/>
        <v>0.77956204379562288</v>
      </c>
    </row>
    <row r="447" spans="1:8" x14ac:dyDescent="0.3">
      <c r="A447" s="17" t="s">
        <v>143</v>
      </c>
      <c r="C447">
        <v>161</v>
      </c>
      <c r="D447">
        <f t="shared" si="14"/>
        <v>175</v>
      </c>
      <c r="G447">
        <v>2565.9824046920799</v>
      </c>
      <c r="H447" s="13">
        <f t="shared" si="15"/>
        <v>0.78299120234604136</v>
      </c>
    </row>
    <row r="448" spans="1:8" x14ac:dyDescent="0.3">
      <c r="A448" s="17" t="s">
        <v>143</v>
      </c>
      <c r="C448">
        <v>162</v>
      </c>
      <c r="D448">
        <f t="shared" si="14"/>
        <v>176</v>
      </c>
      <c r="G448">
        <v>2575.4231052244299</v>
      </c>
      <c r="H448" s="13">
        <f t="shared" si="15"/>
        <v>0.78587196467991283</v>
      </c>
    </row>
    <row r="449" spans="1:8" x14ac:dyDescent="0.3">
      <c r="A449" s="17" t="s">
        <v>143</v>
      </c>
      <c r="C449">
        <v>163</v>
      </c>
      <c r="D449">
        <f t="shared" si="14"/>
        <v>177</v>
      </c>
      <c r="G449">
        <v>2586.84405025868</v>
      </c>
      <c r="H449" s="13">
        <f t="shared" si="15"/>
        <v>0.78935698447893543</v>
      </c>
    </row>
    <row r="450" spans="1:8" x14ac:dyDescent="0.3">
      <c r="A450" s="17" t="s">
        <v>143</v>
      </c>
      <c r="C450">
        <v>164</v>
      </c>
      <c r="D450">
        <f t="shared" si="14"/>
        <v>178</v>
      </c>
      <c r="G450">
        <v>2596.4391691394699</v>
      </c>
      <c r="H450" s="13">
        <f t="shared" si="15"/>
        <v>0.79228486646884499</v>
      </c>
    </row>
    <row r="451" spans="1:8" x14ac:dyDescent="0.3">
      <c r="A451" s="17" t="s">
        <v>143</v>
      </c>
      <c r="C451">
        <v>165</v>
      </c>
      <c r="D451">
        <f t="shared" si="14"/>
        <v>179</v>
      </c>
      <c r="G451">
        <v>2606.1057334326101</v>
      </c>
      <c r="H451" s="13">
        <f t="shared" si="15"/>
        <v>0.79523454951600892</v>
      </c>
    </row>
    <row r="452" spans="1:8" x14ac:dyDescent="0.3">
      <c r="A452" s="17" t="s">
        <v>143</v>
      </c>
      <c r="C452">
        <v>166</v>
      </c>
      <c r="D452">
        <f t="shared" si="14"/>
        <v>180</v>
      </c>
      <c r="G452">
        <v>2613.8909634055299</v>
      </c>
      <c r="H452" s="13">
        <f t="shared" si="15"/>
        <v>0.79761015683345993</v>
      </c>
    </row>
    <row r="453" spans="1:8" x14ac:dyDescent="0.3">
      <c r="A453" s="17" t="s">
        <v>143</v>
      </c>
      <c r="C453">
        <v>167</v>
      </c>
      <c r="D453">
        <v>0</v>
      </c>
      <c r="H453" s="13"/>
    </row>
    <row r="454" spans="1:8" x14ac:dyDescent="0.3">
      <c r="A454" s="17" t="s">
        <v>143</v>
      </c>
      <c r="C454">
        <v>168</v>
      </c>
      <c r="D454">
        <f>D453+1</f>
        <v>1</v>
      </c>
      <c r="H454" s="13"/>
    </row>
    <row r="455" spans="1:8" x14ac:dyDescent="0.3">
      <c r="A455" s="17" t="s">
        <v>143</v>
      </c>
      <c r="C455">
        <v>169</v>
      </c>
      <c r="D455">
        <f t="shared" ref="D455:D466" si="16">D454+1</f>
        <v>2</v>
      </c>
      <c r="H455" s="13"/>
    </row>
    <row r="456" spans="1:8" x14ac:dyDescent="0.3">
      <c r="A456" s="17" t="s">
        <v>143</v>
      </c>
      <c r="C456">
        <v>170</v>
      </c>
      <c r="D456">
        <f t="shared" si="16"/>
        <v>3</v>
      </c>
      <c r="H456" s="13"/>
    </row>
    <row r="457" spans="1:8" x14ac:dyDescent="0.3">
      <c r="A457" s="17" t="s">
        <v>143</v>
      </c>
      <c r="C457">
        <v>171</v>
      </c>
      <c r="D457">
        <f t="shared" si="16"/>
        <v>4</v>
      </c>
      <c r="H457" s="13"/>
    </row>
    <row r="458" spans="1:8" x14ac:dyDescent="0.3">
      <c r="A458" s="17" t="s">
        <v>143</v>
      </c>
      <c r="C458">
        <v>172</v>
      </c>
      <c r="D458">
        <f t="shared" si="16"/>
        <v>5</v>
      </c>
      <c r="H458" s="13"/>
    </row>
    <row r="459" spans="1:8" x14ac:dyDescent="0.3">
      <c r="A459" s="17" t="s">
        <v>143</v>
      </c>
      <c r="C459">
        <v>173</v>
      </c>
      <c r="D459">
        <f t="shared" si="16"/>
        <v>6</v>
      </c>
      <c r="H459" s="13"/>
    </row>
    <row r="460" spans="1:8" x14ac:dyDescent="0.3">
      <c r="A460" s="17" t="s">
        <v>143</v>
      </c>
      <c r="C460">
        <v>174</v>
      </c>
      <c r="D460">
        <f t="shared" si="16"/>
        <v>7</v>
      </c>
      <c r="H460" s="13"/>
    </row>
    <row r="461" spans="1:8" x14ac:dyDescent="0.3">
      <c r="A461" s="17" t="s">
        <v>143</v>
      </c>
      <c r="C461">
        <v>175</v>
      </c>
      <c r="D461">
        <f t="shared" si="16"/>
        <v>8</v>
      </c>
      <c r="H461" s="13"/>
    </row>
    <row r="462" spans="1:8" x14ac:dyDescent="0.3">
      <c r="A462" s="17" t="s">
        <v>143</v>
      </c>
      <c r="C462">
        <v>176</v>
      </c>
      <c r="D462">
        <f t="shared" si="16"/>
        <v>9</v>
      </c>
      <c r="H462" s="13"/>
    </row>
    <row r="463" spans="1:8" x14ac:dyDescent="0.3">
      <c r="A463" s="17" t="s">
        <v>143</v>
      </c>
      <c r="C463">
        <v>177</v>
      </c>
      <c r="D463">
        <f t="shared" si="16"/>
        <v>10</v>
      </c>
      <c r="H463" s="13"/>
    </row>
    <row r="464" spans="1:8" x14ac:dyDescent="0.3">
      <c r="A464" s="17" t="s">
        <v>143</v>
      </c>
      <c r="C464">
        <v>178</v>
      </c>
      <c r="D464">
        <f t="shared" si="16"/>
        <v>11</v>
      </c>
      <c r="H464" s="13"/>
    </row>
    <row r="465" spans="1:8" x14ac:dyDescent="0.3">
      <c r="A465" s="17" t="s">
        <v>143</v>
      </c>
      <c r="C465">
        <v>179</v>
      </c>
      <c r="D465">
        <f t="shared" si="16"/>
        <v>12</v>
      </c>
      <c r="H465" s="13"/>
    </row>
    <row r="466" spans="1:8" x14ac:dyDescent="0.3">
      <c r="A466" s="17" t="s">
        <v>143</v>
      </c>
      <c r="C466">
        <v>180</v>
      </c>
      <c r="D466">
        <f t="shared" si="16"/>
        <v>13</v>
      </c>
      <c r="H466" s="13"/>
    </row>
    <row r="467" spans="1:8" x14ac:dyDescent="0.3">
      <c r="A467" s="17" t="s">
        <v>142</v>
      </c>
      <c r="C467">
        <v>0</v>
      </c>
      <c r="D467">
        <v>14</v>
      </c>
      <c r="H467" s="13"/>
    </row>
    <row r="468" spans="1:8" x14ac:dyDescent="0.3">
      <c r="A468" s="17" t="s">
        <v>142</v>
      </c>
      <c r="C468">
        <v>1</v>
      </c>
      <c r="D468">
        <v>15</v>
      </c>
      <c r="H468" s="13"/>
    </row>
    <row r="469" spans="1:8" x14ac:dyDescent="0.3">
      <c r="A469" s="17" t="s">
        <v>142</v>
      </c>
      <c r="C469">
        <v>2</v>
      </c>
      <c r="D469">
        <v>16</v>
      </c>
      <c r="H469" s="13"/>
    </row>
    <row r="470" spans="1:8" x14ac:dyDescent="0.3">
      <c r="A470" s="17" t="s">
        <v>142</v>
      </c>
      <c r="C470">
        <v>3</v>
      </c>
      <c r="D470">
        <v>17</v>
      </c>
      <c r="H470" s="13"/>
    </row>
    <row r="471" spans="1:8" x14ac:dyDescent="0.3">
      <c r="A471" s="17" t="s">
        <v>142</v>
      </c>
      <c r="C471">
        <v>4</v>
      </c>
      <c r="D471">
        <v>18</v>
      </c>
      <c r="H471" s="13"/>
    </row>
    <row r="472" spans="1:8" x14ac:dyDescent="0.3">
      <c r="A472" s="17" t="s">
        <v>142</v>
      </c>
      <c r="C472">
        <v>5</v>
      </c>
      <c r="D472">
        <v>19</v>
      </c>
      <c r="H472" s="13"/>
    </row>
    <row r="473" spans="1:8" x14ac:dyDescent="0.3">
      <c r="A473" s="17" t="s">
        <v>142</v>
      </c>
      <c r="C473">
        <v>6</v>
      </c>
      <c r="D473">
        <v>20</v>
      </c>
      <c r="H473" s="13"/>
    </row>
    <row r="474" spans="1:8" x14ac:dyDescent="0.3">
      <c r="A474" s="17" t="s">
        <v>142</v>
      </c>
      <c r="C474">
        <v>7</v>
      </c>
      <c r="D474">
        <v>21</v>
      </c>
      <c r="H474" s="13"/>
    </row>
    <row r="475" spans="1:8" x14ac:dyDescent="0.3">
      <c r="A475" s="17" t="s">
        <v>142</v>
      </c>
      <c r="C475">
        <v>8</v>
      </c>
      <c r="D475">
        <v>22</v>
      </c>
      <c r="H475" s="13"/>
    </row>
    <row r="476" spans="1:8" x14ac:dyDescent="0.3">
      <c r="A476" s="17" t="s">
        <v>142</v>
      </c>
      <c r="C476">
        <v>9</v>
      </c>
      <c r="D476">
        <v>23</v>
      </c>
      <c r="H476" s="13"/>
    </row>
    <row r="477" spans="1:8" x14ac:dyDescent="0.3">
      <c r="A477" s="17" t="s">
        <v>142</v>
      </c>
      <c r="C477">
        <v>10</v>
      </c>
      <c r="D477">
        <v>24</v>
      </c>
      <c r="H477" s="13"/>
    </row>
    <row r="478" spans="1:8" x14ac:dyDescent="0.3">
      <c r="A478" s="17" t="s">
        <v>142</v>
      </c>
      <c r="C478">
        <v>11</v>
      </c>
      <c r="D478">
        <v>25</v>
      </c>
      <c r="H478" s="13"/>
    </row>
    <row r="479" spans="1:8" x14ac:dyDescent="0.3">
      <c r="A479" s="17" t="s">
        <v>142</v>
      </c>
      <c r="C479">
        <v>12</v>
      </c>
      <c r="D479">
        <v>26</v>
      </c>
      <c r="H479" s="13"/>
    </row>
    <row r="480" spans="1:8" x14ac:dyDescent="0.3">
      <c r="A480" s="17" t="s">
        <v>142</v>
      </c>
      <c r="C480">
        <v>13</v>
      </c>
      <c r="D480">
        <v>27</v>
      </c>
      <c r="H480" s="13"/>
    </row>
    <row r="481" spans="1:8" x14ac:dyDescent="0.3">
      <c r="A481" s="17" t="s">
        <v>142</v>
      </c>
      <c r="C481">
        <v>14</v>
      </c>
      <c r="D481">
        <v>28</v>
      </c>
      <c r="H481" s="13"/>
    </row>
    <row r="482" spans="1:8" x14ac:dyDescent="0.3">
      <c r="A482" s="17" t="s">
        <v>142</v>
      </c>
      <c r="C482">
        <v>15</v>
      </c>
      <c r="D482">
        <v>29</v>
      </c>
      <c r="H482" s="13"/>
    </row>
    <row r="483" spans="1:8" x14ac:dyDescent="0.3">
      <c r="A483" s="17" t="s">
        <v>142</v>
      </c>
      <c r="C483">
        <v>16</v>
      </c>
      <c r="D483">
        <v>30</v>
      </c>
      <c r="H483" s="13"/>
    </row>
    <row r="484" spans="1:8" x14ac:dyDescent="0.3">
      <c r="A484" s="17" t="s">
        <v>142</v>
      </c>
      <c r="C484">
        <v>17</v>
      </c>
      <c r="D484">
        <v>31</v>
      </c>
      <c r="H484" s="13"/>
    </row>
    <row r="485" spans="1:8" x14ac:dyDescent="0.3">
      <c r="A485" s="17" t="s">
        <v>142</v>
      </c>
      <c r="C485">
        <v>18</v>
      </c>
      <c r="D485">
        <v>32</v>
      </c>
      <c r="H485" s="13"/>
    </row>
    <row r="486" spans="1:8" x14ac:dyDescent="0.3">
      <c r="A486" s="17" t="s">
        <v>142</v>
      </c>
      <c r="C486">
        <v>19</v>
      </c>
      <c r="D486">
        <v>33</v>
      </c>
      <c r="H486" s="13"/>
    </row>
    <row r="487" spans="1:8" x14ac:dyDescent="0.3">
      <c r="A487" s="17" t="s">
        <v>142</v>
      </c>
      <c r="C487">
        <v>20</v>
      </c>
      <c r="D487">
        <v>34</v>
      </c>
      <c r="H487" s="13"/>
    </row>
    <row r="488" spans="1:8" x14ac:dyDescent="0.3">
      <c r="A488" s="17" t="s">
        <v>142</v>
      </c>
      <c r="C488">
        <v>21</v>
      </c>
      <c r="D488">
        <v>35</v>
      </c>
      <c r="H488" s="13"/>
    </row>
    <row r="489" spans="1:8" x14ac:dyDescent="0.3">
      <c r="A489" s="17" t="s">
        <v>142</v>
      </c>
      <c r="C489">
        <v>22</v>
      </c>
      <c r="D489">
        <v>36</v>
      </c>
      <c r="H489" s="13"/>
    </row>
    <row r="490" spans="1:8" x14ac:dyDescent="0.3">
      <c r="A490" s="17" t="s">
        <v>142</v>
      </c>
      <c r="C490">
        <v>23</v>
      </c>
      <c r="D490">
        <v>37</v>
      </c>
      <c r="H490" s="13"/>
    </row>
    <row r="491" spans="1:8" x14ac:dyDescent="0.3">
      <c r="A491" s="17" t="s">
        <v>142</v>
      </c>
      <c r="C491">
        <v>24</v>
      </c>
      <c r="D491">
        <v>38</v>
      </c>
      <c r="H491" s="13"/>
    </row>
    <row r="492" spans="1:8" x14ac:dyDescent="0.3">
      <c r="A492" s="17" t="s">
        <v>142</v>
      </c>
      <c r="C492">
        <v>25</v>
      </c>
      <c r="D492">
        <v>39</v>
      </c>
      <c r="H492" s="13"/>
    </row>
    <row r="493" spans="1:8" x14ac:dyDescent="0.3">
      <c r="A493" s="17" t="s">
        <v>142</v>
      </c>
      <c r="C493">
        <v>26</v>
      </c>
      <c r="D493">
        <v>40</v>
      </c>
      <c r="H493" s="13"/>
    </row>
    <row r="494" spans="1:8" x14ac:dyDescent="0.3">
      <c r="A494" s="17" t="s">
        <v>142</v>
      </c>
      <c r="C494">
        <v>27</v>
      </c>
      <c r="D494">
        <v>41</v>
      </c>
      <c r="H494" s="13"/>
    </row>
    <row r="495" spans="1:8" x14ac:dyDescent="0.3">
      <c r="A495" s="17" t="s">
        <v>142</v>
      </c>
      <c r="C495">
        <v>28</v>
      </c>
      <c r="D495">
        <v>42</v>
      </c>
      <c r="H495" s="13"/>
    </row>
    <row r="496" spans="1:8" x14ac:dyDescent="0.3">
      <c r="A496" s="17" t="s">
        <v>142</v>
      </c>
      <c r="C496">
        <v>29</v>
      </c>
      <c r="D496">
        <v>43</v>
      </c>
      <c r="H496" s="13"/>
    </row>
    <row r="497" spans="1:8" x14ac:dyDescent="0.3">
      <c r="A497" s="17" t="s">
        <v>142</v>
      </c>
      <c r="C497">
        <v>30</v>
      </c>
      <c r="D497">
        <v>44</v>
      </c>
      <c r="H497" s="13"/>
    </row>
    <row r="498" spans="1:8" x14ac:dyDescent="0.3">
      <c r="A498" s="17" t="s">
        <v>142</v>
      </c>
      <c r="C498">
        <v>31</v>
      </c>
      <c r="D498">
        <v>45</v>
      </c>
      <c r="H498" s="13"/>
    </row>
    <row r="499" spans="1:8" x14ac:dyDescent="0.3">
      <c r="A499" s="17" t="s">
        <v>142</v>
      </c>
      <c r="C499">
        <v>32</v>
      </c>
      <c r="D499">
        <v>46</v>
      </c>
      <c r="H499" s="13"/>
    </row>
    <row r="500" spans="1:8" x14ac:dyDescent="0.3">
      <c r="A500" s="17" t="s">
        <v>142</v>
      </c>
      <c r="C500">
        <v>33</v>
      </c>
      <c r="D500">
        <v>47</v>
      </c>
      <c r="H500" s="13"/>
    </row>
    <row r="501" spans="1:8" x14ac:dyDescent="0.3">
      <c r="A501" s="17" t="s">
        <v>142</v>
      </c>
      <c r="C501">
        <v>34</v>
      </c>
      <c r="D501">
        <v>48</v>
      </c>
      <c r="H501" s="13"/>
    </row>
    <row r="502" spans="1:8" x14ac:dyDescent="0.3">
      <c r="A502" s="17" t="s">
        <v>142</v>
      </c>
      <c r="C502">
        <v>35</v>
      </c>
      <c r="D502">
        <v>49</v>
      </c>
      <c r="H502" s="13"/>
    </row>
    <row r="503" spans="1:8" x14ac:dyDescent="0.3">
      <c r="A503" s="17" t="s">
        <v>142</v>
      </c>
      <c r="C503">
        <v>36</v>
      </c>
      <c r="D503">
        <v>50</v>
      </c>
      <c r="H503" s="13"/>
    </row>
    <row r="504" spans="1:8" x14ac:dyDescent="0.3">
      <c r="A504" s="17" t="s">
        <v>142</v>
      </c>
      <c r="C504">
        <v>37</v>
      </c>
      <c r="D504">
        <v>51</v>
      </c>
      <c r="H504" s="13"/>
    </row>
    <row r="505" spans="1:8" x14ac:dyDescent="0.3">
      <c r="A505" s="17" t="s">
        <v>142</v>
      </c>
      <c r="C505">
        <v>38</v>
      </c>
      <c r="D505">
        <v>52</v>
      </c>
      <c r="H505" s="13"/>
    </row>
    <row r="506" spans="1:8" x14ac:dyDescent="0.3">
      <c r="A506" s="17" t="s">
        <v>142</v>
      </c>
      <c r="C506">
        <v>39</v>
      </c>
      <c r="D506">
        <v>53</v>
      </c>
      <c r="H506" s="13"/>
    </row>
    <row r="507" spans="1:8" x14ac:dyDescent="0.3">
      <c r="A507" s="17" t="s">
        <v>142</v>
      </c>
      <c r="C507">
        <v>40</v>
      </c>
      <c r="D507">
        <v>54</v>
      </c>
      <c r="H507" s="13"/>
    </row>
    <row r="508" spans="1:8" x14ac:dyDescent="0.3">
      <c r="A508" s="17" t="s">
        <v>142</v>
      </c>
      <c r="C508">
        <v>41</v>
      </c>
      <c r="D508">
        <v>55</v>
      </c>
      <c r="H508" s="13"/>
    </row>
    <row r="509" spans="1:8" x14ac:dyDescent="0.3">
      <c r="A509" s="17" t="s">
        <v>142</v>
      </c>
      <c r="C509">
        <v>42</v>
      </c>
      <c r="D509">
        <v>56</v>
      </c>
      <c r="H509" s="13"/>
    </row>
    <row r="510" spans="1:8" x14ac:dyDescent="0.3">
      <c r="A510" s="17" t="s">
        <v>142</v>
      </c>
      <c r="C510">
        <v>43</v>
      </c>
      <c r="D510">
        <v>57</v>
      </c>
      <c r="H510" s="13"/>
    </row>
    <row r="511" spans="1:8" x14ac:dyDescent="0.3">
      <c r="A511" s="17" t="s">
        <v>142</v>
      </c>
      <c r="C511">
        <v>44</v>
      </c>
      <c r="D511">
        <v>58</v>
      </c>
      <c r="H511" s="13"/>
    </row>
    <row r="512" spans="1:8" x14ac:dyDescent="0.3">
      <c r="A512" s="17" t="s">
        <v>142</v>
      </c>
      <c r="C512">
        <v>45</v>
      </c>
      <c r="D512">
        <v>59</v>
      </c>
      <c r="H512" s="13"/>
    </row>
    <row r="513" spans="1:8" x14ac:dyDescent="0.3">
      <c r="A513" s="17" t="s">
        <v>142</v>
      </c>
      <c r="C513">
        <v>46</v>
      </c>
      <c r="D513">
        <v>60</v>
      </c>
      <c r="H513" s="13"/>
    </row>
    <row r="514" spans="1:8" x14ac:dyDescent="0.3">
      <c r="A514" s="17" t="s">
        <v>142</v>
      </c>
      <c r="C514">
        <v>47</v>
      </c>
      <c r="D514">
        <v>61</v>
      </c>
      <c r="H514" s="13"/>
    </row>
    <row r="515" spans="1:8" x14ac:dyDescent="0.3">
      <c r="A515" s="17" t="s">
        <v>142</v>
      </c>
      <c r="C515">
        <v>48</v>
      </c>
      <c r="D515">
        <v>62</v>
      </c>
      <c r="H515" s="13"/>
    </row>
    <row r="516" spans="1:8" x14ac:dyDescent="0.3">
      <c r="A516" s="17" t="s">
        <v>142</v>
      </c>
      <c r="C516">
        <v>49</v>
      </c>
      <c r="D516">
        <v>63</v>
      </c>
      <c r="H516" s="13"/>
    </row>
    <row r="517" spans="1:8" x14ac:dyDescent="0.3">
      <c r="A517" s="17" t="s">
        <v>142</v>
      </c>
      <c r="C517">
        <v>50</v>
      </c>
      <c r="D517">
        <v>64</v>
      </c>
      <c r="H517" s="13"/>
    </row>
    <row r="518" spans="1:8" x14ac:dyDescent="0.3">
      <c r="A518" s="17" t="s">
        <v>142</v>
      </c>
      <c r="C518">
        <v>51</v>
      </c>
      <c r="D518">
        <v>65</v>
      </c>
      <c r="H518" s="13"/>
    </row>
    <row r="519" spans="1:8" x14ac:dyDescent="0.3">
      <c r="A519" s="17" t="s">
        <v>142</v>
      </c>
      <c r="C519">
        <v>52</v>
      </c>
      <c r="D519">
        <v>66</v>
      </c>
      <c r="H519" s="13"/>
    </row>
    <row r="520" spans="1:8" x14ac:dyDescent="0.3">
      <c r="A520" s="17" t="s">
        <v>142</v>
      </c>
      <c r="C520">
        <v>53</v>
      </c>
      <c r="D520">
        <v>67</v>
      </c>
      <c r="H520" s="13"/>
    </row>
    <row r="521" spans="1:8" x14ac:dyDescent="0.3">
      <c r="A521" s="17" t="s">
        <v>142</v>
      </c>
      <c r="C521">
        <v>54</v>
      </c>
      <c r="D521">
        <v>68</v>
      </c>
      <c r="H521" s="13"/>
    </row>
    <row r="522" spans="1:8" x14ac:dyDescent="0.3">
      <c r="A522" s="17" t="s">
        <v>142</v>
      </c>
      <c r="C522">
        <v>55</v>
      </c>
      <c r="D522">
        <v>69</v>
      </c>
      <c r="H522" s="13"/>
    </row>
    <row r="523" spans="1:8" x14ac:dyDescent="0.3">
      <c r="A523" s="17" t="s">
        <v>142</v>
      </c>
      <c r="C523">
        <v>56</v>
      </c>
      <c r="D523">
        <v>70</v>
      </c>
      <c r="H523" s="13"/>
    </row>
    <row r="524" spans="1:8" x14ac:dyDescent="0.3">
      <c r="A524" s="17" t="s">
        <v>142</v>
      </c>
      <c r="C524">
        <v>57</v>
      </c>
      <c r="D524">
        <v>71</v>
      </c>
      <c r="H524" s="13"/>
    </row>
    <row r="525" spans="1:8" x14ac:dyDescent="0.3">
      <c r="A525" s="17" t="s">
        <v>142</v>
      </c>
      <c r="C525">
        <v>58</v>
      </c>
      <c r="D525">
        <v>72</v>
      </c>
      <c r="H525" s="13"/>
    </row>
    <row r="526" spans="1:8" x14ac:dyDescent="0.3">
      <c r="A526" s="17" t="s">
        <v>142</v>
      </c>
      <c r="C526">
        <v>59</v>
      </c>
      <c r="D526">
        <v>73</v>
      </c>
      <c r="H526" s="13"/>
    </row>
    <row r="527" spans="1:8" x14ac:dyDescent="0.3">
      <c r="A527" s="17" t="s">
        <v>142</v>
      </c>
      <c r="C527">
        <v>60</v>
      </c>
      <c r="D527">
        <v>74</v>
      </c>
      <c r="H527" s="13"/>
    </row>
    <row r="528" spans="1:8" x14ac:dyDescent="0.3">
      <c r="A528" s="17" t="s">
        <v>142</v>
      </c>
      <c r="C528">
        <v>61</v>
      </c>
      <c r="D528">
        <v>75</v>
      </c>
      <c r="H528" s="13"/>
    </row>
    <row r="529" spans="1:8" x14ac:dyDescent="0.3">
      <c r="A529" s="17" t="s">
        <v>142</v>
      </c>
      <c r="C529">
        <v>62</v>
      </c>
      <c r="D529">
        <v>76</v>
      </c>
      <c r="H529" s="13"/>
    </row>
    <row r="530" spans="1:8" x14ac:dyDescent="0.3">
      <c r="A530" s="17" t="s">
        <v>142</v>
      </c>
      <c r="C530">
        <v>63</v>
      </c>
      <c r="D530">
        <v>77</v>
      </c>
      <c r="H530" s="13"/>
    </row>
    <row r="531" spans="1:8" x14ac:dyDescent="0.3">
      <c r="A531" s="17" t="s">
        <v>142</v>
      </c>
      <c r="C531">
        <v>64</v>
      </c>
      <c r="D531">
        <v>78</v>
      </c>
      <c r="H531" s="13"/>
    </row>
    <row r="532" spans="1:8" x14ac:dyDescent="0.3">
      <c r="A532" s="17" t="s">
        <v>142</v>
      </c>
      <c r="C532">
        <v>65</v>
      </c>
      <c r="D532">
        <v>79</v>
      </c>
      <c r="H532" s="13"/>
    </row>
    <row r="533" spans="1:8" x14ac:dyDescent="0.3">
      <c r="A533" s="17" t="s">
        <v>142</v>
      </c>
      <c r="C533">
        <v>66</v>
      </c>
      <c r="D533">
        <v>80</v>
      </c>
      <c r="H533" s="13"/>
    </row>
    <row r="534" spans="1:8" x14ac:dyDescent="0.3">
      <c r="A534" s="17" t="s">
        <v>142</v>
      </c>
      <c r="C534">
        <v>67</v>
      </c>
      <c r="D534">
        <v>81</v>
      </c>
      <c r="H534" s="13"/>
    </row>
    <row r="535" spans="1:8" x14ac:dyDescent="0.3">
      <c r="A535" s="17" t="s">
        <v>142</v>
      </c>
      <c r="C535">
        <v>68</v>
      </c>
      <c r="D535">
        <v>82</v>
      </c>
      <c r="H535" s="13"/>
    </row>
    <row r="536" spans="1:8" x14ac:dyDescent="0.3">
      <c r="A536" s="17" t="s">
        <v>142</v>
      </c>
      <c r="C536">
        <v>69</v>
      </c>
      <c r="D536">
        <v>83</v>
      </c>
      <c r="H536" s="13"/>
    </row>
    <row r="537" spans="1:8" x14ac:dyDescent="0.3">
      <c r="A537" s="17" t="s">
        <v>142</v>
      </c>
      <c r="C537">
        <v>70</v>
      </c>
      <c r="D537">
        <v>84</v>
      </c>
      <c r="G537">
        <v>3012.0481927710798</v>
      </c>
      <c r="H537" s="13">
        <f t="shared" ref="H537:H542" si="17">G537/MAX($G$286:$G$1009)</f>
        <v>0.91910499139414792</v>
      </c>
    </row>
    <row r="538" spans="1:8" x14ac:dyDescent="0.3">
      <c r="A538" s="17" t="s">
        <v>142</v>
      </c>
      <c r="C538">
        <v>71</v>
      </c>
      <c r="D538">
        <v>85</v>
      </c>
      <c r="G538">
        <v>3025.0648228176301</v>
      </c>
      <c r="H538" s="13">
        <f t="shared" si="17"/>
        <v>0.92307692307692379</v>
      </c>
    </row>
    <row r="539" spans="1:8" x14ac:dyDescent="0.3">
      <c r="A539" s="17" t="s">
        <v>142</v>
      </c>
      <c r="C539">
        <v>72</v>
      </c>
      <c r="D539">
        <v>86</v>
      </c>
      <c r="G539">
        <v>3038.1944444444398</v>
      </c>
      <c r="H539" s="13">
        <f t="shared" si="17"/>
        <v>0.92708333333333315</v>
      </c>
    </row>
    <row r="540" spans="1:8" x14ac:dyDescent="0.3">
      <c r="A540" s="17" t="s">
        <v>142</v>
      </c>
      <c r="C540">
        <v>73</v>
      </c>
      <c r="D540">
        <v>87</v>
      </c>
      <c r="G540">
        <v>3048.7804878048801</v>
      </c>
      <c r="H540" s="13">
        <f t="shared" si="17"/>
        <v>0.93031358885017612</v>
      </c>
    </row>
    <row r="541" spans="1:8" x14ac:dyDescent="0.3">
      <c r="A541" s="17" t="s">
        <v>142</v>
      </c>
      <c r="C541">
        <v>74</v>
      </c>
      <c r="D541">
        <v>88</v>
      </c>
      <c r="G541">
        <v>3062.11723534558</v>
      </c>
      <c r="H541" s="13">
        <f t="shared" si="17"/>
        <v>0.93438320209973824</v>
      </c>
    </row>
    <row r="542" spans="1:8" x14ac:dyDescent="0.3">
      <c r="A542" s="17" t="s">
        <v>142</v>
      </c>
      <c r="C542">
        <v>75</v>
      </c>
      <c r="D542">
        <v>89</v>
      </c>
      <c r="G542">
        <v>3075.5711775043901</v>
      </c>
      <c r="H542" s="13">
        <f t="shared" si="17"/>
        <v>0.93848857644991235</v>
      </c>
    </row>
    <row r="543" spans="1:8" x14ac:dyDescent="0.3">
      <c r="A543" s="17" t="s">
        <v>142</v>
      </c>
      <c r="C543">
        <v>76</v>
      </c>
      <c r="D543">
        <v>90</v>
      </c>
      <c r="G543">
        <v>3089.1438658428901</v>
      </c>
      <c r="H543" s="13">
        <f t="shared" ref="H543:H561" si="18">G543/MAX($G$286:$G$1009)</f>
        <v>0.94263018534863174</v>
      </c>
    </row>
    <row r="544" spans="1:8" x14ac:dyDescent="0.3">
      <c r="A544" s="17" t="s">
        <v>142</v>
      </c>
      <c r="C544">
        <v>77</v>
      </c>
      <c r="D544">
        <v>91</v>
      </c>
      <c r="G544">
        <v>3102.8368794326202</v>
      </c>
      <c r="H544" s="13">
        <f t="shared" si="18"/>
        <v>0.94680851063829796</v>
      </c>
    </row>
    <row r="545" spans="1:8" x14ac:dyDescent="0.3">
      <c r="A545" s="17" t="s">
        <v>142</v>
      </c>
      <c r="C545">
        <v>78</v>
      </c>
      <c r="D545">
        <v>92</v>
      </c>
      <c r="G545">
        <v>3116.6518254675002</v>
      </c>
      <c r="H545" s="13">
        <f t="shared" si="18"/>
        <v>0.95102404274265562</v>
      </c>
    </row>
    <row r="546" spans="1:8" x14ac:dyDescent="0.3">
      <c r="A546" s="17" t="s">
        <v>142</v>
      </c>
      <c r="C546">
        <v>79</v>
      </c>
      <c r="D546">
        <v>93</v>
      </c>
      <c r="G546">
        <v>3130.5903398926698</v>
      </c>
      <c r="H546" s="13">
        <f t="shared" si="18"/>
        <v>0.9552772808586788</v>
      </c>
    </row>
    <row r="547" spans="1:8" x14ac:dyDescent="0.3">
      <c r="A547" s="17" t="s">
        <v>142</v>
      </c>
      <c r="C547">
        <v>80</v>
      </c>
      <c r="D547">
        <v>94</v>
      </c>
      <c r="G547">
        <v>3144.6540880503098</v>
      </c>
      <c r="H547" s="13">
        <f t="shared" si="18"/>
        <v>0.95956873315363866</v>
      </c>
    </row>
    <row r="548" spans="1:8" x14ac:dyDescent="0.3">
      <c r="A548" s="17" t="s">
        <v>142</v>
      </c>
      <c r="C548">
        <v>81</v>
      </c>
      <c r="D548">
        <v>95</v>
      </c>
      <c r="G548">
        <v>3158.8447653429598</v>
      </c>
      <c r="H548" s="13">
        <f t="shared" si="18"/>
        <v>0.96389891696751018</v>
      </c>
    </row>
    <row r="549" spans="1:8" x14ac:dyDescent="0.3">
      <c r="A549" s="17" t="s">
        <v>142</v>
      </c>
      <c r="C549">
        <v>82</v>
      </c>
      <c r="D549">
        <v>96</v>
      </c>
      <c r="G549">
        <v>3173.1640979147801</v>
      </c>
      <c r="H549" s="13">
        <f t="shared" si="18"/>
        <v>0.96826835902085417</v>
      </c>
    </row>
    <row r="550" spans="1:8" x14ac:dyDescent="0.3">
      <c r="A550" s="17" t="s">
        <v>142</v>
      </c>
      <c r="C550">
        <v>83</v>
      </c>
      <c r="D550">
        <v>97</v>
      </c>
      <c r="G550">
        <v>3184.7133757961801</v>
      </c>
      <c r="H550" s="13">
        <f t="shared" si="18"/>
        <v>0.97179253867152138</v>
      </c>
    </row>
    <row r="551" spans="1:8" x14ac:dyDescent="0.3">
      <c r="A551" s="17" t="s">
        <v>142</v>
      </c>
      <c r="C551">
        <v>84</v>
      </c>
      <c r="D551">
        <v>98</v>
      </c>
      <c r="G551">
        <v>3199.2687385740401</v>
      </c>
      <c r="H551" s="13">
        <f t="shared" si="18"/>
        <v>0.97623400365630841</v>
      </c>
    </row>
    <row r="552" spans="1:8" x14ac:dyDescent="0.3">
      <c r="A552" s="17" t="s">
        <v>142</v>
      </c>
      <c r="C552">
        <v>85</v>
      </c>
      <c r="D552">
        <v>99</v>
      </c>
      <c r="G552">
        <v>3211.0091743119301</v>
      </c>
      <c r="H552" s="13">
        <f t="shared" si="18"/>
        <v>0.97981651376147028</v>
      </c>
    </row>
    <row r="553" spans="1:8" x14ac:dyDescent="0.3">
      <c r="A553" s="17" t="s">
        <v>142</v>
      </c>
      <c r="C553">
        <v>86</v>
      </c>
      <c r="D553">
        <v>100</v>
      </c>
      <c r="G553">
        <v>3222.8360957642699</v>
      </c>
      <c r="H553" s="13">
        <f t="shared" si="18"/>
        <v>0.98342541436464137</v>
      </c>
    </row>
    <row r="554" spans="1:8" x14ac:dyDescent="0.3">
      <c r="A554" s="17" t="s">
        <v>142</v>
      </c>
      <c r="C554">
        <v>87</v>
      </c>
      <c r="D554">
        <v>101</v>
      </c>
      <c r="G554">
        <v>3234.7504621072098</v>
      </c>
      <c r="H554" s="13">
        <f t="shared" si="18"/>
        <v>0.98706099815157278</v>
      </c>
    </row>
    <row r="555" spans="1:8" x14ac:dyDescent="0.3">
      <c r="A555" s="17" t="s">
        <v>142</v>
      </c>
      <c r="C555">
        <v>88</v>
      </c>
      <c r="D555">
        <v>102</v>
      </c>
      <c r="G555">
        <v>3243.74420759963</v>
      </c>
      <c r="H555" s="13">
        <f t="shared" si="18"/>
        <v>0.98980537534754554</v>
      </c>
    </row>
    <row r="556" spans="1:8" x14ac:dyDescent="0.3">
      <c r="A556" s="17" t="s">
        <v>142</v>
      </c>
      <c r="C556">
        <v>89</v>
      </c>
      <c r="D556">
        <v>103</v>
      </c>
      <c r="G556">
        <v>3252.7881040892198</v>
      </c>
      <c r="H556" s="13">
        <f t="shared" si="18"/>
        <v>0.99256505576208331</v>
      </c>
    </row>
    <row r="557" spans="1:8" x14ac:dyDescent="0.3">
      <c r="A557" s="17" t="s">
        <v>142</v>
      </c>
      <c r="C557">
        <v>90</v>
      </c>
      <c r="D557">
        <v>104</v>
      </c>
      <c r="G557">
        <v>3258.84543761639</v>
      </c>
      <c r="H557" s="13">
        <f t="shared" si="18"/>
        <v>0.99441340782123122</v>
      </c>
    </row>
    <row r="558" spans="1:8" x14ac:dyDescent="0.3">
      <c r="A558" s="17" t="s">
        <v>142</v>
      </c>
      <c r="C558">
        <v>91</v>
      </c>
      <c r="D558">
        <v>105</v>
      </c>
      <c r="G558">
        <v>3264.9253731343301</v>
      </c>
      <c r="H558" s="13">
        <f t="shared" si="18"/>
        <v>0.99626865671641973</v>
      </c>
    </row>
    <row r="559" spans="1:8" x14ac:dyDescent="0.3">
      <c r="A559" s="17" t="s">
        <v>142</v>
      </c>
      <c r="C559">
        <v>92</v>
      </c>
      <c r="D559">
        <v>106</v>
      </c>
      <c r="G559">
        <v>3271.0280373831802</v>
      </c>
      <c r="H559" s="13">
        <f t="shared" si="18"/>
        <v>0.99813084112149741</v>
      </c>
    </row>
    <row r="560" spans="1:8" x14ac:dyDescent="0.3">
      <c r="A560" s="17" t="s">
        <v>142</v>
      </c>
      <c r="C560">
        <v>93</v>
      </c>
      <c r="D560">
        <v>107</v>
      </c>
      <c r="G560">
        <v>3274.08793264733</v>
      </c>
      <c r="H560" s="13">
        <f t="shared" si="18"/>
        <v>0.999064546304958</v>
      </c>
    </row>
    <row r="561" spans="1:8" x14ac:dyDescent="0.3">
      <c r="A561" s="17" t="s">
        <v>142</v>
      </c>
      <c r="C561">
        <v>94</v>
      </c>
      <c r="D561">
        <v>108</v>
      </c>
      <c r="G561">
        <v>3277.1535580524301</v>
      </c>
      <c r="H561" s="13">
        <f t="shared" si="18"/>
        <v>1</v>
      </c>
    </row>
    <row r="562" spans="1:8" x14ac:dyDescent="0.3">
      <c r="A562" s="17" t="s">
        <v>142</v>
      </c>
      <c r="C562">
        <v>95</v>
      </c>
      <c r="D562">
        <v>109</v>
      </c>
      <c r="H562" s="13"/>
    </row>
    <row r="563" spans="1:8" x14ac:dyDescent="0.3">
      <c r="A563" s="17" t="s">
        <v>142</v>
      </c>
      <c r="C563">
        <v>96</v>
      </c>
      <c r="D563">
        <v>110</v>
      </c>
      <c r="H563" s="13"/>
    </row>
    <row r="564" spans="1:8" x14ac:dyDescent="0.3">
      <c r="A564" s="17" t="s">
        <v>142</v>
      </c>
      <c r="C564">
        <v>97</v>
      </c>
      <c r="D564">
        <v>111</v>
      </c>
      <c r="H564" s="13"/>
    </row>
    <row r="565" spans="1:8" x14ac:dyDescent="0.3">
      <c r="A565" s="17" t="s">
        <v>142</v>
      </c>
      <c r="C565">
        <v>98</v>
      </c>
      <c r="D565">
        <v>112</v>
      </c>
      <c r="H565" s="13"/>
    </row>
    <row r="566" spans="1:8" x14ac:dyDescent="0.3">
      <c r="A566" s="17" t="s">
        <v>142</v>
      </c>
      <c r="C566">
        <v>99</v>
      </c>
      <c r="D566">
        <v>113</v>
      </c>
      <c r="H566" s="13"/>
    </row>
    <row r="567" spans="1:8" x14ac:dyDescent="0.3">
      <c r="A567" s="17" t="s">
        <v>142</v>
      </c>
      <c r="C567">
        <v>100</v>
      </c>
      <c r="D567">
        <v>114</v>
      </c>
      <c r="H567" s="13"/>
    </row>
    <row r="568" spans="1:8" x14ac:dyDescent="0.3">
      <c r="A568" s="17" t="s">
        <v>142</v>
      </c>
      <c r="C568">
        <v>101</v>
      </c>
      <c r="D568">
        <v>115</v>
      </c>
      <c r="H568" s="13"/>
    </row>
    <row r="569" spans="1:8" x14ac:dyDescent="0.3">
      <c r="A569" s="17" t="s">
        <v>142</v>
      </c>
      <c r="C569">
        <v>102</v>
      </c>
      <c r="D569">
        <v>116</v>
      </c>
      <c r="H569" s="13"/>
    </row>
    <row r="570" spans="1:8" x14ac:dyDescent="0.3">
      <c r="A570" s="17" t="s">
        <v>142</v>
      </c>
      <c r="C570">
        <v>103</v>
      </c>
      <c r="D570">
        <v>117</v>
      </c>
      <c r="H570" s="13"/>
    </row>
    <row r="571" spans="1:8" x14ac:dyDescent="0.3">
      <c r="A571" s="17" t="s">
        <v>142</v>
      </c>
      <c r="C571">
        <v>104</v>
      </c>
      <c r="D571">
        <v>118</v>
      </c>
      <c r="H571" s="13"/>
    </row>
    <row r="572" spans="1:8" x14ac:dyDescent="0.3">
      <c r="A572" s="17" t="s">
        <v>142</v>
      </c>
      <c r="C572">
        <v>105</v>
      </c>
      <c r="D572">
        <v>119</v>
      </c>
      <c r="H572" s="13"/>
    </row>
    <row r="573" spans="1:8" x14ac:dyDescent="0.3">
      <c r="A573" s="17" t="s">
        <v>142</v>
      </c>
      <c r="C573">
        <v>106</v>
      </c>
      <c r="D573">
        <v>120</v>
      </c>
      <c r="H573" s="13"/>
    </row>
    <row r="574" spans="1:8" x14ac:dyDescent="0.3">
      <c r="A574" s="17" t="s">
        <v>142</v>
      </c>
      <c r="C574">
        <v>107</v>
      </c>
      <c r="D574">
        <v>121</v>
      </c>
      <c r="H574" s="13"/>
    </row>
    <row r="575" spans="1:8" x14ac:dyDescent="0.3">
      <c r="A575" s="17" t="s">
        <v>142</v>
      </c>
      <c r="C575">
        <v>108</v>
      </c>
      <c r="D575">
        <v>122</v>
      </c>
      <c r="H575" s="13"/>
    </row>
    <row r="576" spans="1:8" x14ac:dyDescent="0.3">
      <c r="A576" s="17" t="s">
        <v>142</v>
      </c>
      <c r="C576">
        <v>109</v>
      </c>
      <c r="D576">
        <v>123</v>
      </c>
      <c r="H576" s="13"/>
    </row>
    <row r="577" spans="1:8" x14ac:dyDescent="0.3">
      <c r="A577" s="17" t="s">
        <v>142</v>
      </c>
      <c r="C577">
        <v>110</v>
      </c>
      <c r="D577">
        <v>124</v>
      </c>
      <c r="H577" s="13"/>
    </row>
    <row r="578" spans="1:8" x14ac:dyDescent="0.3">
      <c r="A578" s="17" t="s">
        <v>142</v>
      </c>
      <c r="C578">
        <v>111</v>
      </c>
      <c r="D578">
        <v>125</v>
      </c>
      <c r="H578" s="13"/>
    </row>
    <row r="579" spans="1:8" x14ac:dyDescent="0.3">
      <c r="A579" s="17" t="s">
        <v>142</v>
      </c>
      <c r="C579">
        <v>112</v>
      </c>
      <c r="D579">
        <v>126</v>
      </c>
      <c r="H579" s="13"/>
    </row>
    <row r="580" spans="1:8" x14ac:dyDescent="0.3">
      <c r="A580" s="17" t="s">
        <v>142</v>
      </c>
      <c r="C580">
        <v>113</v>
      </c>
      <c r="D580">
        <v>127</v>
      </c>
      <c r="H580" s="13"/>
    </row>
    <row r="581" spans="1:8" x14ac:dyDescent="0.3">
      <c r="A581" s="17" t="s">
        <v>142</v>
      </c>
      <c r="C581">
        <v>114</v>
      </c>
      <c r="D581">
        <v>128</v>
      </c>
      <c r="H581" s="13"/>
    </row>
    <row r="582" spans="1:8" x14ac:dyDescent="0.3">
      <c r="A582" s="17" t="s">
        <v>142</v>
      </c>
      <c r="C582">
        <v>115</v>
      </c>
      <c r="D582">
        <v>129</v>
      </c>
      <c r="H582" s="13"/>
    </row>
    <row r="583" spans="1:8" x14ac:dyDescent="0.3">
      <c r="A583" s="17" t="s">
        <v>142</v>
      </c>
      <c r="C583">
        <v>116</v>
      </c>
      <c r="D583">
        <v>130</v>
      </c>
      <c r="H583" s="13"/>
    </row>
    <row r="584" spans="1:8" x14ac:dyDescent="0.3">
      <c r="A584" s="17" t="s">
        <v>142</v>
      </c>
      <c r="C584">
        <v>117</v>
      </c>
      <c r="D584">
        <v>131</v>
      </c>
      <c r="H584" s="13"/>
    </row>
    <row r="585" spans="1:8" x14ac:dyDescent="0.3">
      <c r="A585" s="17" t="s">
        <v>142</v>
      </c>
      <c r="C585">
        <v>118</v>
      </c>
      <c r="D585">
        <v>132</v>
      </c>
      <c r="H585" s="13"/>
    </row>
    <row r="586" spans="1:8" x14ac:dyDescent="0.3">
      <c r="A586" s="17" t="s">
        <v>142</v>
      </c>
      <c r="C586">
        <v>119</v>
      </c>
      <c r="D586">
        <v>133</v>
      </c>
      <c r="H586" s="13"/>
    </row>
    <row r="587" spans="1:8" x14ac:dyDescent="0.3">
      <c r="A587" s="17" t="s">
        <v>142</v>
      </c>
      <c r="C587">
        <v>120</v>
      </c>
      <c r="D587">
        <v>134</v>
      </c>
      <c r="H587" s="13"/>
    </row>
    <row r="588" spans="1:8" x14ac:dyDescent="0.3">
      <c r="A588" s="17" t="s">
        <v>142</v>
      </c>
      <c r="C588">
        <v>121</v>
      </c>
      <c r="D588">
        <v>135</v>
      </c>
      <c r="H588" s="13"/>
    </row>
    <row r="589" spans="1:8" x14ac:dyDescent="0.3">
      <c r="A589" s="17" t="s">
        <v>142</v>
      </c>
      <c r="C589">
        <v>122</v>
      </c>
      <c r="D589">
        <v>136</v>
      </c>
      <c r="H589" s="13"/>
    </row>
    <row r="590" spans="1:8" x14ac:dyDescent="0.3">
      <c r="A590" s="17" t="s">
        <v>142</v>
      </c>
      <c r="C590">
        <v>123</v>
      </c>
      <c r="D590">
        <v>137</v>
      </c>
      <c r="H590" s="13"/>
    </row>
    <row r="591" spans="1:8" x14ac:dyDescent="0.3">
      <c r="A591" s="17" t="s">
        <v>142</v>
      </c>
      <c r="C591">
        <v>124</v>
      </c>
      <c r="D591">
        <v>138</v>
      </c>
      <c r="H591" s="13"/>
    </row>
    <row r="592" spans="1:8" x14ac:dyDescent="0.3">
      <c r="A592" s="17" t="s">
        <v>142</v>
      </c>
      <c r="C592">
        <v>125</v>
      </c>
      <c r="D592">
        <v>139</v>
      </c>
      <c r="H592" s="13"/>
    </row>
    <row r="593" spans="1:8" x14ac:dyDescent="0.3">
      <c r="A593" s="17" t="s">
        <v>142</v>
      </c>
      <c r="C593">
        <v>126</v>
      </c>
      <c r="D593">
        <v>140</v>
      </c>
      <c r="H593" s="13"/>
    </row>
    <row r="594" spans="1:8" x14ac:dyDescent="0.3">
      <c r="A594" s="17" t="s">
        <v>142</v>
      </c>
      <c r="C594">
        <v>127</v>
      </c>
      <c r="D594">
        <v>141</v>
      </c>
      <c r="H594" s="13"/>
    </row>
    <row r="595" spans="1:8" x14ac:dyDescent="0.3">
      <c r="A595" s="17" t="s">
        <v>142</v>
      </c>
      <c r="C595">
        <v>128</v>
      </c>
      <c r="D595">
        <v>142</v>
      </c>
      <c r="H595" s="13"/>
    </row>
    <row r="596" spans="1:8" x14ac:dyDescent="0.3">
      <c r="A596" s="17" t="s">
        <v>142</v>
      </c>
      <c r="C596">
        <v>129</v>
      </c>
      <c r="D596">
        <v>143</v>
      </c>
      <c r="H596" s="13"/>
    </row>
    <row r="597" spans="1:8" x14ac:dyDescent="0.3">
      <c r="A597" s="17" t="s">
        <v>142</v>
      </c>
      <c r="C597">
        <v>130</v>
      </c>
      <c r="D597">
        <v>144</v>
      </c>
      <c r="H597" s="13"/>
    </row>
    <row r="598" spans="1:8" x14ac:dyDescent="0.3">
      <c r="A598" s="17" t="s">
        <v>142</v>
      </c>
      <c r="C598">
        <v>131</v>
      </c>
      <c r="D598">
        <v>145</v>
      </c>
      <c r="H598" s="13"/>
    </row>
    <row r="599" spans="1:8" x14ac:dyDescent="0.3">
      <c r="A599" s="17" t="s">
        <v>142</v>
      </c>
      <c r="C599">
        <v>132</v>
      </c>
      <c r="D599">
        <v>146</v>
      </c>
      <c r="H599" s="13"/>
    </row>
    <row r="600" spans="1:8" x14ac:dyDescent="0.3">
      <c r="A600" s="17" t="s">
        <v>142</v>
      </c>
      <c r="C600">
        <v>133</v>
      </c>
      <c r="D600">
        <v>147</v>
      </c>
      <c r="H600" s="13"/>
    </row>
    <row r="601" spans="1:8" x14ac:dyDescent="0.3">
      <c r="A601" s="17" t="s">
        <v>142</v>
      </c>
      <c r="C601">
        <v>134</v>
      </c>
      <c r="D601">
        <v>148</v>
      </c>
      <c r="H601" s="13"/>
    </row>
    <row r="602" spans="1:8" x14ac:dyDescent="0.3">
      <c r="A602" s="17" t="s">
        <v>142</v>
      </c>
      <c r="C602">
        <v>135</v>
      </c>
      <c r="D602">
        <v>149</v>
      </c>
      <c r="H602" s="13"/>
    </row>
    <row r="603" spans="1:8" x14ac:dyDescent="0.3">
      <c r="A603" s="17" t="s">
        <v>142</v>
      </c>
      <c r="C603">
        <v>136</v>
      </c>
      <c r="D603">
        <v>150</v>
      </c>
      <c r="H603" s="13"/>
    </row>
    <row r="604" spans="1:8" x14ac:dyDescent="0.3">
      <c r="A604" s="17" t="s">
        <v>142</v>
      </c>
      <c r="C604">
        <v>137</v>
      </c>
      <c r="D604">
        <v>151</v>
      </c>
      <c r="H604" s="13"/>
    </row>
    <row r="605" spans="1:8" x14ac:dyDescent="0.3">
      <c r="A605" s="17" t="s">
        <v>142</v>
      </c>
      <c r="C605">
        <v>138</v>
      </c>
      <c r="D605">
        <v>152</v>
      </c>
      <c r="H605" s="13"/>
    </row>
    <row r="606" spans="1:8" x14ac:dyDescent="0.3">
      <c r="A606" s="17" t="s">
        <v>142</v>
      </c>
      <c r="C606">
        <v>139</v>
      </c>
      <c r="D606">
        <v>153</v>
      </c>
      <c r="H606" s="13"/>
    </row>
    <row r="607" spans="1:8" x14ac:dyDescent="0.3">
      <c r="A607" s="17" t="s">
        <v>142</v>
      </c>
      <c r="C607">
        <v>140</v>
      </c>
      <c r="D607">
        <v>154</v>
      </c>
      <c r="H607" s="13"/>
    </row>
    <row r="608" spans="1:8" x14ac:dyDescent="0.3">
      <c r="A608" s="17" t="s">
        <v>142</v>
      </c>
      <c r="C608">
        <v>141</v>
      </c>
      <c r="D608">
        <v>155</v>
      </c>
      <c r="H608" s="13"/>
    </row>
    <row r="609" spans="1:8" x14ac:dyDescent="0.3">
      <c r="A609" s="17" t="s">
        <v>142</v>
      </c>
      <c r="C609">
        <v>142</v>
      </c>
      <c r="D609">
        <v>156</v>
      </c>
      <c r="H609" s="13"/>
    </row>
    <row r="610" spans="1:8" x14ac:dyDescent="0.3">
      <c r="A610" s="17" t="s">
        <v>142</v>
      </c>
      <c r="C610">
        <v>143</v>
      </c>
      <c r="D610">
        <v>157</v>
      </c>
      <c r="H610" s="13"/>
    </row>
    <row r="611" spans="1:8" x14ac:dyDescent="0.3">
      <c r="A611" s="17" t="s">
        <v>142</v>
      </c>
      <c r="C611">
        <v>144</v>
      </c>
      <c r="D611">
        <v>158</v>
      </c>
      <c r="H611" s="13"/>
    </row>
    <row r="612" spans="1:8" x14ac:dyDescent="0.3">
      <c r="A612" s="17" t="s">
        <v>142</v>
      </c>
      <c r="C612">
        <v>145</v>
      </c>
      <c r="D612">
        <v>159</v>
      </c>
      <c r="H612" s="13"/>
    </row>
    <row r="613" spans="1:8" x14ac:dyDescent="0.3">
      <c r="A613" s="17" t="s">
        <v>142</v>
      </c>
      <c r="C613">
        <v>146</v>
      </c>
      <c r="D613">
        <v>160</v>
      </c>
      <c r="H613" s="13"/>
    </row>
    <row r="614" spans="1:8" x14ac:dyDescent="0.3">
      <c r="A614" s="17" t="s">
        <v>142</v>
      </c>
      <c r="C614">
        <v>147</v>
      </c>
      <c r="D614">
        <v>161</v>
      </c>
      <c r="H614" s="13"/>
    </row>
    <row r="615" spans="1:8" x14ac:dyDescent="0.3">
      <c r="A615" s="17" t="s">
        <v>142</v>
      </c>
      <c r="C615">
        <v>148</v>
      </c>
      <c r="D615">
        <v>162</v>
      </c>
      <c r="H615" s="13"/>
    </row>
    <row r="616" spans="1:8" x14ac:dyDescent="0.3">
      <c r="A616" s="17" t="s">
        <v>142</v>
      </c>
      <c r="C616">
        <v>149</v>
      </c>
      <c r="D616">
        <v>163</v>
      </c>
      <c r="H616" s="13"/>
    </row>
    <row r="617" spans="1:8" x14ac:dyDescent="0.3">
      <c r="A617" s="17" t="s">
        <v>142</v>
      </c>
      <c r="C617">
        <v>150</v>
      </c>
      <c r="D617">
        <v>164</v>
      </c>
      <c r="H617" s="13"/>
    </row>
    <row r="618" spans="1:8" x14ac:dyDescent="0.3">
      <c r="A618" s="17" t="s">
        <v>142</v>
      </c>
      <c r="C618">
        <v>151</v>
      </c>
      <c r="D618">
        <v>165</v>
      </c>
      <c r="H618" s="13"/>
    </row>
    <row r="619" spans="1:8" x14ac:dyDescent="0.3">
      <c r="A619" s="17" t="s">
        <v>142</v>
      </c>
      <c r="C619">
        <v>152</v>
      </c>
      <c r="D619">
        <v>166</v>
      </c>
      <c r="H619" s="13"/>
    </row>
    <row r="620" spans="1:8" x14ac:dyDescent="0.3">
      <c r="A620" s="17" t="s">
        <v>142</v>
      </c>
      <c r="C620">
        <v>153</v>
      </c>
      <c r="D620">
        <v>167</v>
      </c>
      <c r="H620" s="13"/>
    </row>
    <row r="621" spans="1:8" x14ac:dyDescent="0.3">
      <c r="A621" s="17" t="s">
        <v>142</v>
      </c>
      <c r="C621">
        <v>154</v>
      </c>
      <c r="D621">
        <v>168</v>
      </c>
      <c r="H621" s="13"/>
    </row>
    <row r="622" spans="1:8" x14ac:dyDescent="0.3">
      <c r="A622" s="17" t="s">
        <v>142</v>
      </c>
      <c r="C622">
        <v>155</v>
      </c>
      <c r="D622">
        <v>169</v>
      </c>
      <c r="H622" s="13"/>
    </row>
    <row r="623" spans="1:8" x14ac:dyDescent="0.3">
      <c r="A623" s="17" t="s">
        <v>142</v>
      </c>
      <c r="C623">
        <v>156</v>
      </c>
      <c r="D623">
        <v>170</v>
      </c>
      <c r="H623" s="13"/>
    </row>
    <row r="624" spans="1:8" x14ac:dyDescent="0.3">
      <c r="A624" s="17" t="s">
        <v>142</v>
      </c>
      <c r="C624">
        <v>157</v>
      </c>
      <c r="D624">
        <v>171</v>
      </c>
      <c r="H624" s="13"/>
    </row>
    <row r="625" spans="1:8" x14ac:dyDescent="0.3">
      <c r="A625" s="17" t="s">
        <v>142</v>
      </c>
      <c r="C625">
        <v>158</v>
      </c>
      <c r="D625">
        <v>172</v>
      </c>
      <c r="H625" s="13"/>
    </row>
    <row r="626" spans="1:8" x14ac:dyDescent="0.3">
      <c r="A626" s="17" t="s">
        <v>142</v>
      </c>
      <c r="C626">
        <v>159</v>
      </c>
      <c r="D626">
        <v>173</v>
      </c>
      <c r="H626" s="13"/>
    </row>
    <row r="627" spans="1:8" x14ac:dyDescent="0.3">
      <c r="A627" s="17" t="s">
        <v>142</v>
      </c>
      <c r="C627">
        <v>160</v>
      </c>
      <c r="D627">
        <v>174</v>
      </c>
      <c r="H627" s="13"/>
    </row>
    <row r="628" spans="1:8" x14ac:dyDescent="0.3">
      <c r="A628" s="17" t="s">
        <v>142</v>
      </c>
      <c r="C628">
        <v>161</v>
      </c>
      <c r="D628">
        <v>175</v>
      </c>
      <c r="H628" s="13"/>
    </row>
    <row r="629" spans="1:8" x14ac:dyDescent="0.3">
      <c r="A629" s="17" t="s">
        <v>142</v>
      </c>
      <c r="C629">
        <v>162</v>
      </c>
      <c r="D629">
        <v>176</v>
      </c>
      <c r="H629" s="13"/>
    </row>
    <row r="630" spans="1:8" x14ac:dyDescent="0.3">
      <c r="A630" s="17" t="s">
        <v>142</v>
      </c>
      <c r="C630">
        <v>163</v>
      </c>
      <c r="D630">
        <v>177</v>
      </c>
      <c r="H630" s="13"/>
    </row>
    <row r="631" spans="1:8" x14ac:dyDescent="0.3">
      <c r="A631" s="17" t="s">
        <v>142</v>
      </c>
      <c r="C631">
        <v>164</v>
      </c>
      <c r="D631">
        <v>178</v>
      </c>
      <c r="H631" s="13"/>
    </row>
    <row r="632" spans="1:8" x14ac:dyDescent="0.3">
      <c r="A632" s="17" t="s">
        <v>142</v>
      </c>
      <c r="C632">
        <v>165</v>
      </c>
      <c r="D632">
        <v>179</v>
      </c>
      <c r="H632" s="13"/>
    </row>
    <row r="633" spans="1:8" x14ac:dyDescent="0.3">
      <c r="A633" s="17" t="s">
        <v>142</v>
      </c>
      <c r="C633">
        <v>166</v>
      </c>
      <c r="D633">
        <v>180</v>
      </c>
      <c r="H633" s="13"/>
    </row>
    <row r="634" spans="1:8" x14ac:dyDescent="0.3">
      <c r="A634" s="17" t="s">
        <v>142</v>
      </c>
      <c r="C634">
        <v>167</v>
      </c>
      <c r="D634">
        <v>0</v>
      </c>
      <c r="H634" s="13"/>
    </row>
    <row r="635" spans="1:8" x14ac:dyDescent="0.3">
      <c r="A635" s="17" t="s">
        <v>142</v>
      </c>
      <c r="C635">
        <v>168</v>
      </c>
      <c r="D635">
        <v>1</v>
      </c>
      <c r="H635" s="13"/>
    </row>
    <row r="636" spans="1:8" x14ac:dyDescent="0.3">
      <c r="A636" s="17" t="s">
        <v>142</v>
      </c>
      <c r="C636">
        <v>169</v>
      </c>
      <c r="D636">
        <v>2</v>
      </c>
      <c r="H636" s="13"/>
    </row>
    <row r="637" spans="1:8" x14ac:dyDescent="0.3">
      <c r="A637" s="17" t="s">
        <v>142</v>
      </c>
      <c r="C637">
        <v>170</v>
      </c>
      <c r="D637">
        <v>3</v>
      </c>
      <c r="H637" s="13"/>
    </row>
    <row r="638" spans="1:8" x14ac:dyDescent="0.3">
      <c r="A638" s="17" t="s">
        <v>142</v>
      </c>
      <c r="C638">
        <v>171</v>
      </c>
      <c r="D638">
        <v>4</v>
      </c>
      <c r="H638" s="13"/>
    </row>
    <row r="639" spans="1:8" x14ac:dyDescent="0.3">
      <c r="A639" s="17" t="s">
        <v>142</v>
      </c>
      <c r="C639">
        <v>172</v>
      </c>
      <c r="D639">
        <v>5</v>
      </c>
      <c r="H639" s="13"/>
    </row>
    <row r="640" spans="1:8" x14ac:dyDescent="0.3">
      <c r="A640" s="17" t="s">
        <v>142</v>
      </c>
      <c r="C640">
        <v>173</v>
      </c>
      <c r="D640">
        <v>6</v>
      </c>
      <c r="H640" s="13"/>
    </row>
    <row r="641" spans="1:8" x14ac:dyDescent="0.3">
      <c r="A641" s="17" t="s">
        <v>142</v>
      </c>
      <c r="C641">
        <v>174</v>
      </c>
      <c r="D641">
        <v>7</v>
      </c>
      <c r="H641" s="13"/>
    </row>
    <row r="642" spans="1:8" x14ac:dyDescent="0.3">
      <c r="A642" s="17" t="s">
        <v>142</v>
      </c>
      <c r="C642">
        <v>175</v>
      </c>
      <c r="D642">
        <v>8</v>
      </c>
      <c r="H642" s="13"/>
    </row>
    <row r="643" spans="1:8" x14ac:dyDescent="0.3">
      <c r="A643" s="17" t="s">
        <v>142</v>
      </c>
      <c r="C643">
        <v>176</v>
      </c>
      <c r="D643">
        <v>9</v>
      </c>
      <c r="H643" s="13"/>
    </row>
    <row r="644" spans="1:8" x14ac:dyDescent="0.3">
      <c r="A644" s="17" t="s">
        <v>142</v>
      </c>
      <c r="C644">
        <v>177</v>
      </c>
      <c r="D644">
        <v>10</v>
      </c>
      <c r="H644" s="13"/>
    </row>
    <row r="645" spans="1:8" x14ac:dyDescent="0.3">
      <c r="A645" s="17" t="s">
        <v>142</v>
      </c>
      <c r="C645">
        <v>178</v>
      </c>
      <c r="D645">
        <v>11</v>
      </c>
      <c r="H645" s="13"/>
    </row>
    <row r="646" spans="1:8" x14ac:dyDescent="0.3">
      <c r="A646" s="17" t="s">
        <v>142</v>
      </c>
      <c r="C646">
        <v>179</v>
      </c>
      <c r="D646">
        <v>12</v>
      </c>
      <c r="H646" s="13"/>
    </row>
    <row r="647" spans="1:8" x14ac:dyDescent="0.3">
      <c r="A647" s="17" t="s">
        <v>142</v>
      </c>
      <c r="C647">
        <v>180</v>
      </c>
      <c r="D647">
        <v>13</v>
      </c>
      <c r="H647" s="13"/>
    </row>
    <row r="648" spans="1:8" x14ac:dyDescent="0.3">
      <c r="A648" s="17" t="s">
        <v>144</v>
      </c>
      <c r="C648">
        <v>0</v>
      </c>
      <c r="D648">
        <v>14</v>
      </c>
      <c r="G648">
        <v>2482.2695035461002</v>
      </c>
      <c r="H648" s="13">
        <f t="shared" ref="H648:H670" si="19">G648/MAX($G$286:$G$1009)</f>
        <v>0.75744680851063961</v>
      </c>
    </row>
    <row r="649" spans="1:8" x14ac:dyDescent="0.3">
      <c r="A649" s="17" t="s">
        <v>144</v>
      </c>
      <c r="C649">
        <v>1</v>
      </c>
      <c r="D649">
        <v>15</v>
      </c>
      <c r="G649">
        <v>2471.7514124293798</v>
      </c>
      <c r="H649" s="13">
        <f t="shared" si="19"/>
        <v>0.75423728813559465</v>
      </c>
    </row>
    <row r="650" spans="1:8" x14ac:dyDescent="0.3">
      <c r="A650" s="17" t="s">
        <v>144</v>
      </c>
      <c r="C650">
        <v>2</v>
      </c>
      <c r="D650">
        <v>16</v>
      </c>
      <c r="G650">
        <v>2459.5924104005599</v>
      </c>
      <c r="H650" s="13">
        <f t="shared" si="19"/>
        <v>0.75052705551651466</v>
      </c>
    </row>
    <row r="651" spans="1:8" x14ac:dyDescent="0.3">
      <c r="A651" s="17" t="s">
        <v>144</v>
      </c>
      <c r="C651">
        <v>3</v>
      </c>
      <c r="D651">
        <v>17</v>
      </c>
      <c r="G651">
        <v>2449.2652204338701</v>
      </c>
      <c r="H651" s="13">
        <f t="shared" si="19"/>
        <v>0.74737578726382192</v>
      </c>
    </row>
    <row r="652" spans="1:8" x14ac:dyDescent="0.3">
      <c r="A652" s="17" t="s">
        <v>144</v>
      </c>
      <c r="C652">
        <v>4</v>
      </c>
      <c r="D652">
        <v>18</v>
      </c>
      <c r="G652">
        <v>2439.0243902439001</v>
      </c>
      <c r="H652" s="13">
        <f t="shared" si="19"/>
        <v>0.74425087108013965</v>
      </c>
    </row>
    <row r="653" spans="1:8" x14ac:dyDescent="0.3">
      <c r="A653" s="17" t="s">
        <v>144</v>
      </c>
      <c r="C653">
        <v>5</v>
      </c>
      <c r="D653">
        <v>19</v>
      </c>
      <c r="G653">
        <v>2427.1844660194201</v>
      </c>
      <c r="H653" s="13">
        <f t="shared" si="19"/>
        <v>0.74063800277392688</v>
      </c>
    </row>
    <row r="654" spans="1:8" x14ac:dyDescent="0.3">
      <c r="A654" s="17" t="s">
        <v>144</v>
      </c>
      <c r="C654">
        <v>6</v>
      </c>
      <c r="D654">
        <v>20</v>
      </c>
      <c r="G654">
        <v>2417.1270718231999</v>
      </c>
      <c r="H654" s="13">
        <f t="shared" si="19"/>
        <v>0.73756906077348028</v>
      </c>
    </row>
    <row r="655" spans="1:8" x14ac:dyDescent="0.3">
      <c r="A655" s="17" t="s">
        <v>144</v>
      </c>
      <c r="C655">
        <v>7</v>
      </c>
      <c r="D655">
        <v>21</v>
      </c>
      <c r="G655">
        <v>2407.1526822558499</v>
      </c>
      <c r="H655" s="13">
        <f t="shared" si="19"/>
        <v>0.73452544704264322</v>
      </c>
    </row>
    <row r="656" spans="1:8" x14ac:dyDescent="0.3">
      <c r="A656" s="17" t="s">
        <v>144</v>
      </c>
      <c r="C656">
        <v>8</v>
      </c>
      <c r="D656">
        <v>22</v>
      </c>
      <c r="G656">
        <v>2397.2602739725999</v>
      </c>
      <c r="H656" s="13">
        <f t="shared" si="19"/>
        <v>0.7315068493150686</v>
      </c>
    </row>
    <row r="657" spans="1:8" x14ac:dyDescent="0.3">
      <c r="A657" s="17" t="s">
        <v>144</v>
      </c>
      <c r="C657">
        <v>9</v>
      </c>
      <c r="D657">
        <v>23</v>
      </c>
      <c r="G657">
        <v>2387.4488403819901</v>
      </c>
      <c r="H657" s="13">
        <f t="shared" si="19"/>
        <v>0.72851296043656255</v>
      </c>
    </row>
    <row r="658" spans="1:8" x14ac:dyDescent="0.3">
      <c r="A658" s="17" t="s">
        <v>144</v>
      </c>
      <c r="C658">
        <v>10</v>
      </c>
      <c r="D658">
        <v>24</v>
      </c>
      <c r="G658">
        <v>2379.3337865397698</v>
      </c>
      <c r="H658" s="13">
        <f t="shared" si="19"/>
        <v>0.72603670972127932</v>
      </c>
    </row>
    <row r="659" spans="1:8" x14ac:dyDescent="0.3">
      <c r="A659" s="17" t="s">
        <v>144</v>
      </c>
      <c r="C659">
        <v>11</v>
      </c>
      <c r="D659">
        <v>25</v>
      </c>
      <c r="G659">
        <v>2371.2737127371302</v>
      </c>
      <c r="H659" s="13">
        <f t="shared" si="19"/>
        <v>0.72357723577235955</v>
      </c>
    </row>
    <row r="660" spans="1:8" x14ac:dyDescent="0.3">
      <c r="A660" s="17" t="s">
        <v>144</v>
      </c>
      <c r="C660">
        <v>12</v>
      </c>
      <c r="D660">
        <v>26</v>
      </c>
      <c r="G660">
        <v>2363.2680621201898</v>
      </c>
      <c r="H660" s="13">
        <f t="shared" si="19"/>
        <v>0.72113436866981884</v>
      </c>
    </row>
    <row r="661" spans="1:8" x14ac:dyDescent="0.3">
      <c r="A661" s="17" t="s">
        <v>144</v>
      </c>
      <c r="C661">
        <v>13</v>
      </c>
      <c r="D661">
        <v>27</v>
      </c>
      <c r="G661">
        <v>2356.9023569023602</v>
      </c>
      <c r="H661" s="13">
        <f t="shared" si="19"/>
        <v>0.71919191919192116</v>
      </c>
    </row>
    <row r="662" spans="1:8" x14ac:dyDescent="0.3">
      <c r="A662" s="17" t="s">
        <v>144</v>
      </c>
      <c r="C662">
        <v>14</v>
      </c>
      <c r="D662">
        <v>28</v>
      </c>
      <c r="G662">
        <v>2350.5708529214198</v>
      </c>
      <c r="H662" s="13">
        <f t="shared" si="19"/>
        <v>0.7172599059771656</v>
      </c>
    </row>
    <row r="663" spans="1:8" x14ac:dyDescent="0.3">
      <c r="A663" s="17" t="s">
        <v>144</v>
      </c>
      <c r="C663">
        <v>15</v>
      </c>
      <c r="D663">
        <v>29</v>
      </c>
      <c r="G663">
        <v>2345.8445040214501</v>
      </c>
      <c r="H663" s="13">
        <f t="shared" si="19"/>
        <v>0.71581769436997489</v>
      </c>
    </row>
    <row r="664" spans="1:8" x14ac:dyDescent="0.3">
      <c r="A664" s="17" t="s">
        <v>144</v>
      </c>
      <c r="C664">
        <v>16</v>
      </c>
      <c r="D664">
        <v>30</v>
      </c>
      <c r="G664">
        <v>2341.1371237458202</v>
      </c>
      <c r="H664" s="13">
        <f t="shared" si="19"/>
        <v>0.71438127090301118</v>
      </c>
    </row>
    <row r="665" spans="1:8" x14ac:dyDescent="0.3">
      <c r="A665" s="17" t="s">
        <v>144</v>
      </c>
      <c r="C665">
        <v>17</v>
      </c>
      <c r="D665">
        <v>31</v>
      </c>
      <c r="G665">
        <v>2336.4485981308399</v>
      </c>
      <c r="H665" s="13">
        <f t="shared" si="19"/>
        <v>0.71295060080106865</v>
      </c>
    </row>
    <row r="666" spans="1:8" x14ac:dyDescent="0.3">
      <c r="A666" s="17" t="s">
        <v>144</v>
      </c>
      <c r="C666">
        <v>18</v>
      </c>
      <c r="D666">
        <v>32</v>
      </c>
      <c r="G666">
        <v>2333.3333333333298</v>
      </c>
      <c r="H666" s="13">
        <f t="shared" si="19"/>
        <v>0.71199999999999986</v>
      </c>
    </row>
    <row r="667" spans="1:8" x14ac:dyDescent="0.3">
      <c r="A667" s="17" t="s">
        <v>144</v>
      </c>
      <c r="C667">
        <v>19</v>
      </c>
      <c r="D667">
        <v>33</v>
      </c>
      <c r="G667">
        <v>2330.2263648468702</v>
      </c>
      <c r="H667" s="13">
        <f t="shared" si="19"/>
        <v>0.71105193075898876</v>
      </c>
    </row>
    <row r="668" spans="1:8" x14ac:dyDescent="0.3">
      <c r="A668" s="17" t="s">
        <v>144</v>
      </c>
      <c r="C668">
        <v>20</v>
      </c>
      <c r="D668">
        <v>34</v>
      </c>
      <c r="G668">
        <v>2328.6759813705899</v>
      </c>
      <c r="H668" s="13">
        <f t="shared" si="19"/>
        <v>0.7105788423153695</v>
      </c>
    </row>
    <row r="669" spans="1:8" x14ac:dyDescent="0.3">
      <c r="A669" s="17" t="s">
        <v>144</v>
      </c>
      <c r="C669">
        <v>21</v>
      </c>
      <c r="D669">
        <v>35</v>
      </c>
      <c r="G669">
        <v>2327.1276595744698</v>
      </c>
      <c r="H669" s="13">
        <f t="shared" si="19"/>
        <v>0.71010638297872486</v>
      </c>
    </row>
    <row r="670" spans="1:8" x14ac:dyDescent="0.3">
      <c r="A670" s="17" t="s">
        <v>144</v>
      </c>
      <c r="C670">
        <v>22</v>
      </c>
      <c r="D670">
        <v>36</v>
      </c>
      <c r="G670">
        <v>2327.1276595744698</v>
      </c>
      <c r="H670" s="13">
        <f t="shared" si="19"/>
        <v>0.71010638297872486</v>
      </c>
    </row>
    <row r="671" spans="1:8" x14ac:dyDescent="0.3">
      <c r="A671" s="17" t="s">
        <v>144</v>
      </c>
      <c r="C671">
        <v>23</v>
      </c>
      <c r="D671">
        <v>37</v>
      </c>
      <c r="G671">
        <v>2327.1276595744698</v>
      </c>
      <c r="H671" s="13">
        <f t="shared" ref="H671:H717" si="20">G671/MAX($G$286:$G$1009)</f>
        <v>0.71010638297872486</v>
      </c>
    </row>
    <row r="672" spans="1:8" x14ac:dyDescent="0.3">
      <c r="A672" s="17" t="s">
        <v>144</v>
      </c>
      <c r="C672">
        <v>24</v>
      </c>
      <c r="D672">
        <v>38</v>
      </c>
      <c r="G672">
        <v>2328.6759813705899</v>
      </c>
      <c r="H672" s="13">
        <f t="shared" si="20"/>
        <v>0.7105788423153695</v>
      </c>
    </row>
    <row r="673" spans="1:8" x14ac:dyDescent="0.3">
      <c r="A673" s="17" t="s">
        <v>144</v>
      </c>
      <c r="C673">
        <v>25</v>
      </c>
      <c r="D673">
        <v>39</v>
      </c>
      <c r="G673">
        <v>2330.2263648468702</v>
      </c>
      <c r="H673" s="13">
        <f t="shared" si="20"/>
        <v>0.71105193075898876</v>
      </c>
    </row>
    <row r="674" spans="1:8" x14ac:dyDescent="0.3">
      <c r="A674" s="17" t="s">
        <v>144</v>
      </c>
      <c r="C674">
        <v>26</v>
      </c>
      <c r="D674">
        <v>40</v>
      </c>
      <c r="G674">
        <v>2333.3333333333298</v>
      </c>
      <c r="H674" s="13">
        <f t="shared" si="20"/>
        <v>0.71199999999999986</v>
      </c>
    </row>
    <row r="675" spans="1:8" x14ac:dyDescent="0.3">
      <c r="A675" s="17" t="s">
        <v>144</v>
      </c>
      <c r="C675">
        <v>27</v>
      </c>
      <c r="D675">
        <v>41</v>
      </c>
      <c r="G675">
        <v>2336.4485981308399</v>
      </c>
      <c r="H675" s="13">
        <f t="shared" si="20"/>
        <v>0.71295060080106865</v>
      </c>
    </row>
    <row r="676" spans="1:8" x14ac:dyDescent="0.3">
      <c r="A676" s="17" t="s">
        <v>144</v>
      </c>
      <c r="C676">
        <v>28</v>
      </c>
      <c r="D676">
        <v>42</v>
      </c>
      <c r="G676">
        <v>2341.1371237458202</v>
      </c>
      <c r="H676" s="13">
        <f t="shared" si="20"/>
        <v>0.71438127090301118</v>
      </c>
    </row>
    <row r="677" spans="1:8" x14ac:dyDescent="0.3">
      <c r="A677" s="17" t="s">
        <v>144</v>
      </c>
      <c r="C677">
        <v>29</v>
      </c>
      <c r="D677">
        <v>43</v>
      </c>
      <c r="G677">
        <v>2345.8445040214501</v>
      </c>
      <c r="H677" s="13">
        <f t="shared" si="20"/>
        <v>0.71581769436997489</v>
      </c>
    </row>
    <row r="678" spans="1:8" x14ac:dyDescent="0.3">
      <c r="A678" s="17" t="s">
        <v>144</v>
      </c>
      <c r="C678">
        <v>30</v>
      </c>
      <c r="D678">
        <v>44</v>
      </c>
      <c r="G678">
        <v>2352.1505376344098</v>
      </c>
      <c r="H678" s="13">
        <f t="shared" si="20"/>
        <v>0.71774193548387233</v>
      </c>
    </row>
    <row r="679" spans="1:8" x14ac:dyDescent="0.3">
      <c r="A679" s="17" t="s">
        <v>144</v>
      </c>
      <c r="C679">
        <v>31</v>
      </c>
      <c r="D679">
        <v>45</v>
      </c>
      <c r="G679">
        <v>2358.4905660377399</v>
      </c>
      <c r="H679" s="13">
        <f t="shared" si="20"/>
        <v>0.71967654986523133</v>
      </c>
    </row>
    <row r="680" spans="1:8" x14ac:dyDescent="0.3">
      <c r="A680" s="17" t="s">
        <v>144</v>
      </c>
      <c r="C680">
        <v>32</v>
      </c>
      <c r="D680">
        <v>46</v>
      </c>
      <c r="G680">
        <v>2364.86486486487</v>
      </c>
      <c r="H680" s="13">
        <f t="shared" si="20"/>
        <v>0.72162162162162413</v>
      </c>
    </row>
    <row r="681" spans="1:8" x14ac:dyDescent="0.3">
      <c r="A681" s="17" t="s">
        <v>144</v>
      </c>
      <c r="C681">
        <v>33</v>
      </c>
      <c r="D681">
        <v>47</v>
      </c>
      <c r="G681">
        <v>2372.8813559322002</v>
      </c>
      <c r="H681" s="13">
        <f t="shared" si="20"/>
        <v>0.72406779661016951</v>
      </c>
    </row>
    <row r="682" spans="1:8" x14ac:dyDescent="0.3">
      <c r="A682" s="17" t="s">
        <v>144</v>
      </c>
      <c r="C682">
        <v>34</v>
      </c>
      <c r="D682">
        <v>48</v>
      </c>
      <c r="G682">
        <v>2380.9523809523798</v>
      </c>
      <c r="H682" s="13">
        <f t="shared" si="20"/>
        <v>0.72653061224489857</v>
      </c>
    </row>
    <row r="683" spans="1:8" x14ac:dyDescent="0.3">
      <c r="A683" s="17" t="s">
        <v>144</v>
      </c>
      <c r="C683">
        <v>35</v>
      </c>
      <c r="D683">
        <v>49</v>
      </c>
      <c r="G683">
        <v>2389.0784982935202</v>
      </c>
      <c r="H683" s="13">
        <f t="shared" si="20"/>
        <v>0.72901023890785233</v>
      </c>
    </row>
    <row r="684" spans="1:8" x14ac:dyDescent="0.3">
      <c r="A684" s="17" t="s">
        <v>144</v>
      </c>
      <c r="C684">
        <v>36</v>
      </c>
      <c r="D684">
        <v>50</v>
      </c>
      <c r="G684">
        <v>2398.9033584647</v>
      </c>
      <c r="H684" s="13">
        <f t="shared" si="20"/>
        <v>0.73200822481151517</v>
      </c>
    </row>
    <row r="685" spans="1:8" x14ac:dyDescent="0.3">
      <c r="A685" s="17" t="s">
        <v>144</v>
      </c>
      <c r="C685">
        <v>37</v>
      </c>
      <c r="D685">
        <v>51</v>
      </c>
      <c r="G685">
        <v>2408.8093599449398</v>
      </c>
      <c r="H685" s="13">
        <f t="shared" si="20"/>
        <v>0.73503097040605692</v>
      </c>
    </row>
    <row r="686" spans="1:8" x14ac:dyDescent="0.3">
      <c r="A686" s="17" t="s">
        <v>144</v>
      </c>
      <c r="C686">
        <v>38</v>
      </c>
      <c r="D686">
        <v>52</v>
      </c>
      <c r="G686">
        <v>2418.79751209399</v>
      </c>
      <c r="H686" s="13">
        <f t="shared" si="20"/>
        <v>0.7380787836903957</v>
      </c>
    </row>
    <row r="687" spans="1:8" x14ac:dyDescent="0.3">
      <c r="A687" s="17" t="s">
        <v>144</v>
      </c>
      <c r="C687">
        <v>39</v>
      </c>
      <c r="D687">
        <v>53</v>
      </c>
      <c r="G687">
        <v>2428.8688410825798</v>
      </c>
      <c r="H687" s="13">
        <f t="shared" si="20"/>
        <v>0.74115197779319963</v>
      </c>
    </row>
    <row r="688" spans="1:8" x14ac:dyDescent="0.3">
      <c r="A688" s="17" t="s">
        <v>144</v>
      </c>
      <c r="C688">
        <v>40</v>
      </c>
      <c r="D688">
        <v>54</v>
      </c>
      <c r="G688">
        <v>2439.0243902439001</v>
      </c>
      <c r="H688" s="13">
        <f t="shared" si="20"/>
        <v>0.74425087108013965</v>
      </c>
    </row>
    <row r="689" spans="1:8" x14ac:dyDescent="0.3">
      <c r="A689" s="17" t="s">
        <v>144</v>
      </c>
      <c r="C689">
        <v>41</v>
      </c>
      <c r="D689">
        <v>55</v>
      </c>
      <c r="G689">
        <v>2450.98039215686</v>
      </c>
      <c r="H689" s="13">
        <f t="shared" si="20"/>
        <v>0.74789915966386566</v>
      </c>
    </row>
    <row r="690" spans="1:8" x14ac:dyDescent="0.3">
      <c r="A690" s="17" t="s">
        <v>144</v>
      </c>
      <c r="C690">
        <v>42</v>
      </c>
      <c r="D690">
        <v>56</v>
      </c>
      <c r="G690">
        <v>2461.3220815752502</v>
      </c>
      <c r="H690" s="13">
        <f t="shared" si="20"/>
        <v>0.75105485232067737</v>
      </c>
    </row>
    <row r="691" spans="1:8" x14ac:dyDescent="0.3">
      <c r="A691" s="17" t="s">
        <v>144</v>
      </c>
      <c r="C691">
        <v>43</v>
      </c>
      <c r="D691">
        <v>57</v>
      </c>
      <c r="G691">
        <v>2473.49823321555</v>
      </c>
      <c r="H691" s="13">
        <f t="shared" si="20"/>
        <v>0.75477031802120309</v>
      </c>
    </row>
    <row r="692" spans="1:8" x14ac:dyDescent="0.3">
      <c r="A692" s="17" t="s">
        <v>144</v>
      </c>
      <c r="C692">
        <v>44</v>
      </c>
      <c r="D692">
        <v>58</v>
      </c>
      <c r="G692">
        <v>2484.03122782115</v>
      </c>
      <c r="H692" s="13">
        <f t="shared" si="20"/>
        <v>0.7579843860894262</v>
      </c>
    </row>
    <row r="693" spans="1:8" x14ac:dyDescent="0.3">
      <c r="A693" s="17" t="s">
        <v>144</v>
      </c>
      <c r="C693">
        <v>45</v>
      </c>
      <c r="D693">
        <v>59</v>
      </c>
      <c r="G693">
        <v>2494.65431218817</v>
      </c>
      <c r="H693" s="13">
        <f t="shared" si="20"/>
        <v>0.76122594440484836</v>
      </c>
    </row>
    <row r="694" spans="1:8" x14ac:dyDescent="0.3">
      <c r="A694" s="17" t="s">
        <v>144</v>
      </c>
      <c r="C694">
        <v>46</v>
      </c>
      <c r="D694">
        <v>60</v>
      </c>
      <c r="G694">
        <v>2505.36864710093</v>
      </c>
      <c r="H694" s="13">
        <f t="shared" si="20"/>
        <v>0.76449534717251344</v>
      </c>
    </row>
    <row r="695" spans="1:8" x14ac:dyDescent="0.3">
      <c r="A695" s="17" t="s">
        <v>144</v>
      </c>
      <c r="C695">
        <v>47</v>
      </c>
      <c r="D695">
        <v>61</v>
      </c>
      <c r="G695">
        <v>2516.17541337168</v>
      </c>
      <c r="H695" s="13">
        <f t="shared" si="20"/>
        <v>0.76779295470884512</v>
      </c>
    </row>
    <row r="696" spans="1:8" x14ac:dyDescent="0.3">
      <c r="A696" s="17" t="s">
        <v>144</v>
      </c>
      <c r="C696">
        <v>48</v>
      </c>
      <c r="D696">
        <v>62</v>
      </c>
      <c r="G696">
        <v>2525.2525252525202</v>
      </c>
      <c r="H696" s="13">
        <f t="shared" si="20"/>
        <v>0.77056277056277001</v>
      </c>
    </row>
    <row r="697" spans="1:8" x14ac:dyDescent="0.3">
      <c r="A697" s="17" t="s">
        <v>144</v>
      </c>
      <c r="C697">
        <v>49</v>
      </c>
      <c r="D697">
        <v>63</v>
      </c>
      <c r="G697">
        <v>2534.39536567705</v>
      </c>
      <c r="H697" s="13">
        <f t="shared" si="20"/>
        <v>0.77335264301231232</v>
      </c>
    </row>
    <row r="698" spans="1:8" x14ac:dyDescent="0.3">
      <c r="A698" s="17" t="s">
        <v>144</v>
      </c>
      <c r="C698">
        <v>50</v>
      </c>
      <c r="D698">
        <v>64</v>
      </c>
      <c r="G698">
        <v>2541.7574437182302</v>
      </c>
      <c r="H698" s="13">
        <f t="shared" si="20"/>
        <v>0.77559912854030666</v>
      </c>
    </row>
    <row r="699" spans="1:8" x14ac:dyDescent="0.3">
      <c r="A699" s="17" t="s">
        <v>144</v>
      </c>
      <c r="C699">
        <v>51</v>
      </c>
      <c r="D699">
        <v>65</v>
      </c>
      <c r="G699">
        <v>2549.16241806264</v>
      </c>
      <c r="H699" s="13">
        <f t="shared" si="20"/>
        <v>0.77785870356882947</v>
      </c>
    </row>
    <row r="700" spans="1:8" x14ac:dyDescent="0.3">
      <c r="A700" s="17" t="s">
        <v>144</v>
      </c>
      <c r="C700">
        <v>52</v>
      </c>
      <c r="D700">
        <v>66</v>
      </c>
      <c r="G700">
        <v>2552.8811086798</v>
      </c>
      <c r="H700" s="13">
        <f t="shared" si="20"/>
        <v>0.77899343544858002</v>
      </c>
    </row>
    <row r="701" spans="1:8" x14ac:dyDescent="0.3">
      <c r="A701" s="17" t="s">
        <v>144</v>
      </c>
      <c r="C701">
        <v>53</v>
      </c>
      <c r="D701">
        <v>67</v>
      </c>
      <c r="G701">
        <v>2556.6106647187698</v>
      </c>
      <c r="H701" s="13">
        <f t="shared" si="20"/>
        <v>0.78013148283418565</v>
      </c>
    </row>
    <row r="702" spans="1:8" x14ac:dyDescent="0.3">
      <c r="A702" s="17" t="s">
        <v>144</v>
      </c>
      <c r="C702">
        <v>54</v>
      </c>
      <c r="D702">
        <v>68</v>
      </c>
      <c r="G702">
        <v>2558.4795321637398</v>
      </c>
      <c r="H702" s="13">
        <f t="shared" si="20"/>
        <v>0.78070175438596512</v>
      </c>
    </row>
    <row r="703" spans="1:8" x14ac:dyDescent="0.3">
      <c r="A703" s="17" t="s">
        <v>144</v>
      </c>
      <c r="C703">
        <v>55</v>
      </c>
      <c r="D703">
        <v>69</v>
      </c>
      <c r="G703">
        <v>2558.4795321637398</v>
      </c>
      <c r="H703" s="13">
        <f t="shared" si="20"/>
        <v>0.78070175438596512</v>
      </c>
    </row>
    <row r="704" spans="1:8" x14ac:dyDescent="0.3">
      <c r="A704" s="17" t="s">
        <v>144</v>
      </c>
      <c r="C704">
        <v>56</v>
      </c>
      <c r="D704">
        <v>70</v>
      </c>
      <c r="G704">
        <v>2556.6106647187698</v>
      </c>
      <c r="H704" s="13">
        <f t="shared" si="20"/>
        <v>0.78013148283418565</v>
      </c>
    </row>
    <row r="705" spans="1:8" x14ac:dyDescent="0.3">
      <c r="A705" s="17" t="s">
        <v>144</v>
      </c>
      <c r="C705">
        <v>57</v>
      </c>
      <c r="D705">
        <v>71</v>
      </c>
      <c r="G705">
        <v>2551.0204081632701</v>
      </c>
      <c r="H705" s="13">
        <f t="shared" si="20"/>
        <v>0.7784256559766789</v>
      </c>
    </row>
    <row r="706" spans="1:8" x14ac:dyDescent="0.3">
      <c r="A706" s="17" t="s">
        <v>144</v>
      </c>
      <c r="C706">
        <v>58</v>
      </c>
      <c r="D706">
        <v>72</v>
      </c>
      <c r="G706">
        <v>2543.6046511627901</v>
      </c>
      <c r="H706" s="13">
        <f t="shared" si="20"/>
        <v>0.77616279069767524</v>
      </c>
    </row>
    <row r="707" spans="1:8" x14ac:dyDescent="0.3">
      <c r="A707" s="17" t="s">
        <v>144</v>
      </c>
      <c r="C707">
        <v>59</v>
      </c>
      <c r="D707">
        <v>73</v>
      </c>
      <c r="G707">
        <v>2536.2318840579701</v>
      </c>
      <c r="H707" s="13">
        <f t="shared" si="20"/>
        <v>0.77391304347826162</v>
      </c>
    </row>
    <row r="708" spans="1:8" x14ac:dyDescent="0.3">
      <c r="A708" s="17" t="s">
        <v>144</v>
      </c>
      <c r="C708">
        <v>60</v>
      </c>
      <c r="D708">
        <v>74</v>
      </c>
      <c r="G708">
        <v>2527.07581227437</v>
      </c>
      <c r="H708" s="13">
        <f t="shared" si="20"/>
        <v>0.77111913357400885</v>
      </c>
    </row>
    <row r="709" spans="1:8" x14ac:dyDescent="0.3">
      <c r="A709" s="17" t="s">
        <v>144</v>
      </c>
      <c r="C709">
        <v>61</v>
      </c>
      <c r="D709">
        <v>75</v>
      </c>
      <c r="G709">
        <v>2516.17541337168</v>
      </c>
      <c r="H709" s="13">
        <f t="shared" si="20"/>
        <v>0.76779295470884512</v>
      </c>
    </row>
    <row r="710" spans="1:8" x14ac:dyDescent="0.3">
      <c r="A710" s="17" t="s">
        <v>144</v>
      </c>
      <c r="C710">
        <v>62</v>
      </c>
      <c r="D710">
        <v>76</v>
      </c>
      <c r="G710">
        <v>2503.5765379113</v>
      </c>
      <c r="H710" s="13">
        <f t="shared" si="20"/>
        <v>0.7639484978540777</v>
      </c>
    </row>
    <row r="711" spans="1:8" x14ac:dyDescent="0.3">
      <c r="A711" s="17" t="s">
        <v>144</v>
      </c>
      <c r="C711">
        <v>63</v>
      </c>
      <c r="D711">
        <v>77</v>
      </c>
      <c r="G711">
        <v>2492.8774928774901</v>
      </c>
      <c r="H711" s="13">
        <f t="shared" si="20"/>
        <v>0.76068376068376087</v>
      </c>
    </row>
    <row r="712" spans="1:8" x14ac:dyDescent="0.3">
      <c r="A712" s="17" t="s">
        <v>144</v>
      </c>
      <c r="C712">
        <v>64</v>
      </c>
      <c r="D712">
        <v>78</v>
      </c>
      <c r="G712">
        <v>2480.5102763997202</v>
      </c>
      <c r="H712" s="13">
        <f t="shared" si="20"/>
        <v>0.7569099929128299</v>
      </c>
    </row>
    <row r="713" spans="1:8" x14ac:dyDescent="0.3">
      <c r="A713" s="17" t="s">
        <v>144</v>
      </c>
      <c r="C713">
        <v>65</v>
      </c>
      <c r="D713">
        <v>79</v>
      </c>
      <c r="G713">
        <v>2466.5257223396802</v>
      </c>
      <c r="H713" s="13">
        <f t="shared" si="20"/>
        <v>0.75264270613108053</v>
      </c>
    </row>
    <row r="714" spans="1:8" x14ac:dyDescent="0.3">
      <c r="A714" s="17" t="s">
        <v>144</v>
      </c>
      <c r="C714">
        <v>66</v>
      </c>
      <c r="D714">
        <v>80</v>
      </c>
      <c r="G714">
        <v>2454.4179523141702</v>
      </c>
      <c r="H714" s="13">
        <f t="shared" si="20"/>
        <v>0.74894810659186783</v>
      </c>
    </row>
    <row r="715" spans="1:8" x14ac:dyDescent="0.3">
      <c r="A715" s="17" t="s">
        <v>144</v>
      </c>
      <c r="C715">
        <v>67</v>
      </c>
      <c r="D715">
        <v>81</v>
      </c>
      <c r="G715">
        <v>2442.4284717376099</v>
      </c>
      <c r="H715" s="13">
        <f t="shared" si="20"/>
        <v>0.74528960223307739</v>
      </c>
    </row>
    <row r="716" spans="1:8" x14ac:dyDescent="0.3">
      <c r="A716" s="17" t="s">
        <v>144</v>
      </c>
      <c r="C716">
        <v>68</v>
      </c>
      <c r="D716">
        <v>82</v>
      </c>
      <c r="G716">
        <v>2432.2446143154998</v>
      </c>
      <c r="H716" s="13">
        <f t="shared" si="20"/>
        <v>0.74218207088255916</v>
      </c>
    </row>
    <row r="717" spans="1:8" x14ac:dyDescent="0.3">
      <c r="A717" s="17" t="s">
        <v>144</v>
      </c>
      <c r="C717">
        <v>69</v>
      </c>
      <c r="D717">
        <v>83</v>
      </c>
      <c r="G717">
        <v>2420.47026279391</v>
      </c>
      <c r="H717" s="13">
        <f t="shared" si="20"/>
        <v>0.73858921161825697</v>
      </c>
    </row>
    <row r="718" spans="1:8" x14ac:dyDescent="0.3">
      <c r="A718" s="17" t="s">
        <v>144</v>
      </c>
      <c r="C718">
        <v>70</v>
      </c>
      <c r="D718">
        <v>84</v>
      </c>
      <c r="H718" s="13"/>
    </row>
    <row r="719" spans="1:8" x14ac:dyDescent="0.3">
      <c r="A719" s="17" t="s">
        <v>144</v>
      </c>
      <c r="C719">
        <v>71</v>
      </c>
      <c r="D719">
        <v>85</v>
      </c>
      <c r="H719" s="13"/>
    </row>
    <row r="720" spans="1:8" x14ac:dyDescent="0.3">
      <c r="A720" s="17" t="s">
        <v>144</v>
      </c>
      <c r="C720">
        <v>72</v>
      </c>
      <c r="D720">
        <v>86</v>
      </c>
      <c r="H720" s="13"/>
    </row>
    <row r="721" spans="1:8" x14ac:dyDescent="0.3">
      <c r="A721" s="17" t="s">
        <v>144</v>
      </c>
      <c r="C721">
        <v>73</v>
      </c>
      <c r="D721">
        <v>87</v>
      </c>
      <c r="H721" s="13"/>
    </row>
    <row r="722" spans="1:8" x14ac:dyDescent="0.3">
      <c r="A722" s="17" t="s">
        <v>144</v>
      </c>
      <c r="C722">
        <v>74</v>
      </c>
      <c r="D722">
        <v>88</v>
      </c>
      <c r="H722" s="13"/>
    </row>
    <row r="723" spans="1:8" x14ac:dyDescent="0.3">
      <c r="A723" s="17" t="s">
        <v>144</v>
      </c>
      <c r="C723">
        <v>75</v>
      </c>
      <c r="D723">
        <v>89</v>
      </c>
      <c r="H723" s="13"/>
    </row>
    <row r="724" spans="1:8" x14ac:dyDescent="0.3">
      <c r="A724" s="17" t="s">
        <v>144</v>
      </c>
      <c r="C724">
        <v>76</v>
      </c>
      <c r="D724">
        <v>90</v>
      </c>
      <c r="H724" s="13"/>
    </row>
    <row r="725" spans="1:8" x14ac:dyDescent="0.3">
      <c r="A725" s="17" t="s">
        <v>144</v>
      </c>
      <c r="C725">
        <v>77</v>
      </c>
      <c r="D725">
        <v>91</v>
      </c>
      <c r="H725" s="13"/>
    </row>
    <row r="726" spans="1:8" x14ac:dyDescent="0.3">
      <c r="A726" s="17" t="s">
        <v>144</v>
      </c>
      <c r="C726">
        <v>78</v>
      </c>
      <c r="D726">
        <v>92</v>
      </c>
      <c r="H726" s="13"/>
    </row>
    <row r="727" spans="1:8" x14ac:dyDescent="0.3">
      <c r="A727" s="17" t="s">
        <v>144</v>
      </c>
      <c r="C727">
        <v>79</v>
      </c>
      <c r="D727">
        <v>93</v>
      </c>
      <c r="H727" s="13"/>
    </row>
    <row r="728" spans="1:8" x14ac:dyDescent="0.3">
      <c r="A728" s="17" t="s">
        <v>144</v>
      </c>
      <c r="C728">
        <v>80</v>
      </c>
      <c r="D728">
        <v>94</v>
      </c>
      <c r="H728" s="13"/>
    </row>
    <row r="729" spans="1:8" x14ac:dyDescent="0.3">
      <c r="A729" s="17" t="s">
        <v>144</v>
      </c>
      <c r="C729">
        <v>81</v>
      </c>
      <c r="D729">
        <v>95</v>
      </c>
      <c r="H729" s="13"/>
    </row>
    <row r="730" spans="1:8" x14ac:dyDescent="0.3">
      <c r="A730" s="17" t="s">
        <v>144</v>
      </c>
      <c r="C730">
        <v>82</v>
      </c>
      <c r="D730">
        <v>96</v>
      </c>
      <c r="H730" s="13"/>
    </row>
    <row r="731" spans="1:8" x14ac:dyDescent="0.3">
      <c r="A731" s="17" t="s">
        <v>144</v>
      </c>
      <c r="C731">
        <v>83</v>
      </c>
      <c r="D731">
        <v>97</v>
      </c>
      <c r="H731" s="13"/>
    </row>
    <row r="732" spans="1:8" x14ac:dyDescent="0.3">
      <c r="A732" s="17" t="s">
        <v>144</v>
      </c>
      <c r="C732">
        <v>84</v>
      </c>
      <c r="D732">
        <v>98</v>
      </c>
      <c r="H732" s="13"/>
    </row>
    <row r="733" spans="1:8" x14ac:dyDescent="0.3">
      <c r="A733" s="17" t="s">
        <v>144</v>
      </c>
      <c r="C733">
        <v>85</v>
      </c>
      <c r="D733">
        <v>99</v>
      </c>
      <c r="H733" s="13"/>
    </row>
    <row r="734" spans="1:8" x14ac:dyDescent="0.3">
      <c r="A734" s="17" t="s">
        <v>144</v>
      </c>
      <c r="C734">
        <v>86</v>
      </c>
      <c r="D734">
        <v>100</v>
      </c>
      <c r="H734" s="13"/>
    </row>
    <row r="735" spans="1:8" x14ac:dyDescent="0.3">
      <c r="A735" s="17" t="s">
        <v>144</v>
      </c>
      <c r="C735">
        <v>87</v>
      </c>
      <c r="D735">
        <v>101</v>
      </c>
      <c r="H735" s="13"/>
    </row>
    <row r="736" spans="1:8" x14ac:dyDescent="0.3">
      <c r="A736" s="17" t="s">
        <v>144</v>
      </c>
      <c r="C736">
        <v>88</v>
      </c>
      <c r="D736">
        <v>102</v>
      </c>
      <c r="H736" s="13"/>
    </row>
    <row r="737" spans="1:8" x14ac:dyDescent="0.3">
      <c r="A737" s="17" t="s">
        <v>144</v>
      </c>
      <c r="C737">
        <v>89</v>
      </c>
      <c r="D737">
        <v>103</v>
      </c>
      <c r="H737" s="13"/>
    </row>
    <row r="738" spans="1:8" x14ac:dyDescent="0.3">
      <c r="A738" s="17" t="s">
        <v>144</v>
      </c>
      <c r="C738">
        <v>90</v>
      </c>
      <c r="D738">
        <v>104</v>
      </c>
      <c r="H738" s="13"/>
    </row>
    <row r="739" spans="1:8" x14ac:dyDescent="0.3">
      <c r="A739" s="17" t="s">
        <v>144</v>
      </c>
      <c r="C739">
        <v>91</v>
      </c>
      <c r="D739">
        <v>105</v>
      </c>
      <c r="G739">
        <v>2430.5555555555602</v>
      </c>
      <c r="H739" s="13">
        <f t="shared" ref="H739:H798" si="21">G739/MAX($G$286:$G$1009)</f>
        <v>0.74166666666666903</v>
      </c>
    </row>
    <row r="740" spans="1:8" x14ac:dyDescent="0.3">
      <c r="A740" s="17" t="s">
        <v>144</v>
      </c>
      <c r="C740">
        <v>92</v>
      </c>
      <c r="D740">
        <v>106</v>
      </c>
      <c r="G740">
        <v>2442.4284717376099</v>
      </c>
      <c r="H740" s="13">
        <f t="shared" si="21"/>
        <v>0.74528960223307739</v>
      </c>
    </row>
    <row r="741" spans="1:8" x14ac:dyDescent="0.3">
      <c r="A741" s="17" t="s">
        <v>144</v>
      </c>
      <c r="C741">
        <v>93</v>
      </c>
      <c r="D741">
        <v>107</v>
      </c>
      <c r="G741">
        <v>2454.4179523141702</v>
      </c>
      <c r="H741" s="13">
        <f t="shared" si="21"/>
        <v>0.74894810659186783</v>
      </c>
    </row>
    <row r="742" spans="1:8" x14ac:dyDescent="0.3">
      <c r="A742" s="17" t="s">
        <v>144</v>
      </c>
      <c r="C742">
        <v>94</v>
      </c>
      <c r="D742">
        <v>108</v>
      </c>
      <c r="G742">
        <v>2468.26516220028</v>
      </c>
      <c r="H742" s="13">
        <f t="shared" si="21"/>
        <v>0.75317348377997217</v>
      </c>
    </row>
    <row r="743" spans="1:8" x14ac:dyDescent="0.3">
      <c r="A743" s="17" t="s">
        <v>144</v>
      </c>
      <c r="C743">
        <v>95</v>
      </c>
      <c r="D743">
        <v>109</v>
      </c>
      <c r="G743">
        <v>2480.5102763997202</v>
      </c>
      <c r="H743" s="13">
        <f t="shared" si="21"/>
        <v>0.7569099929128299</v>
      </c>
    </row>
    <row r="744" spans="1:8" x14ac:dyDescent="0.3">
      <c r="A744" s="17" t="s">
        <v>144</v>
      </c>
      <c r="C744">
        <v>96</v>
      </c>
      <c r="D744">
        <v>110</v>
      </c>
      <c r="G744">
        <v>2494.65431218817</v>
      </c>
      <c r="H744" s="13">
        <f t="shared" si="21"/>
        <v>0.76122594440484836</v>
      </c>
    </row>
    <row r="745" spans="1:8" x14ac:dyDescent="0.3">
      <c r="A745" s="17" t="s">
        <v>144</v>
      </c>
      <c r="C745">
        <v>97</v>
      </c>
      <c r="D745">
        <v>111</v>
      </c>
      <c r="G745">
        <v>2508.9605734767001</v>
      </c>
      <c r="H745" s="13">
        <f t="shared" si="21"/>
        <v>0.76559139784946262</v>
      </c>
    </row>
    <row r="746" spans="1:8" x14ac:dyDescent="0.3">
      <c r="A746" s="17" t="s">
        <v>144</v>
      </c>
      <c r="C746">
        <v>98</v>
      </c>
      <c r="D746">
        <v>112</v>
      </c>
      <c r="G746">
        <v>2523.4318673395801</v>
      </c>
      <c r="H746" s="13">
        <f t="shared" si="21"/>
        <v>0.77000720980533577</v>
      </c>
    </row>
    <row r="747" spans="1:8" x14ac:dyDescent="0.3">
      <c r="A747" s="17" t="s">
        <v>144</v>
      </c>
      <c r="C747">
        <v>99</v>
      </c>
      <c r="D747">
        <v>113</v>
      </c>
      <c r="G747">
        <v>2536.2318840579701</v>
      </c>
      <c r="H747" s="13">
        <f t="shared" si="21"/>
        <v>0.77391304347826162</v>
      </c>
    </row>
    <row r="748" spans="1:8" x14ac:dyDescent="0.3">
      <c r="A748" s="17" t="s">
        <v>144</v>
      </c>
      <c r="C748">
        <v>100</v>
      </c>
      <c r="D748">
        <v>114</v>
      </c>
      <c r="G748">
        <v>2551.0204081632701</v>
      </c>
      <c r="H748" s="13">
        <f t="shared" si="21"/>
        <v>0.7784256559766789</v>
      </c>
    </row>
    <row r="749" spans="1:8" x14ac:dyDescent="0.3">
      <c r="A749" s="17" t="s">
        <v>144</v>
      </c>
      <c r="C749">
        <v>101</v>
      </c>
      <c r="D749">
        <v>115</v>
      </c>
      <c r="G749">
        <v>2564.1025641025599</v>
      </c>
      <c r="H749" s="13">
        <f t="shared" si="21"/>
        <v>0.78241758241758219</v>
      </c>
    </row>
    <row r="750" spans="1:8" x14ac:dyDescent="0.3">
      <c r="A750" s="17" t="s">
        <v>144</v>
      </c>
      <c r="C750">
        <v>102</v>
      </c>
      <c r="D750">
        <v>116</v>
      </c>
      <c r="G750">
        <v>2577.3195876288701</v>
      </c>
      <c r="H750" s="13">
        <f t="shared" si="21"/>
        <v>0.78645066273932485</v>
      </c>
    </row>
    <row r="751" spans="1:8" x14ac:dyDescent="0.3">
      <c r="A751" s="17" t="s">
        <v>144</v>
      </c>
      <c r="C751">
        <v>103</v>
      </c>
      <c r="D751">
        <v>117</v>
      </c>
      <c r="G751">
        <v>2590.67357512953</v>
      </c>
      <c r="H751" s="13">
        <f t="shared" si="21"/>
        <v>0.79052553663952618</v>
      </c>
    </row>
    <row r="752" spans="1:8" x14ac:dyDescent="0.3">
      <c r="A752" s="17" t="s">
        <v>144</v>
      </c>
      <c r="C752">
        <v>104</v>
      </c>
      <c r="D752">
        <v>118</v>
      </c>
      <c r="G752">
        <v>2602.2304832713799</v>
      </c>
      <c r="H752" s="13">
        <f t="shared" si="21"/>
        <v>0.79405204460966783</v>
      </c>
    </row>
    <row r="753" spans="1:8" x14ac:dyDescent="0.3">
      <c r="A753" s="17" t="s">
        <v>144</v>
      </c>
      <c r="C753">
        <v>105</v>
      </c>
      <c r="D753">
        <v>119</v>
      </c>
      <c r="G753">
        <v>2611.9402985074598</v>
      </c>
      <c r="H753" s="13">
        <f t="shared" si="21"/>
        <v>0.79701492537313456</v>
      </c>
    </row>
    <row r="754" spans="1:8" x14ac:dyDescent="0.3">
      <c r="A754" s="17" t="s">
        <v>144</v>
      </c>
      <c r="C754">
        <v>106</v>
      </c>
      <c r="D754">
        <v>120</v>
      </c>
      <c r="G754">
        <v>2621.72284644195</v>
      </c>
      <c r="H754" s="13">
        <f t="shared" si="21"/>
        <v>0.80000000000000182</v>
      </c>
    </row>
    <row r="755" spans="1:8" x14ac:dyDescent="0.3">
      <c r="A755" s="17" t="s">
        <v>144</v>
      </c>
      <c r="C755">
        <v>107</v>
      </c>
      <c r="D755">
        <v>121</v>
      </c>
      <c r="G755">
        <v>2629.60180315552</v>
      </c>
      <c r="H755" s="13">
        <f t="shared" si="21"/>
        <v>0.80240420736288542</v>
      </c>
    </row>
    <row r="756" spans="1:8" x14ac:dyDescent="0.3">
      <c r="A756" s="17" t="s">
        <v>144</v>
      </c>
      <c r="C756">
        <v>108</v>
      </c>
      <c r="D756">
        <v>122</v>
      </c>
      <c r="G756">
        <v>2637.5282592313501</v>
      </c>
      <c r="H756" s="13">
        <f t="shared" si="21"/>
        <v>0.80482290881688168</v>
      </c>
    </row>
    <row r="757" spans="1:8" x14ac:dyDescent="0.3">
      <c r="A757" s="17" t="s">
        <v>144</v>
      </c>
      <c r="C757">
        <v>109</v>
      </c>
      <c r="D757">
        <v>123</v>
      </c>
      <c r="G757">
        <v>2641.5094339622601</v>
      </c>
      <c r="H757" s="13">
        <f t="shared" si="21"/>
        <v>0.80603773584905647</v>
      </c>
    </row>
    <row r="758" spans="1:8" x14ac:dyDescent="0.3">
      <c r="A758" s="17" t="s">
        <v>144</v>
      </c>
      <c r="C758">
        <v>110</v>
      </c>
      <c r="D758">
        <v>124</v>
      </c>
      <c r="G758">
        <v>2645.50264550265</v>
      </c>
      <c r="H758" s="13">
        <f t="shared" si="21"/>
        <v>0.80725623582766681</v>
      </c>
    </row>
    <row r="759" spans="1:8" x14ac:dyDescent="0.3">
      <c r="A759" s="17" t="s">
        <v>144</v>
      </c>
      <c r="C759">
        <v>111</v>
      </c>
      <c r="D759">
        <v>125</v>
      </c>
      <c r="G759">
        <v>2647.5037821482601</v>
      </c>
      <c r="H759" s="13">
        <f t="shared" si="21"/>
        <v>0.80786686838124155</v>
      </c>
    </row>
    <row r="760" spans="1:8" x14ac:dyDescent="0.3">
      <c r="A760" s="17" t="s">
        <v>144</v>
      </c>
      <c r="C760">
        <v>112</v>
      </c>
      <c r="D760">
        <v>126</v>
      </c>
      <c r="G760">
        <v>2647.5037821482601</v>
      </c>
      <c r="H760" s="13">
        <f t="shared" si="21"/>
        <v>0.80786686838124155</v>
      </c>
    </row>
    <row r="761" spans="1:8" x14ac:dyDescent="0.3">
      <c r="A761" s="17" t="s">
        <v>144</v>
      </c>
      <c r="C761">
        <v>113</v>
      </c>
      <c r="D761">
        <v>127</v>
      </c>
      <c r="G761">
        <v>2645.50264550265</v>
      </c>
      <c r="H761" s="13">
        <f t="shared" si="21"/>
        <v>0.80725623582766681</v>
      </c>
    </row>
    <row r="762" spans="1:8" x14ac:dyDescent="0.3">
      <c r="A762" s="17" t="s">
        <v>144</v>
      </c>
      <c r="C762">
        <v>114</v>
      </c>
      <c r="D762">
        <v>128</v>
      </c>
      <c r="G762">
        <v>2641.5094339622601</v>
      </c>
      <c r="H762" s="13">
        <f t="shared" si="21"/>
        <v>0.80603773584905647</v>
      </c>
    </row>
    <row r="763" spans="1:8" x14ac:dyDescent="0.3">
      <c r="A763" s="17" t="s">
        <v>144</v>
      </c>
      <c r="C763">
        <v>115</v>
      </c>
      <c r="D763">
        <v>129</v>
      </c>
      <c r="G763">
        <v>2637.5282592313501</v>
      </c>
      <c r="H763" s="13">
        <f t="shared" si="21"/>
        <v>0.80482290881688168</v>
      </c>
    </row>
    <row r="764" spans="1:8" x14ac:dyDescent="0.3">
      <c r="A764" s="17" t="s">
        <v>144</v>
      </c>
      <c r="C764">
        <v>116</v>
      </c>
      <c r="D764">
        <v>130</v>
      </c>
      <c r="G764">
        <v>2631.5789473684199</v>
      </c>
      <c r="H764" s="13">
        <f t="shared" si="21"/>
        <v>0.80300751879699317</v>
      </c>
    </row>
    <row r="765" spans="1:8" x14ac:dyDescent="0.3">
      <c r="A765" s="17" t="s">
        <v>144</v>
      </c>
      <c r="C765">
        <v>117</v>
      </c>
      <c r="D765">
        <v>131</v>
      </c>
      <c r="G765">
        <v>2623.6881559220401</v>
      </c>
      <c r="H765" s="13">
        <f t="shared" si="21"/>
        <v>0.80059970014992643</v>
      </c>
    </row>
    <row r="766" spans="1:8" x14ac:dyDescent="0.3">
      <c r="A766" s="17" t="s">
        <v>144</v>
      </c>
      <c r="C766">
        <v>118</v>
      </c>
      <c r="D766">
        <v>132</v>
      </c>
      <c r="G766">
        <v>2615.8445440956698</v>
      </c>
      <c r="H766" s="13">
        <f t="shared" si="21"/>
        <v>0.79820627802690836</v>
      </c>
    </row>
    <row r="767" spans="1:8" x14ac:dyDescent="0.3">
      <c r="A767" s="17" t="s">
        <v>144</v>
      </c>
      <c r="C767">
        <v>119</v>
      </c>
      <c r="D767">
        <v>133</v>
      </c>
      <c r="G767">
        <v>2604.1666666666702</v>
      </c>
      <c r="H767" s="13">
        <f t="shared" si="21"/>
        <v>0.79464285714285932</v>
      </c>
    </row>
    <row r="768" spans="1:8" x14ac:dyDescent="0.3">
      <c r="A768" s="17" t="s">
        <v>144</v>
      </c>
      <c r="C768">
        <v>120</v>
      </c>
      <c r="D768">
        <v>134</v>
      </c>
      <c r="G768">
        <v>2594.5144551519602</v>
      </c>
      <c r="H768" s="13">
        <f t="shared" si="21"/>
        <v>0.79169755374351347</v>
      </c>
    </row>
    <row r="769" spans="1:8" x14ac:dyDescent="0.3">
      <c r="A769" s="17" t="s">
        <v>144</v>
      </c>
      <c r="C769">
        <v>121</v>
      </c>
      <c r="D769">
        <v>135</v>
      </c>
      <c r="G769">
        <v>2583.0258302583002</v>
      </c>
      <c r="H769" s="13">
        <f t="shared" si="21"/>
        <v>0.7881918819188195</v>
      </c>
    </row>
    <row r="770" spans="1:8" x14ac:dyDescent="0.3">
      <c r="A770" s="17" t="s">
        <v>144</v>
      </c>
      <c r="C770">
        <v>122</v>
      </c>
      <c r="D770">
        <v>136</v>
      </c>
      <c r="G770">
        <v>2571.6385011021298</v>
      </c>
      <c r="H770" s="13">
        <f t="shared" si="21"/>
        <v>0.78471711976487957</v>
      </c>
    </row>
    <row r="771" spans="1:8" x14ac:dyDescent="0.3">
      <c r="A771" s="17" t="s">
        <v>144</v>
      </c>
      <c r="C771">
        <v>123</v>
      </c>
      <c r="D771">
        <v>137</v>
      </c>
      <c r="G771">
        <v>2558.4795321637398</v>
      </c>
      <c r="H771" s="13">
        <f t="shared" si="21"/>
        <v>0.78070175438596512</v>
      </c>
    </row>
    <row r="772" spans="1:8" x14ac:dyDescent="0.3">
      <c r="A772" s="17" t="s">
        <v>144</v>
      </c>
      <c r="C772">
        <v>124</v>
      </c>
      <c r="D772">
        <v>138</v>
      </c>
      <c r="G772">
        <v>2545.45454545455</v>
      </c>
      <c r="H772" s="13">
        <f t="shared" si="21"/>
        <v>0.77672727272727515</v>
      </c>
    </row>
    <row r="773" spans="1:8" x14ac:dyDescent="0.3">
      <c r="A773" s="17" t="s">
        <v>144</v>
      </c>
      <c r="C773">
        <v>125</v>
      </c>
      <c r="D773">
        <v>139</v>
      </c>
      <c r="G773">
        <v>2532.5615050651199</v>
      </c>
      <c r="H773" s="13">
        <f t="shared" si="21"/>
        <v>0.77279305354558625</v>
      </c>
    </row>
    <row r="774" spans="1:8" x14ac:dyDescent="0.3">
      <c r="A774" s="17" t="s">
        <v>144</v>
      </c>
      <c r="C774">
        <v>126</v>
      </c>
      <c r="D774">
        <v>140</v>
      </c>
      <c r="G774">
        <v>2519.79841612671</v>
      </c>
      <c r="H774" s="13">
        <f t="shared" si="21"/>
        <v>0.76889848812095141</v>
      </c>
    </row>
    <row r="775" spans="1:8" x14ac:dyDescent="0.3">
      <c r="A775" s="17" t="s">
        <v>144</v>
      </c>
      <c r="C775">
        <v>127</v>
      </c>
      <c r="D775">
        <v>141</v>
      </c>
      <c r="G775">
        <v>2507.1633237822398</v>
      </c>
      <c r="H775" s="13">
        <f t="shared" si="21"/>
        <v>0.76504297994269588</v>
      </c>
    </row>
    <row r="776" spans="1:8" x14ac:dyDescent="0.3">
      <c r="A776" s="17" t="s">
        <v>144</v>
      </c>
      <c r="C776">
        <v>128</v>
      </c>
      <c r="D776">
        <v>142</v>
      </c>
      <c r="G776">
        <v>2494.65431218817</v>
      </c>
      <c r="H776" s="13">
        <f t="shared" si="21"/>
        <v>0.76122594440484836</v>
      </c>
    </row>
    <row r="777" spans="1:8" x14ac:dyDescent="0.3">
      <c r="A777" s="17" t="s">
        <v>144</v>
      </c>
      <c r="C777">
        <v>129</v>
      </c>
      <c r="D777">
        <v>143</v>
      </c>
      <c r="G777">
        <v>2482.2695035461002</v>
      </c>
      <c r="H777" s="13">
        <f t="shared" si="21"/>
        <v>0.75744680851063961</v>
      </c>
    </row>
    <row r="778" spans="1:8" x14ac:dyDescent="0.3">
      <c r="A778" s="17" t="s">
        <v>144</v>
      </c>
      <c r="C778">
        <v>130</v>
      </c>
      <c r="D778">
        <v>144</v>
      </c>
      <c r="G778">
        <v>2470.0070571630199</v>
      </c>
      <c r="H778" s="13">
        <f t="shared" si="21"/>
        <v>0.75370501058574535</v>
      </c>
    </row>
    <row r="779" spans="1:8" x14ac:dyDescent="0.3">
      <c r="A779" s="17" t="s">
        <v>144</v>
      </c>
      <c r="C779">
        <v>131</v>
      </c>
      <c r="D779">
        <v>145</v>
      </c>
      <c r="G779">
        <v>2459.5924104005599</v>
      </c>
      <c r="H779" s="13">
        <f t="shared" si="21"/>
        <v>0.75052705551651466</v>
      </c>
    </row>
    <row r="780" spans="1:8" x14ac:dyDescent="0.3">
      <c r="A780" s="17" t="s">
        <v>144</v>
      </c>
      <c r="C780">
        <v>132</v>
      </c>
      <c r="D780">
        <v>146</v>
      </c>
      <c r="G780">
        <v>2447.5524475524498</v>
      </c>
      <c r="H780" s="13">
        <f t="shared" si="21"/>
        <v>0.74685314685314852</v>
      </c>
    </row>
    <row r="781" spans="1:8" x14ac:dyDescent="0.3">
      <c r="A781" s="17" t="s">
        <v>144</v>
      </c>
      <c r="C781">
        <v>133</v>
      </c>
      <c r="D781">
        <v>147</v>
      </c>
      <c r="G781">
        <v>2437.32590529248</v>
      </c>
      <c r="H781" s="13">
        <f t="shared" si="21"/>
        <v>0.74373259052924923</v>
      </c>
    </row>
    <row r="782" spans="1:8" x14ac:dyDescent="0.3">
      <c r="A782" s="17" t="s">
        <v>144</v>
      </c>
      <c r="C782">
        <v>134</v>
      </c>
      <c r="D782">
        <v>148</v>
      </c>
      <c r="G782">
        <v>2427.1844660194201</v>
      </c>
      <c r="H782" s="13">
        <f t="shared" si="21"/>
        <v>0.74063800277392688</v>
      </c>
    </row>
    <row r="783" spans="1:8" x14ac:dyDescent="0.3">
      <c r="A783" s="17" t="s">
        <v>144</v>
      </c>
      <c r="C783">
        <v>135</v>
      </c>
      <c r="D783">
        <v>149</v>
      </c>
      <c r="G783">
        <v>2417.1270718231999</v>
      </c>
      <c r="H783" s="13">
        <f t="shared" si="21"/>
        <v>0.73756906077348028</v>
      </c>
    </row>
    <row r="784" spans="1:8" x14ac:dyDescent="0.3">
      <c r="A784" s="17" t="s">
        <v>144</v>
      </c>
      <c r="C784">
        <v>136</v>
      </c>
      <c r="D784">
        <v>150</v>
      </c>
      <c r="G784">
        <v>2408.8093599449398</v>
      </c>
      <c r="H784" s="13">
        <f t="shared" si="21"/>
        <v>0.73503097040605692</v>
      </c>
    </row>
    <row r="785" spans="1:8" x14ac:dyDescent="0.3">
      <c r="A785" s="17" t="s">
        <v>144</v>
      </c>
      <c r="C785">
        <v>137</v>
      </c>
      <c r="D785">
        <v>151</v>
      </c>
      <c r="G785">
        <v>2402.1962937542899</v>
      </c>
      <c r="H785" s="13">
        <f t="shared" si="21"/>
        <v>0.73301304049416716</v>
      </c>
    </row>
    <row r="786" spans="1:8" x14ac:dyDescent="0.3">
      <c r="A786" s="17" t="s">
        <v>144</v>
      </c>
      <c r="C786">
        <v>138</v>
      </c>
      <c r="D786">
        <v>152</v>
      </c>
      <c r="G786">
        <v>2393.98084815321</v>
      </c>
      <c r="H786" s="13">
        <f t="shared" si="21"/>
        <v>0.73050615595075186</v>
      </c>
    </row>
    <row r="787" spans="1:8" x14ac:dyDescent="0.3">
      <c r="A787" s="17" t="s">
        <v>144</v>
      </c>
      <c r="C787">
        <v>139</v>
      </c>
      <c r="D787">
        <v>153</v>
      </c>
      <c r="G787">
        <v>2389.0784982935202</v>
      </c>
      <c r="H787" s="13">
        <f t="shared" si="21"/>
        <v>0.72901023890785233</v>
      </c>
    </row>
    <row r="788" spans="1:8" x14ac:dyDescent="0.3">
      <c r="A788" s="17" t="s">
        <v>144</v>
      </c>
      <c r="C788">
        <v>140</v>
      </c>
      <c r="D788">
        <v>154</v>
      </c>
      <c r="G788">
        <v>2382.5731790333598</v>
      </c>
      <c r="H788" s="13">
        <f t="shared" si="21"/>
        <v>0.72702518720218046</v>
      </c>
    </row>
    <row r="789" spans="1:8" x14ac:dyDescent="0.3">
      <c r="A789" s="17" t="s">
        <v>144</v>
      </c>
      <c r="C789">
        <v>141</v>
      </c>
      <c r="D789">
        <v>155</v>
      </c>
      <c r="G789">
        <v>2379.3337865397698</v>
      </c>
      <c r="H789" s="13">
        <f t="shared" si="21"/>
        <v>0.72603670972127932</v>
      </c>
    </row>
    <row r="790" spans="1:8" x14ac:dyDescent="0.3">
      <c r="A790" s="17" t="s">
        <v>144</v>
      </c>
      <c r="C790">
        <v>142</v>
      </c>
      <c r="D790">
        <v>156</v>
      </c>
      <c r="G790">
        <v>2376.1031907671399</v>
      </c>
      <c r="H790" s="13">
        <f t="shared" si="21"/>
        <v>0.72505091649694542</v>
      </c>
    </row>
    <row r="791" spans="1:8" x14ac:dyDescent="0.3">
      <c r="A791" s="17" t="s">
        <v>144</v>
      </c>
      <c r="C791">
        <v>143</v>
      </c>
      <c r="D791">
        <v>157</v>
      </c>
      <c r="G791">
        <v>2372.8813559322002</v>
      </c>
      <c r="H791" s="13">
        <f t="shared" si="21"/>
        <v>0.72406779661016951</v>
      </c>
    </row>
    <row r="792" spans="1:8" x14ac:dyDescent="0.3">
      <c r="A792" s="17" t="s">
        <v>144</v>
      </c>
      <c r="C792">
        <v>144</v>
      </c>
      <c r="D792">
        <v>158</v>
      </c>
      <c r="G792">
        <v>2371.2737127371302</v>
      </c>
      <c r="H792" s="13">
        <f t="shared" si="21"/>
        <v>0.72357723577235955</v>
      </c>
    </row>
    <row r="793" spans="1:8" x14ac:dyDescent="0.3">
      <c r="A793" s="17" t="s">
        <v>144</v>
      </c>
      <c r="C793">
        <v>145</v>
      </c>
      <c r="D793">
        <v>159</v>
      </c>
      <c r="G793">
        <v>2371.2737127371302</v>
      </c>
      <c r="H793" s="13">
        <f t="shared" si="21"/>
        <v>0.72357723577235955</v>
      </c>
    </row>
    <row r="794" spans="1:8" x14ac:dyDescent="0.3">
      <c r="A794" s="17" t="s">
        <v>144</v>
      </c>
      <c r="C794">
        <v>146</v>
      </c>
      <c r="D794">
        <v>160</v>
      </c>
      <c r="G794">
        <v>2371.2737127371302</v>
      </c>
      <c r="H794" s="13">
        <f t="shared" si="21"/>
        <v>0.72357723577235955</v>
      </c>
    </row>
    <row r="795" spans="1:8" x14ac:dyDescent="0.3">
      <c r="A795" s="17" t="s">
        <v>144</v>
      </c>
      <c r="C795">
        <v>147</v>
      </c>
      <c r="D795">
        <v>161</v>
      </c>
      <c r="G795">
        <v>2372.8813559322002</v>
      </c>
      <c r="H795" s="13">
        <f t="shared" si="21"/>
        <v>0.72406779661016951</v>
      </c>
    </row>
    <row r="796" spans="1:8" x14ac:dyDescent="0.3">
      <c r="A796" s="17" t="s">
        <v>144</v>
      </c>
      <c r="C796">
        <v>148</v>
      </c>
      <c r="D796">
        <v>162</v>
      </c>
      <c r="G796">
        <v>2376.1031907671399</v>
      </c>
      <c r="H796" s="13">
        <f t="shared" si="21"/>
        <v>0.72505091649694542</v>
      </c>
    </row>
    <row r="797" spans="1:8" x14ac:dyDescent="0.3">
      <c r="A797" s="17" t="s">
        <v>144</v>
      </c>
      <c r="C797">
        <v>149</v>
      </c>
      <c r="D797">
        <v>163</v>
      </c>
      <c r="G797">
        <v>2379.3337865397698</v>
      </c>
      <c r="H797" s="13">
        <f t="shared" si="21"/>
        <v>0.72603670972127932</v>
      </c>
    </row>
    <row r="798" spans="1:8" x14ac:dyDescent="0.3">
      <c r="A798" s="17" t="s">
        <v>144</v>
      </c>
      <c r="C798">
        <v>150</v>
      </c>
      <c r="D798">
        <v>164</v>
      </c>
      <c r="G798">
        <v>2384.1961852861</v>
      </c>
      <c r="H798" s="13">
        <f t="shared" si="21"/>
        <v>0.72752043596730231</v>
      </c>
    </row>
    <row r="799" spans="1:8" x14ac:dyDescent="0.3">
      <c r="A799" s="17" t="s">
        <v>144</v>
      </c>
      <c r="C799">
        <v>151</v>
      </c>
      <c r="D799">
        <v>165</v>
      </c>
      <c r="G799">
        <v>2389.0784982935202</v>
      </c>
      <c r="H799" s="13">
        <f t="shared" ref="H799:H828" si="22">G799/MAX($G$286:$G$1009)</f>
        <v>0.72901023890785233</v>
      </c>
    </row>
    <row r="800" spans="1:8" x14ac:dyDescent="0.3">
      <c r="A800" s="17" t="s">
        <v>144</v>
      </c>
      <c r="C800">
        <v>152</v>
      </c>
      <c r="D800">
        <v>166</v>
      </c>
      <c r="G800">
        <v>2395.6194387405899</v>
      </c>
      <c r="H800" s="13">
        <f t="shared" si="22"/>
        <v>0.73100616016427244</v>
      </c>
    </row>
    <row r="801" spans="1:8" x14ac:dyDescent="0.3">
      <c r="A801" s="17" t="s">
        <v>144</v>
      </c>
      <c r="C801">
        <v>153</v>
      </c>
      <c r="D801">
        <v>167</v>
      </c>
      <c r="G801">
        <v>2403.8461538461502</v>
      </c>
      <c r="H801" s="13">
        <f t="shared" si="22"/>
        <v>0.73351648351648335</v>
      </c>
    </row>
    <row r="802" spans="1:8" x14ac:dyDescent="0.3">
      <c r="A802" s="17" t="s">
        <v>144</v>
      </c>
      <c r="C802">
        <v>154</v>
      </c>
      <c r="D802">
        <v>168</v>
      </c>
      <c r="G802">
        <v>2412.12956581668</v>
      </c>
      <c r="H802" s="13">
        <f t="shared" si="22"/>
        <v>0.73604410751206217</v>
      </c>
    </row>
    <row r="803" spans="1:8" x14ac:dyDescent="0.3">
      <c r="A803" s="17" t="s">
        <v>144</v>
      </c>
      <c r="C803">
        <v>155</v>
      </c>
      <c r="D803">
        <v>169</v>
      </c>
      <c r="G803">
        <v>2420.47026279391</v>
      </c>
      <c r="H803" s="13">
        <f t="shared" si="22"/>
        <v>0.73858921161825697</v>
      </c>
    </row>
    <row r="804" spans="1:8" x14ac:dyDescent="0.3">
      <c r="A804" s="17" t="s">
        <v>144</v>
      </c>
      <c r="C804">
        <v>156</v>
      </c>
      <c r="D804">
        <v>170</v>
      </c>
      <c r="G804">
        <v>2430.5555555555602</v>
      </c>
      <c r="H804" s="13">
        <f t="shared" si="22"/>
        <v>0.74166666666666903</v>
      </c>
    </row>
    <row r="805" spans="1:8" x14ac:dyDescent="0.3">
      <c r="A805" s="17" t="s">
        <v>144</v>
      </c>
      <c r="C805">
        <v>157</v>
      </c>
      <c r="D805">
        <v>171</v>
      </c>
      <c r="G805">
        <v>2440.7252440725201</v>
      </c>
      <c r="H805" s="13">
        <f t="shared" si="22"/>
        <v>0.74476987447698717</v>
      </c>
    </row>
    <row r="806" spans="1:8" x14ac:dyDescent="0.3">
      <c r="A806" s="17" t="s">
        <v>144</v>
      </c>
      <c r="C806">
        <v>158</v>
      </c>
      <c r="D806">
        <v>172</v>
      </c>
      <c r="G806">
        <v>2450.98039215686</v>
      </c>
      <c r="H806" s="13">
        <f t="shared" si="22"/>
        <v>0.74789915966386566</v>
      </c>
    </row>
    <row r="807" spans="1:8" x14ac:dyDescent="0.3">
      <c r="A807" s="17" t="s">
        <v>144</v>
      </c>
      <c r="C807">
        <v>159</v>
      </c>
      <c r="D807">
        <v>173</v>
      </c>
      <c r="G807">
        <v>2461.3220815752502</v>
      </c>
      <c r="H807" s="13">
        <f t="shared" si="22"/>
        <v>0.75105485232067737</v>
      </c>
    </row>
    <row r="808" spans="1:8" x14ac:dyDescent="0.3">
      <c r="A808" s="17" t="s">
        <v>144</v>
      </c>
      <c r="C808">
        <v>160</v>
      </c>
      <c r="D808">
        <v>174</v>
      </c>
      <c r="G808">
        <v>2473.49823321555</v>
      </c>
      <c r="H808" s="13">
        <f t="shared" si="22"/>
        <v>0.75477031802120309</v>
      </c>
    </row>
    <row r="809" spans="1:8" x14ac:dyDescent="0.3">
      <c r="A809" s="17" t="s">
        <v>144</v>
      </c>
      <c r="C809">
        <v>161</v>
      </c>
      <c r="D809">
        <v>175</v>
      </c>
      <c r="G809">
        <v>2484.03122782115</v>
      </c>
      <c r="H809" s="13">
        <f t="shared" si="22"/>
        <v>0.7579843860894262</v>
      </c>
    </row>
    <row r="810" spans="1:8" x14ac:dyDescent="0.3">
      <c r="A810" s="17" t="s">
        <v>144</v>
      </c>
      <c r="C810">
        <v>162</v>
      </c>
      <c r="D810">
        <v>176</v>
      </c>
      <c r="G810">
        <v>2496.4336661911598</v>
      </c>
      <c r="H810" s="13">
        <f t="shared" si="22"/>
        <v>0.76176890156918919</v>
      </c>
    </row>
    <row r="811" spans="1:8" x14ac:dyDescent="0.3">
      <c r="A811" s="17" t="s">
        <v>144</v>
      </c>
      <c r="C811">
        <v>163</v>
      </c>
      <c r="D811">
        <v>177</v>
      </c>
      <c r="G811">
        <v>2507.1633237822398</v>
      </c>
      <c r="H811" s="13">
        <f t="shared" si="22"/>
        <v>0.76504297994269588</v>
      </c>
    </row>
    <row r="812" spans="1:8" x14ac:dyDescent="0.3">
      <c r="A812" s="17" t="s">
        <v>144</v>
      </c>
      <c r="C812">
        <v>164</v>
      </c>
      <c r="D812">
        <v>178</v>
      </c>
      <c r="G812">
        <v>2517.98561151079</v>
      </c>
      <c r="H812" s="13">
        <f t="shared" si="22"/>
        <v>0.76834532374100784</v>
      </c>
    </row>
    <row r="813" spans="1:8" x14ac:dyDescent="0.3">
      <c r="A813" s="17" t="s">
        <v>144</v>
      </c>
      <c r="C813">
        <v>165</v>
      </c>
      <c r="D813">
        <v>179</v>
      </c>
      <c r="G813">
        <v>2528.9017341040499</v>
      </c>
      <c r="H813" s="13">
        <f t="shared" si="22"/>
        <v>0.77167630057803682</v>
      </c>
    </row>
    <row r="814" spans="1:8" x14ac:dyDescent="0.3">
      <c r="A814" s="17" t="s">
        <v>144</v>
      </c>
      <c r="C814">
        <v>166</v>
      </c>
      <c r="D814">
        <v>180</v>
      </c>
      <c r="G814">
        <v>2538.07106598985</v>
      </c>
      <c r="H814" s="13">
        <f t="shared" si="22"/>
        <v>0.77447425670776093</v>
      </c>
    </row>
    <row r="815" spans="1:8" x14ac:dyDescent="0.3">
      <c r="A815" s="17" t="s">
        <v>144</v>
      </c>
      <c r="C815">
        <v>167</v>
      </c>
      <c r="D815">
        <v>0</v>
      </c>
      <c r="G815">
        <v>2545.45454545455</v>
      </c>
      <c r="H815" s="13">
        <f t="shared" si="22"/>
        <v>0.77672727272727515</v>
      </c>
    </row>
    <row r="816" spans="1:8" x14ac:dyDescent="0.3">
      <c r="A816" s="17" t="s">
        <v>144</v>
      </c>
      <c r="C816">
        <v>168</v>
      </c>
      <c r="D816">
        <v>1</v>
      </c>
      <c r="G816">
        <v>2551.0204081632701</v>
      </c>
      <c r="H816" s="13">
        <f t="shared" si="22"/>
        <v>0.7784256559766789</v>
      </c>
    </row>
    <row r="817" spans="1:8" x14ac:dyDescent="0.3">
      <c r="A817" s="17" t="s">
        <v>144</v>
      </c>
      <c r="C817">
        <v>169</v>
      </c>
      <c r="D817">
        <v>2</v>
      </c>
      <c r="G817">
        <v>2554.7445255474499</v>
      </c>
      <c r="H817" s="13">
        <f t="shared" si="22"/>
        <v>0.77956204379562288</v>
      </c>
    </row>
    <row r="818" spans="1:8" x14ac:dyDescent="0.3">
      <c r="A818" s="17" t="s">
        <v>144</v>
      </c>
      <c r="C818">
        <v>170</v>
      </c>
      <c r="D818">
        <v>3</v>
      </c>
      <c r="G818">
        <v>2556.6106647187698</v>
      </c>
      <c r="H818" s="13">
        <f t="shared" si="22"/>
        <v>0.78013148283418565</v>
      </c>
    </row>
    <row r="819" spans="1:8" x14ac:dyDescent="0.3">
      <c r="A819" s="17" t="s">
        <v>144</v>
      </c>
      <c r="C819">
        <v>171</v>
      </c>
      <c r="D819">
        <v>4</v>
      </c>
      <c r="G819">
        <v>2554.7445255474499</v>
      </c>
      <c r="H819" s="13">
        <f t="shared" si="22"/>
        <v>0.77956204379562288</v>
      </c>
    </row>
    <row r="820" spans="1:8" x14ac:dyDescent="0.3">
      <c r="A820" s="17" t="s">
        <v>144</v>
      </c>
      <c r="C820">
        <v>172</v>
      </c>
      <c r="D820">
        <v>5</v>
      </c>
      <c r="G820">
        <v>2552.8811086798</v>
      </c>
      <c r="H820" s="13">
        <f t="shared" si="22"/>
        <v>0.77899343544858002</v>
      </c>
    </row>
    <row r="821" spans="1:8" x14ac:dyDescent="0.3">
      <c r="A821" s="17" t="s">
        <v>144</v>
      </c>
      <c r="C821">
        <v>173</v>
      </c>
      <c r="D821">
        <v>6</v>
      </c>
      <c r="G821">
        <v>2547.30713245997</v>
      </c>
      <c r="H821" s="13">
        <f t="shared" si="22"/>
        <v>0.77729257641921479</v>
      </c>
    </row>
    <row r="822" spans="1:8" x14ac:dyDescent="0.3">
      <c r="A822" s="17" t="s">
        <v>144</v>
      </c>
      <c r="C822">
        <v>174</v>
      </c>
      <c r="D822">
        <v>7</v>
      </c>
      <c r="G822">
        <v>2541.7574437182302</v>
      </c>
      <c r="H822" s="13">
        <f t="shared" si="22"/>
        <v>0.77559912854030666</v>
      </c>
    </row>
    <row r="823" spans="1:8" x14ac:dyDescent="0.3">
      <c r="A823" s="17" t="s">
        <v>144</v>
      </c>
      <c r="C823">
        <v>175</v>
      </c>
      <c r="D823">
        <v>8</v>
      </c>
      <c r="G823">
        <v>2532.5615050651199</v>
      </c>
      <c r="H823" s="13">
        <f t="shared" si="22"/>
        <v>0.77279305354558625</v>
      </c>
    </row>
    <row r="824" spans="1:8" x14ac:dyDescent="0.3">
      <c r="A824" s="17" t="s">
        <v>144</v>
      </c>
      <c r="C824">
        <v>176</v>
      </c>
      <c r="D824">
        <v>9</v>
      </c>
      <c r="G824">
        <v>2525.2525252525202</v>
      </c>
      <c r="H824" s="13">
        <f t="shared" si="22"/>
        <v>0.77056277056277001</v>
      </c>
    </row>
    <row r="825" spans="1:8" x14ac:dyDescent="0.3">
      <c r="A825" s="17" t="s">
        <v>144</v>
      </c>
      <c r="C825">
        <v>177</v>
      </c>
      <c r="D825">
        <v>10</v>
      </c>
      <c r="G825">
        <v>2514.3678160919499</v>
      </c>
      <c r="H825" s="13">
        <f t="shared" si="22"/>
        <v>0.76724137931034464</v>
      </c>
    </row>
    <row r="826" spans="1:8" x14ac:dyDescent="0.3">
      <c r="A826" s="17" t="s">
        <v>144</v>
      </c>
      <c r="C826">
        <v>178</v>
      </c>
      <c r="D826">
        <v>11</v>
      </c>
      <c r="G826">
        <v>2503.5765379113</v>
      </c>
      <c r="H826" s="13">
        <f t="shared" si="22"/>
        <v>0.7639484978540777</v>
      </c>
    </row>
    <row r="827" spans="1:8" x14ac:dyDescent="0.3">
      <c r="A827" s="17" t="s">
        <v>144</v>
      </c>
      <c r="C827">
        <v>179</v>
      </c>
      <c r="D827">
        <v>12</v>
      </c>
      <c r="G827">
        <v>2492.8774928774901</v>
      </c>
      <c r="H827" s="13">
        <f t="shared" si="22"/>
        <v>0.76068376068376087</v>
      </c>
    </row>
    <row r="828" spans="1:8" x14ac:dyDescent="0.3">
      <c r="A828" s="17" t="s">
        <v>144</v>
      </c>
      <c r="C828">
        <v>180</v>
      </c>
      <c r="D828">
        <v>13</v>
      </c>
      <c r="G828">
        <v>2482.2695035461002</v>
      </c>
      <c r="H828" s="13">
        <f t="shared" si="22"/>
        <v>0.75744680851063961</v>
      </c>
    </row>
    <row r="829" spans="1:8" x14ac:dyDescent="0.3">
      <c r="A829" s="17" t="s">
        <v>145</v>
      </c>
      <c r="C829">
        <v>0</v>
      </c>
      <c r="D829">
        <v>14</v>
      </c>
      <c r="H829" s="13"/>
    </row>
    <row r="830" spans="1:8" x14ac:dyDescent="0.3">
      <c r="A830" s="17" t="s">
        <v>145</v>
      </c>
      <c r="C830">
        <v>1</v>
      </c>
      <c r="D830">
        <v>15</v>
      </c>
      <c r="H830" s="13"/>
    </row>
    <row r="831" spans="1:8" x14ac:dyDescent="0.3">
      <c r="A831" s="17" t="s">
        <v>145</v>
      </c>
      <c r="C831">
        <v>2</v>
      </c>
      <c r="D831">
        <v>16</v>
      </c>
      <c r="H831" s="13"/>
    </row>
    <row r="832" spans="1:8" x14ac:dyDescent="0.3">
      <c r="A832" s="17" t="s">
        <v>145</v>
      </c>
      <c r="C832">
        <v>3</v>
      </c>
      <c r="D832">
        <v>17</v>
      </c>
      <c r="H832" s="13"/>
    </row>
    <row r="833" spans="1:8" x14ac:dyDescent="0.3">
      <c r="A833" s="17" t="s">
        <v>145</v>
      </c>
      <c r="C833">
        <v>4</v>
      </c>
      <c r="D833">
        <v>18</v>
      </c>
      <c r="H833" s="13"/>
    </row>
    <row r="834" spans="1:8" x14ac:dyDescent="0.3">
      <c r="A834" s="17" t="s">
        <v>145</v>
      </c>
      <c r="C834">
        <v>5</v>
      </c>
      <c r="D834">
        <v>19</v>
      </c>
      <c r="H834" s="13"/>
    </row>
    <row r="835" spans="1:8" x14ac:dyDescent="0.3">
      <c r="A835" s="17" t="s">
        <v>145</v>
      </c>
      <c r="C835">
        <v>6</v>
      </c>
      <c r="D835">
        <v>20</v>
      </c>
      <c r="H835" s="13"/>
    </row>
    <row r="836" spans="1:8" x14ac:dyDescent="0.3">
      <c r="A836" s="17" t="s">
        <v>145</v>
      </c>
      <c r="C836">
        <v>7</v>
      </c>
      <c r="D836">
        <v>21</v>
      </c>
      <c r="H836" s="13"/>
    </row>
    <row r="837" spans="1:8" x14ac:dyDescent="0.3">
      <c r="A837" s="17" t="s">
        <v>145</v>
      </c>
      <c r="C837">
        <v>8</v>
      </c>
      <c r="D837">
        <v>22</v>
      </c>
      <c r="H837" s="13"/>
    </row>
    <row r="838" spans="1:8" x14ac:dyDescent="0.3">
      <c r="A838" s="17" t="s">
        <v>145</v>
      </c>
      <c r="C838">
        <v>9</v>
      </c>
      <c r="D838">
        <v>23</v>
      </c>
      <c r="H838" s="13"/>
    </row>
    <row r="839" spans="1:8" x14ac:dyDescent="0.3">
      <c r="A839" s="17" t="s">
        <v>145</v>
      </c>
      <c r="C839">
        <v>10</v>
      </c>
      <c r="D839">
        <v>24</v>
      </c>
      <c r="H839" s="13"/>
    </row>
    <row r="840" spans="1:8" x14ac:dyDescent="0.3">
      <c r="A840" s="17" t="s">
        <v>145</v>
      </c>
      <c r="C840">
        <v>11</v>
      </c>
      <c r="D840">
        <v>25</v>
      </c>
      <c r="H840" s="13"/>
    </row>
    <row r="841" spans="1:8" x14ac:dyDescent="0.3">
      <c r="A841" s="17" t="s">
        <v>145</v>
      </c>
      <c r="C841">
        <v>12</v>
      </c>
      <c r="D841">
        <v>26</v>
      </c>
      <c r="H841" s="13"/>
    </row>
    <row r="842" spans="1:8" x14ac:dyDescent="0.3">
      <c r="A842" s="17" t="s">
        <v>145</v>
      </c>
      <c r="C842">
        <v>13</v>
      </c>
      <c r="D842">
        <v>27</v>
      </c>
      <c r="H842" s="13"/>
    </row>
    <row r="843" spans="1:8" x14ac:dyDescent="0.3">
      <c r="A843" s="17" t="s">
        <v>145</v>
      </c>
      <c r="C843">
        <v>14</v>
      </c>
      <c r="D843">
        <v>28</v>
      </c>
      <c r="H843" s="13"/>
    </row>
    <row r="844" spans="1:8" x14ac:dyDescent="0.3">
      <c r="A844" s="17" t="s">
        <v>145</v>
      </c>
      <c r="C844">
        <v>15</v>
      </c>
      <c r="D844">
        <v>29</v>
      </c>
      <c r="H844" s="13"/>
    </row>
    <row r="845" spans="1:8" x14ac:dyDescent="0.3">
      <c r="A845" s="17" t="s">
        <v>145</v>
      </c>
      <c r="C845">
        <v>16</v>
      </c>
      <c r="D845">
        <v>30</v>
      </c>
      <c r="H845" s="13"/>
    </row>
    <row r="846" spans="1:8" x14ac:dyDescent="0.3">
      <c r="A846" s="17" t="s">
        <v>145</v>
      </c>
      <c r="C846">
        <v>17</v>
      </c>
      <c r="D846">
        <v>31</v>
      </c>
      <c r="H846" s="13"/>
    </row>
    <row r="847" spans="1:8" x14ac:dyDescent="0.3">
      <c r="A847" s="17" t="s">
        <v>145</v>
      </c>
      <c r="C847">
        <v>18</v>
      </c>
      <c r="D847">
        <v>32</v>
      </c>
      <c r="H847" s="13"/>
    </row>
    <row r="848" spans="1:8" x14ac:dyDescent="0.3">
      <c r="A848" s="17" t="s">
        <v>145</v>
      </c>
      <c r="C848">
        <v>19</v>
      </c>
      <c r="D848">
        <v>33</v>
      </c>
      <c r="H848" s="13"/>
    </row>
    <row r="849" spans="1:8" x14ac:dyDescent="0.3">
      <c r="A849" s="17" t="s">
        <v>145</v>
      </c>
      <c r="C849">
        <v>20</v>
      </c>
      <c r="D849">
        <v>34</v>
      </c>
      <c r="H849" s="13"/>
    </row>
    <row r="850" spans="1:8" x14ac:dyDescent="0.3">
      <c r="A850" s="17" t="s">
        <v>145</v>
      </c>
      <c r="C850">
        <v>21</v>
      </c>
      <c r="D850">
        <v>35</v>
      </c>
      <c r="H850" s="13"/>
    </row>
    <row r="851" spans="1:8" x14ac:dyDescent="0.3">
      <c r="A851" s="17" t="s">
        <v>145</v>
      </c>
      <c r="C851">
        <v>22</v>
      </c>
      <c r="D851">
        <v>36</v>
      </c>
      <c r="H851" s="13"/>
    </row>
    <row r="852" spans="1:8" x14ac:dyDescent="0.3">
      <c r="A852" s="17" t="s">
        <v>145</v>
      </c>
      <c r="C852">
        <v>23</v>
      </c>
      <c r="D852">
        <v>37</v>
      </c>
      <c r="H852" s="13"/>
    </row>
    <row r="853" spans="1:8" x14ac:dyDescent="0.3">
      <c r="A853" s="17" t="s">
        <v>145</v>
      </c>
      <c r="C853">
        <v>24</v>
      </c>
      <c r="D853">
        <v>38</v>
      </c>
      <c r="H853" s="13"/>
    </row>
    <row r="854" spans="1:8" x14ac:dyDescent="0.3">
      <c r="A854" s="17" t="s">
        <v>145</v>
      </c>
      <c r="C854">
        <v>25</v>
      </c>
      <c r="D854">
        <v>39</v>
      </c>
      <c r="H854" s="13"/>
    </row>
    <row r="855" spans="1:8" x14ac:dyDescent="0.3">
      <c r="A855" s="17" t="s">
        <v>145</v>
      </c>
      <c r="C855">
        <v>26</v>
      </c>
      <c r="D855">
        <v>40</v>
      </c>
      <c r="H855" s="13"/>
    </row>
    <row r="856" spans="1:8" x14ac:dyDescent="0.3">
      <c r="A856" s="17" t="s">
        <v>145</v>
      </c>
      <c r="C856">
        <v>27</v>
      </c>
      <c r="D856">
        <v>41</v>
      </c>
      <c r="H856" s="13"/>
    </row>
    <row r="857" spans="1:8" x14ac:dyDescent="0.3">
      <c r="A857" s="17" t="s">
        <v>145</v>
      </c>
      <c r="C857">
        <v>28</v>
      </c>
      <c r="D857">
        <v>42</v>
      </c>
      <c r="H857" s="13"/>
    </row>
    <row r="858" spans="1:8" x14ac:dyDescent="0.3">
      <c r="A858" s="17" t="s">
        <v>145</v>
      </c>
      <c r="C858">
        <v>29</v>
      </c>
      <c r="D858">
        <v>43</v>
      </c>
      <c r="H858" s="13"/>
    </row>
    <row r="859" spans="1:8" x14ac:dyDescent="0.3">
      <c r="A859" s="17" t="s">
        <v>145</v>
      </c>
      <c r="C859">
        <v>30</v>
      </c>
      <c r="D859">
        <v>44</v>
      </c>
      <c r="H859" s="13"/>
    </row>
    <row r="860" spans="1:8" x14ac:dyDescent="0.3">
      <c r="A860" s="17" t="s">
        <v>145</v>
      </c>
      <c r="C860">
        <v>31</v>
      </c>
      <c r="D860">
        <v>45</v>
      </c>
      <c r="H860" s="13"/>
    </row>
    <row r="861" spans="1:8" x14ac:dyDescent="0.3">
      <c r="A861" s="17" t="s">
        <v>145</v>
      </c>
      <c r="C861">
        <v>32</v>
      </c>
      <c r="D861">
        <v>46</v>
      </c>
      <c r="H861" s="13"/>
    </row>
    <row r="862" spans="1:8" x14ac:dyDescent="0.3">
      <c r="A862" s="17" t="s">
        <v>145</v>
      </c>
      <c r="C862">
        <v>33</v>
      </c>
      <c r="D862">
        <v>47</v>
      </c>
      <c r="H862" s="13"/>
    </row>
    <row r="863" spans="1:8" x14ac:dyDescent="0.3">
      <c r="A863" s="17" t="s">
        <v>145</v>
      </c>
      <c r="C863">
        <v>34</v>
      </c>
      <c r="D863">
        <v>48</v>
      </c>
      <c r="H863" s="13"/>
    </row>
    <row r="864" spans="1:8" x14ac:dyDescent="0.3">
      <c r="A864" s="17" t="s">
        <v>145</v>
      </c>
      <c r="C864">
        <v>35</v>
      </c>
      <c r="D864">
        <v>49</v>
      </c>
      <c r="H864" s="13"/>
    </row>
    <row r="865" spans="1:8" x14ac:dyDescent="0.3">
      <c r="A865" s="17" t="s">
        <v>145</v>
      </c>
      <c r="C865">
        <v>36</v>
      </c>
      <c r="D865">
        <v>50</v>
      </c>
      <c r="H865" s="13"/>
    </row>
    <row r="866" spans="1:8" x14ac:dyDescent="0.3">
      <c r="A866" s="17" t="s">
        <v>145</v>
      </c>
      <c r="C866">
        <v>37</v>
      </c>
      <c r="D866">
        <v>51</v>
      </c>
      <c r="H866" s="13"/>
    </row>
    <row r="867" spans="1:8" x14ac:dyDescent="0.3">
      <c r="A867" s="17" t="s">
        <v>145</v>
      </c>
      <c r="C867">
        <v>38</v>
      </c>
      <c r="D867">
        <v>52</v>
      </c>
      <c r="H867" s="13"/>
    </row>
    <row r="868" spans="1:8" x14ac:dyDescent="0.3">
      <c r="A868" s="17" t="s">
        <v>145</v>
      </c>
      <c r="C868">
        <v>39</v>
      </c>
      <c r="D868">
        <v>53</v>
      </c>
      <c r="H868" s="13"/>
    </row>
    <row r="869" spans="1:8" x14ac:dyDescent="0.3">
      <c r="A869" s="17" t="s">
        <v>145</v>
      </c>
      <c r="C869">
        <v>40</v>
      </c>
      <c r="D869">
        <v>54</v>
      </c>
      <c r="H869" s="13"/>
    </row>
    <row r="870" spans="1:8" x14ac:dyDescent="0.3">
      <c r="A870" s="17" t="s">
        <v>145</v>
      </c>
      <c r="C870">
        <v>41</v>
      </c>
      <c r="D870">
        <v>55</v>
      </c>
      <c r="H870" s="13"/>
    </row>
    <row r="871" spans="1:8" x14ac:dyDescent="0.3">
      <c r="A871" s="17" t="s">
        <v>145</v>
      </c>
      <c r="C871">
        <v>42</v>
      </c>
      <c r="D871">
        <v>56</v>
      </c>
      <c r="H871" s="13"/>
    </row>
    <row r="872" spans="1:8" x14ac:dyDescent="0.3">
      <c r="A872" s="17" t="s">
        <v>145</v>
      </c>
      <c r="C872">
        <v>43</v>
      </c>
      <c r="D872">
        <v>57</v>
      </c>
      <c r="H872" s="13"/>
    </row>
    <row r="873" spans="1:8" x14ac:dyDescent="0.3">
      <c r="A873" s="17" t="s">
        <v>145</v>
      </c>
      <c r="C873">
        <v>44</v>
      </c>
      <c r="D873">
        <v>58</v>
      </c>
      <c r="H873" s="13"/>
    </row>
    <row r="874" spans="1:8" x14ac:dyDescent="0.3">
      <c r="A874" s="17" t="s">
        <v>145</v>
      </c>
      <c r="C874">
        <v>45</v>
      </c>
      <c r="D874">
        <v>59</v>
      </c>
      <c r="H874" s="13"/>
    </row>
    <row r="875" spans="1:8" x14ac:dyDescent="0.3">
      <c r="A875" s="17" t="s">
        <v>145</v>
      </c>
      <c r="C875">
        <v>46</v>
      </c>
      <c r="D875">
        <v>60</v>
      </c>
      <c r="H875" s="13"/>
    </row>
    <row r="876" spans="1:8" x14ac:dyDescent="0.3">
      <c r="A876" s="17" t="s">
        <v>145</v>
      </c>
      <c r="C876">
        <v>47</v>
      </c>
      <c r="D876">
        <v>61</v>
      </c>
      <c r="H876" s="13"/>
    </row>
    <row r="877" spans="1:8" x14ac:dyDescent="0.3">
      <c r="A877" s="17" t="s">
        <v>145</v>
      </c>
      <c r="C877">
        <v>48</v>
      </c>
      <c r="D877">
        <v>62</v>
      </c>
      <c r="H877" s="13"/>
    </row>
    <row r="878" spans="1:8" x14ac:dyDescent="0.3">
      <c r="A878" s="17" t="s">
        <v>145</v>
      </c>
      <c r="C878">
        <v>49</v>
      </c>
      <c r="D878">
        <v>63</v>
      </c>
      <c r="H878" s="13"/>
    </row>
    <row r="879" spans="1:8" x14ac:dyDescent="0.3">
      <c r="A879" s="17" t="s">
        <v>145</v>
      </c>
      <c r="C879">
        <v>50</v>
      </c>
      <c r="D879">
        <v>64</v>
      </c>
      <c r="H879" s="13"/>
    </row>
    <row r="880" spans="1:8" x14ac:dyDescent="0.3">
      <c r="A880" s="17" t="s">
        <v>145</v>
      </c>
      <c r="C880">
        <v>51</v>
      </c>
      <c r="D880">
        <v>65</v>
      </c>
      <c r="H880" s="13"/>
    </row>
    <row r="881" spans="1:8" x14ac:dyDescent="0.3">
      <c r="A881" s="17" t="s">
        <v>145</v>
      </c>
      <c r="C881">
        <v>52</v>
      </c>
      <c r="D881">
        <v>66</v>
      </c>
      <c r="H881" s="13"/>
    </row>
    <row r="882" spans="1:8" x14ac:dyDescent="0.3">
      <c r="A882" s="17" t="s">
        <v>145</v>
      </c>
      <c r="C882">
        <v>53</v>
      </c>
      <c r="D882">
        <v>67</v>
      </c>
      <c r="H882" s="13"/>
    </row>
    <row r="883" spans="1:8" x14ac:dyDescent="0.3">
      <c r="A883" s="17" t="s">
        <v>145</v>
      </c>
      <c r="C883">
        <v>54</v>
      </c>
      <c r="D883">
        <v>68</v>
      </c>
      <c r="H883" s="13"/>
    </row>
    <row r="884" spans="1:8" x14ac:dyDescent="0.3">
      <c r="A884" s="17" t="s">
        <v>145</v>
      </c>
      <c r="C884">
        <v>55</v>
      </c>
      <c r="D884">
        <v>69</v>
      </c>
      <c r="H884" s="13"/>
    </row>
    <row r="885" spans="1:8" x14ac:dyDescent="0.3">
      <c r="A885" s="17" t="s">
        <v>145</v>
      </c>
      <c r="C885">
        <v>56</v>
      </c>
      <c r="D885">
        <v>70</v>
      </c>
      <c r="H885" s="13"/>
    </row>
    <row r="886" spans="1:8" x14ac:dyDescent="0.3">
      <c r="A886" s="17" t="s">
        <v>145</v>
      </c>
      <c r="C886">
        <v>57</v>
      </c>
      <c r="D886">
        <v>71</v>
      </c>
      <c r="H886" s="13"/>
    </row>
    <row r="887" spans="1:8" x14ac:dyDescent="0.3">
      <c r="A887" s="17" t="s">
        <v>145</v>
      </c>
      <c r="C887">
        <v>58</v>
      </c>
      <c r="D887">
        <v>72</v>
      </c>
      <c r="H887" s="13"/>
    </row>
    <row r="888" spans="1:8" x14ac:dyDescent="0.3">
      <c r="A888" s="17" t="s">
        <v>145</v>
      </c>
      <c r="C888">
        <v>59</v>
      </c>
      <c r="D888">
        <v>73</v>
      </c>
      <c r="H888" s="13"/>
    </row>
    <row r="889" spans="1:8" x14ac:dyDescent="0.3">
      <c r="A889" s="17" t="s">
        <v>145</v>
      </c>
      <c r="C889">
        <v>60</v>
      </c>
      <c r="D889">
        <v>74</v>
      </c>
      <c r="H889" s="13"/>
    </row>
    <row r="890" spans="1:8" x14ac:dyDescent="0.3">
      <c r="A890" s="17" t="s">
        <v>145</v>
      </c>
      <c r="C890">
        <v>61</v>
      </c>
      <c r="D890">
        <v>75</v>
      </c>
      <c r="H890" s="13"/>
    </row>
    <row r="891" spans="1:8" x14ac:dyDescent="0.3">
      <c r="A891" s="17" t="s">
        <v>145</v>
      </c>
      <c r="C891">
        <v>62</v>
      </c>
      <c r="D891">
        <v>76</v>
      </c>
      <c r="H891" s="13"/>
    </row>
    <row r="892" spans="1:8" x14ac:dyDescent="0.3">
      <c r="A892" s="17" t="s">
        <v>145</v>
      </c>
      <c r="C892">
        <v>63</v>
      </c>
      <c r="D892">
        <v>77</v>
      </c>
      <c r="H892" s="13"/>
    </row>
    <row r="893" spans="1:8" x14ac:dyDescent="0.3">
      <c r="A893" s="17" t="s">
        <v>145</v>
      </c>
      <c r="C893">
        <v>64</v>
      </c>
      <c r="D893">
        <v>78</v>
      </c>
      <c r="H893" s="13"/>
    </row>
    <row r="894" spans="1:8" x14ac:dyDescent="0.3">
      <c r="A894" s="17" t="s">
        <v>145</v>
      </c>
      <c r="C894">
        <v>65</v>
      </c>
      <c r="D894">
        <v>79</v>
      </c>
      <c r="H894" s="13"/>
    </row>
    <row r="895" spans="1:8" x14ac:dyDescent="0.3">
      <c r="A895" s="17" t="s">
        <v>145</v>
      </c>
      <c r="C895">
        <v>66</v>
      </c>
      <c r="D895">
        <v>80</v>
      </c>
      <c r="H895" s="13"/>
    </row>
    <row r="896" spans="1:8" x14ac:dyDescent="0.3">
      <c r="A896" s="17" t="s">
        <v>145</v>
      </c>
      <c r="C896">
        <v>67</v>
      </c>
      <c r="D896">
        <v>81</v>
      </c>
      <c r="H896" s="13"/>
    </row>
    <row r="897" spans="1:8" x14ac:dyDescent="0.3">
      <c r="A897" s="17" t="s">
        <v>145</v>
      </c>
      <c r="C897">
        <v>68</v>
      </c>
      <c r="D897">
        <v>82</v>
      </c>
      <c r="H897" s="13"/>
    </row>
    <row r="898" spans="1:8" x14ac:dyDescent="0.3">
      <c r="A898" s="17" t="s">
        <v>145</v>
      </c>
      <c r="C898">
        <v>69</v>
      </c>
      <c r="D898">
        <v>83</v>
      </c>
      <c r="H898" s="13"/>
    </row>
    <row r="899" spans="1:8" x14ac:dyDescent="0.3">
      <c r="A899" s="17" t="s">
        <v>145</v>
      </c>
      <c r="C899">
        <v>70</v>
      </c>
      <c r="D899">
        <v>84</v>
      </c>
      <c r="G899">
        <v>2931.3232830820798</v>
      </c>
      <c r="H899" s="13">
        <f t="shared" ref="H899:H922" si="23">G899/MAX($G$286:$G$1009)</f>
        <v>0.89447236180904721</v>
      </c>
    </row>
    <row r="900" spans="1:8" x14ac:dyDescent="0.3">
      <c r="A900" s="17" t="s">
        <v>145</v>
      </c>
      <c r="C900">
        <v>71</v>
      </c>
      <c r="D900">
        <v>85</v>
      </c>
      <c r="G900">
        <v>2943.6501261564299</v>
      </c>
      <c r="H900" s="13">
        <f t="shared" si="23"/>
        <v>0.89823380992430613</v>
      </c>
    </row>
    <row r="901" spans="1:8" x14ac:dyDescent="0.3">
      <c r="A901" s="17" t="s">
        <v>145</v>
      </c>
      <c r="C901">
        <v>72</v>
      </c>
      <c r="D901">
        <v>86</v>
      </c>
      <c r="G901">
        <v>2956.0810810810799</v>
      </c>
      <c r="H901" s="13">
        <f t="shared" si="23"/>
        <v>0.90202702702702786</v>
      </c>
    </row>
    <row r="902" spans="1:8" x14ac:dyDescent="0.3">
      <c r="A902" s="17" t="s">
        <v>145</v>
      </c>
      <c r="C902">
        <v>73</v>
      </c>
      <c r="D902">
        <v>87</v>
      </c>
      <c r="G902">
        <v>2971.1375212224102</v>
      </c>
      <c r="H902" s="13">
        <f t="shared" si="23"/>
        <v>0.90662139219015381</v>
      </c>
    </row>
    <row r="903" spans="1:8" x14ac:dyDescent="0.3">
      <c r="A903" s="17" t="s">
        <v>145</v>
      </c>
      <c r="C903">
        <v>74</v>
      </c>
      <c r="D903">
        <v>88</v>
      </c>
      <c r="G903">
        <v>2983.8022165387902</v>
      </c>
      <c r="H903" s="13">
        <f t="shared" si="23"/>
        <v>0.91048593350383777</v>
      </c>
    </row>
    <row r="904" spans="1:8" x14ac:dyDescent="0.3">
      <c r="A904" s="17" t="s">
        <v>145</v>
      </c>
      <c r="C904">
        <v>75</v>
      </c>
      <c r="D904">
        <v>89</v>
      </c>
      <c r="G904">
        <v>2996.5753424657501</v>
      </c>
      <c r="H904" s="13">
        <f t="shared" si="23"/>
        <v>0.91438356164383583</v>
      </c>
    </row>
    <row r="905" spans="1:8" x14ac:dyDescent="0.3">
      <c r="A905" s="17" t="s">
        <v>145</v>
      </c>
      <c r="C905">
        <v>76</v>
      </c>
      <c r="D905">
        <v>90</v>
      </c>
      <c r="G905">
        <v>3012.0481927710798</v>
      </c>
      <c r="H905" s="13">
        <f t="shared" si="23"/>
        <v>0.91910499139414792</v>
      </c>
    </row>
    <row r="906" spans="1:8" x14ac:dyDescent="0.3">
      <c r="A906" s="17" t="s">
        <v>145</v>
      </c>
      <c r="C906">
        <v>77</v>
      </c>
      <c r="D906">
        <v>91</v>
      </c>
      <c r="G906">
        <v>3025.0648228176301</v>
      </c>
      <c r="H906" s="13">
        <f t="shared" si="23"/>
        <v>0.92307692307692379</v>
      </c>
    </row>
    <row r="907" spans="1:8" x14ac:dyDescent="0.3">
      <c r="A907" s="17" t="s">
        <v>145</v>
      </c>
      <c r="C907">
        <v>78</v>
      </c>
      <c r="D907">
        <v>92</v>
      </c>
      <c r="G907">
        <v>3040.8340573414398</v>
      </c>
      <c r="H907" s="13">
        <f t="shared" si="23"/>
        <v>0.92788879235447486</v>
      </c>
    </row>
    <row r="908" spans="1:8" x14ac:dyDescent="0.3">
      <c r="A908" s="17" t="s">
        <v>145</v>
      </c>
      <c r="C908">
        <v>79</v>
      </c>
      <c r="D908">
        <v>93</v>
      </c>
      <c r="G908">
        <v>3054.1012216404902</v>
      </c>
      <c r="H908" s="13">
        <f t="shared" si="23"/>
        <v>0.93193717277487087</v>
      </c>
    </row>
    <row r="909" spans="1:8" x14ac:dyDescent="0.3">
      <c r="A909" s="17" t="s">
        <v>145</v>
      </c>
      <c r="C909">
        <v>80</v>
      </c>
      <c r="D909">
        <v>94</v>
      </c>
      <c r="G909">
        <v>3070.17543859649</v>
      </c>
      <c r="H909" s="13">
        <f t="shared" si="23"/>
        <v>0.93684210526315881</v>
      </c>
    </row>
    <row r="910" spans="1:8" x14ac:dyDescent="0.3">
      <c r="A910" s="17" t="s">
        <v>145</v>
      </c>
      <c r="C910">
        <v>81</v>
      </c>
      <c r="D910">
        <v>95</v>
      </c>
      <c r="G910">
        <v>3083.7004405286302</v>
      </c>
      <c r="H910" s="13">
        <f t="shared" si="23"/>
        <v>0.94096916299559474</v>
      </c>
    </row>
    <row r="911" spans="1:8" x14ac:dyDescent="0.3">
      <c r="A911" s="17" t="s">
        <v>145</v>
      </c>
      <c r="C911">
        <v>82</v>
      </c>
      <c r="D911">
        <v>96</v>
      </c>
      <c r="G911">
        <v>3100.08857395926</v>
      </c>
      <c r="H911" s="13">
        <f t="shared" si="23"/>
        <v>0.94596988485385547</v>
      </c>
    </row>
    <row r="912" spans="1:8" x14ac:dyDescent="0.3">
      <c r="A912" s="17" t="s">
        <v>145</v>
      </c>
      <c r="C912">
        <v>83</v>
      </c>
      <c r="D912">
        <v>97</v>
      </c>
      <c r="G912">
        <v>3113.8790035587199</v>
      </c>
      <c r="H912" s="13">
        <f t="shared" si="23"/>
        <v>0.9501779359430621</v>
      </c>
    </row>
    <row r="913" spans="1:8" x14ac:dyDescent="0.3">
      <c r="A913" s="17" t="s">
        <v>145</v>
      </c>
      <c r="C913">
        <v>84</v>
      </c>
      <c r="D913">
        <v>98</v>
      </c>
      <c r="G913">
        <v>3127.7926720286</v>
      </c>
      <c r="H913" s="13">
        <f t="shared" si="23"/>
        <v>0.95442359249329978</v>
      </c>
    </row>
    <row r="914" spans="1:8" x14ac:dyDescent="0.3">
      <c r="A914" s="17" t="s">
        <v>145</v>
      </c>
      <c r="C914">
        <v>85</v>
      </c>
      <c r="D914">
        <v>99</v>
      </c>
      <c r="G914">
        <v>3141.8312387791698</v>
      </c>
      <c r="H914" s="13">
        <f t="shared" si="23"/>
        <v>0.95870736086175934</v>
      </c>
    </row>
    <row r="915" spans="1:8" x14ac:dyDescent="0.3">
      <c r="A915" s="17" t="s">
        <v>145</v>
      </c>
      <c r="C915">
        <v>86</v>
      </c>
      <c r="D915">
        <v>100</v>
      </c>
      <c r="G915">
        <v>3153.15315315315</v>
      </c>
      <c r="H915" s="13">
        <f t="shared" si="23"/>
        <v>0.96216216216216244</v>
      </c>
    </row>
    <row r="916" spans="1:8" x14ac:dyDescent="0.3">
      <c r="A916" s="17" t="s">
        <v>145</v>
      </c>
      <c r="C916">
        <v>87</v>
      </c>
      <c r="D916">
        <v>101</v>
      </c>
      <c r="G916">
        <v>3164.55696202532</v>
      </c>
      <c r="H916" s="13">
        <f t="shared" si="23"/>
        <v>0.96564195298372746</v>
      </c>
    </row>
    <row r="917" spans="1:8" x14ac:dyDescent="0.3">
      <c r="A917" s="17" t="s">
        <v>145</v>
      </c>
      <c r="C917">
        <v>88</v>
      </c>
      <c r="D917">
        <v>102</v>
      </c>
      <c r="G917">
        <v>3176.0435571687799</v>
      </c>
      <c r="H917" s="13">
        <f t="shared" si="23"/>
        <v>0.96914700544464616</v>
      </c>
    </row>
    <row r="918" spans="1:8" x14ac:dyDescent="0.3">
      <c r="A918" s="17" t="s">
        <v>145</v>
      </c>
      <c r="C918">
        <v>89</v>
      </c>
      <c r="D918">
        <v>103</v>
      </c>
      <c r="G918">
        <v>3187.6138433515498</v>
      </c>
      <c r="H918" s="13">
        <f t="shared" si="23"/>
        <v>0.97267759562841705</v>
      </c>
    </row>
    <row r="919" spans="1:8" x14ac:dyDescent="0.3">
      <c r="A919" s="17" t="s">
        <v>145</v>
      </c>
      <c r="C919">
        <v>90</v>
      </c>
      <c r="D919">
        <v>104</v>
      </c>
      <c r="G919">
        <v>3193.4306569343098</v>
      </c>
      <c r="H919" s="13">
        <f t="shared" si="23"/>
        <v>0.97445255474452785</v>
      </c>
    </row>
    <row r="920" spans="1:8" x14ac:dyDescent="0.3">
      <c r="A920" s="17" t="s">
        <v>145</v>
      </c>
      <c r="C920">
        <v>91</v>
      </c>
      <c r="D920">
        <v>105</v>
      </c>
      <c r="G920">
        <v>3202.1957913998199</v>
      </c>
      <c r="H920" s="13">
        <f t="shared" si="23"/>
        <v>0.97712717291857487</v>
      </c>
    </row>
    <row r="921" spans="1:8" x14ac:dyDescent="0.3">
      <c r="A921" s="17" t="s">
        <v>145</v>
      </c>
      <c r="C921">
        <v>92</v>
      </c>
      <c r="D921">
        <v>106</v>
      </c>
      <c r="G921">
        <v>3208.06599450046</v>
      </c>
      <c r="H921" s="13">
        <f t="shared" si="23"/>
        <v>0.97891842346471314</v>
      </c>
    </row>
    <row r="922" spans="1:8" x14ac:dyDescent="0.3">
      <c r="A922" s="17" t="s">
        <v>145</v>
      </c>
      <c r="C922">
        <v>93</v>
      </c>
      <c r="D922">
        <v>107</v>
      </c>
      <c r="G922">
        <v>3211.0091743119301</v>
      </c>
      <c r="H922" s="13">
        <f t="shared" si="23"/>
        <v>0.97981651376147028</v>
      </c>
    </row>
    <row r="923" spans="1:8" x14ac:dyDescent="0.3">
      <c r="A923" s="17" t="s">
        <v>145</v>
      </c>
      <c r="C923">
        <v>94</v>
      </c>
      <c r="D923">
        <v>108</v>
      </c>
      <c r="H923" s="13"/>
    </row>
    <row r="924" spans="1:8" x14ac:dyDescent="0.3">
      <c r="A924" s="17" t="s">
        <v>145</v>
      </c>
      <c r="C924">
        <v>95</v>
      </c>
      <c r="D924">
        <v>109</v>
      </c>
      <c r="H924" s="13"/>
    </row>
    <row r="925" spans="1:8" x14ac:dyDescent="0.3">
      <c r="A925" s="17" t="s">
        <v>145</v>
      </c>
      <c r="C925">
        <v>96</v>
      </c>
      <c r="D925">
        <v>110</v>
      </c>
      <c r="H925" s="13"/>
    </row>
    <row r="926" spans="1:8" x14ac:dyDescent="0.3">
      <c r="A926" s="17" t="s">
        <v>145</v>
      </c>
      <c r="C926">
        <v>97</v>
      </c>
      <c r="D926">
        <v>111</v>
      </c>
      <c r="H926" s="13"/>
    </row>
    <row r="927" spans="1:8" x14ac:dyDescent="0.3">
      <c r="A927" s="17" t="s">
        <v>145</v>
      </c>
      <c r="C927">
        <v>98</v>
      </c>
      <c r="D927">
        <v>112</v>
      </c>
      <c r="H927" s="13"/>
    </row>
    <row r="928" spans="1:8" x14ac:dyDescent="0.3">
      <c r="A928" s="17" t="s">
        <v>145</v>
      </c>
      <c r="C928">
        <v>99</v>
      </c>
      <c r="D928">
        <v>113</v>
      </c>
      <c r="H928" s="13"/>
    </row>
    <row r="929" spans="1:8" x14ac:dyDescent="0.3">
      <c r="A929" s="17" t="s">
        <v>145</v>
      </c>
      <c r="C929">
        <v>100</v>
      </c>
      <c r="D929">
        <v>114</v>
      </c>
      <c r="H929" s="13"/>
    </row>
    <row r="930" spans="1:8" x14ac:dyDescent="0.3">
      <c r="A930" s="17" t="s">
        <v>145</v>
      </c>
      <c r="C930">
        <v>101</v>
      </c>
      <c r="D930">
        <v>115</v>
      </c>
      <c r="H930" s="13"/>
    </row>
    <row r="931" spans="1:8" x14ac:dyDescent="0.3">
      <c r="A931" s="17" t="s">
        <v>145</v>
      </c>
      <c r="C931">
        <v>102</v>
      </c>
      <c r="D931">
        <v>116</v>
      </c>
      <c r="H931" s="13"/>
    </row>
    <row r="932" spans="1:8" x14ac:dyDescent="0.3">
      <c r="A932" s="17" t="s">
        <v>145</v>
      </c>
      <c r="C932">
        <v>103</v>
      </c>
      <c r="D932">
        <v>117</v>
      </c>
      <c r="H932" s="13"/>
    </row>
    <row r="933" spans="1:8" x14ac:dyDescent="0.3">
      <c r="A933" s="17" t="s">
        <v>145</v>
      </c>
      <c r="C933">
        <v>104</v>
      </c>
      <c r="D933">
        <v>118</v>
      </c>
      <c r="H933" s="13"/>
    </row>
    <row r="934" spans="1:8" x14ac:dyDescent="0.3">
      <c r="A934" s="17" t="s">
        <v>145</v>
      </c>
      <c r="C934">
        <v>105</v>
      </c>
      <c r="D934">
        <v>119</v>
      </c>
      <c r="H934" s="13"/>
    </row>
    <row r="935" spans="1:8" x14ac:dyDescent="0.3">
      <c r="A935" s="17" t="s">
        <v>145</v>
      </c>
      <c r="C935">
        <v>106</v>
      </c>
      <c r="D935">
        <v>120</v>
      </c>
      <c r="H935" s="13"/>
    </row>
    <row r="936" spans="1:8" x14ac:dyDescent="0.3">
      <c r="A936" s="17" t="s">
        <v>145</v>
      </c>
      <c r="C936">
        <v>107</v>
      </c>
      <c r="D936">
        <v>121</v>
      </c>
      <c r="H936" s="13"/>
    </row>
    <row r="937" spans="1:8" x14ac:dyDescent="0.3">
      <c r="A937" s="17" t="s">
        <v>145</v>
      </c>
      <c r="C937">
        <v>108</v>
      </c>
      <c r="D937">
        <v>122</v>
      </c>
      <c r="H937" s="13"/>
    </row>
    <row r="938" spans="1:8" x14ac:dyDescent="0.3">
      <c r="A938" s="17" t="s">
        <v>145</v>
      </c>
      <c r="C938">
        <v>109</v>
      </c>
      <c r="D938">
        <v>123</v>
      </c>
      <c r="H938" s="13"/>
    </row>
    <row r="939" spans="1:8" x14ac:dyDescent="0.3">
      <c r="A939" s="17" t="s">
        <v>145</v>
      </c>
      <c r="C939">
        <v>110</v>
      </c>
      <c r="D939">
        <v>124</v>
      </c>
      <c r="H939" s="13"/>
    </row>
    <row r="940" spans="1:8" x14ac:dyDescent="0.3">
      <c r="A940" s="17" t="s">
        <v>145</v>
      </c>
      <c r="C940">
        <v>111</v>
      </c>
      <c r="D940">
        <v>125</v>
      </c>
      <c r="H940" s="13"/>
    </row>
    <row r="941" spans="1:8" x14ac:dyDescent="0.3">
      <c r="A941" s="17" t="s">
        <v>145</v>
      </c>
      <c r="C941">
        <v>112</v>
      </c>
      <c r="D941">
        <v>126</v>
      </c>
      <c r="H941" s="13"/>
    </row>
    <row r="942" spans="1:8" x14ac:dyDescent="0.3">
      <c r="A942" s="17" t="s">
        <v>145</v>
      </c>
      <c r="C942">
        <v>113</v>
      </c>
      <c r="D942">
        <v>127</v>
      </c>
      <c r="H942" s="13"/>
    </row>
    <row r="943" spans="1:8" x14ac:dyDescent="0.3">
      <c r="A943" s="17" t="s">
        <v>145</v>
      </c>
      <c r="C943">
        <v>114</v>
      </c>
      <c r="D943">
        <v>128</v>
      </c>
      <c r="H943" s="13"/>
    </row>
    <row r="944" spans="1:8" x14ac:dyDescent="0.3">
      <c r="A944" s="17" t="s">
        <v>145</v>
      </c>
      <c r="C944">
        <v>115</v>
      </c>
      <c r="D944">
        <v>129</v>
      </c>
      <c r="H944" s="13"/>
    </row>
    <row r="945" spans="1:8" x14ac:dyDescent="0.3">
      <c r="A945" s="17" t="s">
        <v>145</v>
      </c>
      <c r="C945">
        <v>116</v>
      </c>
      <c r="D945">
        <v>130</v>
      </c>
      <c r="H945" s="13"/>
    </row>
    <row r="946" spans="1:8" x14ac:dyDescent="0.3">
      <c r="A946" s="17" t="s">
        <v>145</v>
      </c>
      <c r="C946">
        <v>117</v>
      </c>
      <c r="D946">
        <v>131</v>
      </c>
      <c r="H946" s="13"/>
    </row>
    <row r="947" spans="1:8" x14ac:dyDescent="0.3">
      <c r="A947" s="17" t="s">
        <v>145</v>
      </c>
      <c r="C947">
        <v>118</v>
      </c>
      <c r="D947">
        <v>132</v>
      </c>
      <c r="H947" s="13"/>
    </row>
    <row r="948" spans="1:8" x14ac:dyDescent="0.3">
      <c r="A948" s="17" t="s">
        <v>145</v>
      </c>
      <c r="C948">
        <v>119</v>
      </c>
      <c r="D948">
        <v>133</v>
      </c>
      <c r="H948" s="13"/>
    </row>
    <row r="949" spans="1:8" x14ac:dyDescent="0.3">
      <c r="A949" s="17" t="s">
        <v>145</v>
      </c>
      <c r="C949">
        <v>120</v>
      </c>
      <c r="D949">
        <v>134</v>
      </c>
      <c r="H949" s="13"/>
    </row>
    <row r="950" spans="1:8" x14ac:dyDescent="0.3">
      <c r="A950" s="17" t="s">
        <v>145</v>
      </c>
      <c r="C950">
        <v>121</v>
      </c>
      <c r="D950">
        <v>135</v>
      </c>
      <c r="H950" s="13"/>
    </row>
    <row r="951" spans="1:8" x14ac:dyDescent="0.3">
      <c r="A951" s="17" t="s">
        <v>145</v>
      </c>
      <c r="C951">
        <v>122</v>
      </c>
      <c r="D951">
        <v>136</v>
      </c>
      <c r="H951" s="13"/>
    </row>
    <row r="952" spans="1:8" x14ac:dyDescent="0.3">
      <c r="A952" s="17" t="s">
        <v>145</v>
      </c>
      <c r="C952">
        <v>123</v>
      </c>
      <c r="D952">
        <v>137</v>
      </c>
      <c r="H952" s="13"/>
    </row>
    <row r="953" spans="1:8" x14ac:dyDescent="0.3">
      <c r="A953" s="17" t="s">
        <v>145</v>
      </c>
      <c r="C953">
        <v>124</v>
      </c>
      <c r="D953">
        <v>138</v>
      </c>
      <c r="H953" s="13"/>
    </row>
    <row r="954" spans="1:8" x14ac:dyDescent="0.3">
      <c r="A954" s="17" t="s">
        <v>145</v>
      </c>
      <c r="C954">
        <v>125</v>
      </c>
      <c r="D954">
        <v>139</v>
      </c>
      <c r="H954" s="13"/>
    </row>
    <row r="955" spans="1:8" x14ac:dyDescent="0.3">
      <c r="A955" s="17" t="s">
        <v>145</v>
      </c>
      <c r="C955">
        <v>126</v>
      </c>
      <c r="D955">
        <v>140</v>
      </c>
      <c r="H955" s="13"/>
    </row>
    <row r="956" spans="1:8" x14ac:dyDescent="0.3">
      <c r="A956" s="17" t="s">
        <v>145</v>
      </c>
      <c r="C956">
        <v>127</v>
      </c>
      <c r="D956">
        <v>141</v>
      </c>
      <c r="H956" s="13"/>
    </row>
    <row r="957" spans="1:8" x14ac:dyDescent="0.3">
      <c r="A957" s="17" t="s">
        <v>145</v>
      </c>
      <c r="C957">
        <v>128</v>
      </c>
      <c r="D957">
        <v>142</v>
      </c>
      <c r="H957" s="13"/>
    </row>
    <row r="958" spans="1:8" x14ac:dyDescent="0.3">
      <c r="A958" s="17" t="s">
        <v>145</v>
      </c>
      <c r="C958">
        <v>129</v>
      </c>
      <c r="D958">
        <v>143</v>
      </c>
      <c r="H958" s="13"/>
    </row>
    <row r="959" spans="1:8" x14ac:dyDescent="0.3">
      <c r="A959" s="17" t="s">
        <v>145</v>
      </c>
      <c r="C959">
        <v>130</v>
      </c>
      <c r="D959">
        <v>144</v>
      </c>
      <c r="H959" s="13"/>
    </row>
    <row r="960" spans="1:8" x14ac:dyDescent="0.3">
      <c r="A960" s="17" t="s">
        <v>145</v>
      </c>
      <c r="C960">
        <v>131</v>
      </c>
      <c r="D960">
        <v>145</v>
      </c>
      <c r="H960" s="13"/>
    </row>
    <row r="961" spans="1:8" x14ac:dyDescent="0.3">
      <c r="A961" s="17" t="s">
        <v>145</v>
      </c>
      <c r="C961">
        <v>132</v>
      </c>
      <c r="D961">
        <v>146</v>
      </c>
      <c r="H961" s="13"/>
    </row>
    <row r="962" spans="1:8" x14ac:dyDescent="0.3">
      <c r="A962" s="17" t="s">
        <v>145</v>
      </c>
      <c r="C962">
        <v>133</v>
      </c>
      <c r="D962">
        <v>147</v>
      </c>
      <c r="H962" s="13"/>
    </row>
    <row r="963" spans="1:8" x14ac:dyDescent="0.3">
      <c r="A963" s="17" t="s">
        <v>145</v>
      </c>
      <c r="C963">
        <v>134</v>
      </c>
      <c r="D963">
        <v>148</v>
      </c>
      <c r="H963" s="13"/>
    </row>
    <row r="964" spans="1:8" x14ac:dyDescent="0.3">
      <c r="A964" s="17" t="s">
        <v>145</v>
      </c>
      <c r="C964">
        <v>135</v>
      </c>
      <c r="D964">
        <v>149</v>
      </c>
      <c r="H964" s="13"/>
    </row>
    <row r="965" spans="1:8" x14ac:dyDescent="0.3">
      <c r="A965" s="17" t="s">
        <v>145</v>
      </c>
      <c r="C965">
        <v>136</v>
      </c>
      <c r="D965">
        <v>150</v>
      </c>
      <c r="H965" s="13"/>
    </row>
    <row r="966" spans="1:8" x14ac:dyDescent="0.3">
      <c r="A966" s="17" t="s">
        <v>145</v>
      </c>
      <c r="C966">
        <v>137</v>
      </c>
      <c r="D966">
        <v>151</v>
      </c>
      <c r="H966" s="13"/>
    </row>
    <row r="967" spans="1:8" x14ac:dyDescent="0.3">
      <c r="A967" s="17" t="s">
        <v>145</v>
      </c>
      <c r="C967">
        <v>138</v>
      </c>
      <c r="D967">
        <v>152</v>
      </c>
      <c r="H967" s="13"/>
    </row>
    <row r="968" spans="1:8" x14ac:dyDescent="0.3">
      <c r="A968" s="17" t="s">
        <v>145</v>
      </c>
      <c r="C968">
        <v>139</v>
      </c>
      <c r="D968">
        <v>153</v>
      </c>
      <c r="H968" s="13"/>
    </row>
    <row r="969" spans="1:8" x14ac:dyDescent="0.3">
      <c r="A969" s="17" t="s">
        <v>145</v>
      </c>
      <c r="C969">
        <v>140</v>
      </c>
      <c r="D969">
        <v>154</v>
      </c>
      <c r="H969" s="13"/>
    </row>
    <row r="970" spans="1:8" x14ac:dyDescent="0.3">
      <c r="A970" s="17" t="s">
        <v>145</v>
      </c>
      <c r="C970">
        <v>141</v>
      </c>
      <c r="D970">
        <v>155</v>
      </c>
      <c r="H970" s="13"/>
    </row>
    <row r="971" spans="1:8" x14ac:dyDescent="0.3">
      <c r="A971" s="17" t="s">
        <v>145</v>
      </c>
      <c r="C971">
        <v>142</v>
      </c>
      <c r="D971">
        <v>156</v>
      </c>
      <c r="H971" s="13"/>
    </row>
    <row r="972" spans="1:8" x14ac:dyDescent="0.3">
      <c r="A972" s="17" t="s">
        <v>145</v>
      </c>
      <c r="C972">
        <v>143</v>
      </c>
      <c r="D972">
        <v>157</v>
      </c>
      <c r="H972" s="13"/>
    </row>
    <row r="973" spans="1:8" x14ac:dyDescent="0.3">
      <c r="A973" s="17" t="s">
        <v>145</v>
      </c>
      <c r="C973">
        <v>144</v>
      </c>
      <c r="D973">
        <v>158</v>
      </c>
      <c r="H973" s="13"/>
    </row>
    <row r="974" spans="1:8" x14ac:dyDescent="0.3">
      <c r="A974" s="17" t="s">
        <v>145</v>
      </c>
      <c r="C974">
        <v>145</v>
      </c>
      <c r="D974">
        <v>159</v>
      </c>
      <c r="H974" s="13"/>
    </row>
    <row r="975" spans="1:8" x14ac:dyDescent="0.3">
      <c r="A975" s="17" t="s">
        <v>145</v>
      </c>
      <c r="C975">
        <v>146</v>
      </c>
      <c r="D975">
        <v>160</v>
      </c>
      <c r="H975" s="13"/>
    </row>
    <row r="976" spans="1:8" x14ac:dyDescent="0.3">
      <c r="A976" s="17" t="s">
        <v>145</v>
      </c>
      <c r="C976">
        <v>147</v>
      </c>
      <c r="D976">
        <v>161</v>
      </c>
      <c r="H976" s="13"/>
    </row>
    <row r="977" spans="1:8" x14ac:dyDescent="0.3">
      <c r="A977" s="17" t="s">
        <v>145</v>
      </c>
      <c r="C977">
        <v>148</v>
      </c>
      <c r="D977">
        <v>162</v>
      </c>
      <c r="H977" s="13"/>
    </row>
    <row r="978" spans="1:8" x14ac:dyDescent="0.3">
      <c r="A978" s="17" t="s">
        <v>145</v>
      </c>
      <c r="C978">
        <v>149</v>
      </c>
      <c r="D978">
        <v>163</v>
      </c>
      <c r="H978" s="13"/>
    </row>
    <row r="979" spans="1:8" x14ac:dyDescent="0.3">
      <c r="A979" s="17" t="s">
        <v>145</v>
      </c>
      <c r="C979">
        <v>150</v>
      </c>
      <c r="D979">
        <v>164</v>
      </c>
      <c r="H979" s="13"/>
    </row>
    <row r="980" spans="1:8" x14ac:dyDescent="0.3">
      <c r="A980" s="17" t="s">
        <v>145</v>
      </c>
      <c r="C980">
        <v>151</v>
      </c>
      <c r="D980">
        <v>165</v>
      </c>
      <c r="H980" s="13"/>
    </row>
    <row r="981" spans="1:8" x14ac:dyDescent="0.3">
      <c r="A981" s="17" t="s">
        <v>145</v>
      </c>
      <c r="C981">
        <v>152</v>
      </c>
      <c r="D981">
        <v>166</v>
      </c>
      <c r="H981" s="13"/>
    </row>
    <row r="982" spans="1:8" x14ac:dyDescent="0.3">
      <c r="A982" s="17" t="s">
        <v>145</v>
      </c>
      <c r="C982">
        <v>153</v>
      </c>
      <c r="D982">
        <v>167</v>
      </c>
      <c r="H982" s="13"/>
    </row>
    <row r="983" spans="1:8" x14ac:dyDescent="0.3">
      <c r="A983" s="17" t="s">
        <v>145</v>
      </c>
      <c r="C983">
        <v>154</v>
      </c>
      <c r="D983">
        <v>168</v>
      </c>
      <c r="H983" s="13"/>
    </row>
    <row r="984" spans="1:8" x14ac:dyDescent="0.3">
      <c r="A984" s="17" t="s">
        <v>145</v>
      </c>
      <c r="C984">
        <v>155</v>
      </c>
      <c r="D984">
        <v>169</v>
      </c>
      <c r="H984" s="13"/>
    </row>
    <row r="985" spans="1:8" x14ac:dyDescent="0.3">
      <c r="A985" s="17" t="s">
        <v>145</v>
      </c>
      <c r="C985">
        <v>156</v>
      </c>
      <c r="D985">
        <v>170</v>
      </c>
      <c r="H985" s="13"/>
    </row>
    <row r="986" spans="1:8" x14ac:dyDescent="0.3">
      <c r="A986" s="17" t="s">
        <v>145</v>
      </c>
      <c r="C986">
        <v>157</v>
      </c>
      <c r="D986">
        <v>171</v>
      </c>
      <c r="H986" s="13"/>
    </row>
    <row r="987" spans="1:8" x14ac:dyDescent="0.3">
      <c r="A987" s="17" t="s">
        <v>145</v>
      </c>
      <c r="C987">
        <v>158</v>
      </c>
      <c r="D987">
        <v>172</v>
      </c>
      <c r="H987" s="13"/>
    </row>
    <row r="988" spans="1:8" x14ac:dyDescent="0.3">
      <c r="A988" s="17" t="s">
        <v>145</v>
      </c>
      <c r="C988">
        <v>159</v>
      </c>
      <c r="D988">
        <v>173</v>
      </c>
      <c r="H988" s="13"/>
    </row>
    <row r="989" spans="1:8" x14ac:dyDescent="0.3">
      <c r="A989" s="17" t="s">
        <v>145</v>
      </c>
      <c r="C989">
        <v>160</v>
      </c>
      <c r="D989">
        <v>174</v>
      </c>
      <c r="H989" s="13"/>
    </row>
    <row r="990" spans="1:8" x14ac:dyDescent="0.3">
      <c r="A990" s="17" t="s">
        <v>145</v>
      </c>
      <c r="C990">
        <v>161</v>
      </c>
      <c r="D990">
        <v>175</v>
      </c>
      <c r="H990" s="13"/>
    </row>
    <row r="991" spans="1:8" x14ac:dyDescent="0.3">
      <c r="A991" s="17" t="s">
        <v>145</v>
      </c>
      <c r="C991">
        <v>162</v>
      </c>
      <c r="D991">
        <v>176</v>
      </c>
      <c r="H991" s="13"/>
    </row>
    <row r="992" spans="1:8" x14ac:dyDescent="0.3">
      <c r="A992" s="17" t="s">
        <v>145</v>
      </c>
      <c r="C992">
        <v>163</v>
      </c>
      <c r="D992">
        <v>177</v>
      </c>
      <c r="H992" s="13"/>
    </row>
    <row r="993" spans="1:8" x14ac:dyDescent="0.3">
      <c r="A993" s="17" t="s">
        <v>145</v>
      </c>
      <c r="C993">
        <v>164</v>
      </c>
      <c r="D993">
        <v>178</v>
      </c>
      <c r="H993" s="13"/>
    </row>
    <row r="994" spans="1:8" x14ac:dyDescent="0.3">
      <c r="A994" s="17" t="s">
        <v>145</v>
      </c>
      <c r="C994">
        <v>165</v>
      </c>
      <c r="D994">
        <v>179</v>
      </c>
      <c r="H994" s="13"/>
    </row>
    <row r="995" spans="1:8" x14ac:dyDescent="0.3">
      <c r="A995" s="17" t="s">
        <v>145</v>
      </c>
      <c r="C995">
        <v>166</v>
      </c>
      <c r="D995">
        <v>180</v>
      </c>
      <c r="H995" s="13"/>
    </row>
    <row r="996" spans="1:8" x14ac:dyDescent="0.3">
      <c r="A996" s="17" t="s">
        <v>145</v>
      </c>
      <c r="C996">
        <v>167</v>
      </c>
      <c r="D996">
        <v>0</v>
      </c>
      <c r="H996" s="13"/>
    </row>
    <row r="997" spans="1:8" x14ac:dyDescent="0.3">
      <c r="A997" s="17" t="s">
        <v>145</v>
      </c>
      <c r="C997">
        <v>168</v>
      </c>
      <c r="D997">
        <v>1</v>
      </c>
      <c r="H997" s="13"/>
    </row>
    <row r="998" spans="1:8" x14ac:dyDescent="0.3">
      <c r="A998" s="17" t="s">
        <v>145</v>
      </c>
      <c r="C998">
        <v>169</v>
      </c>
      <c r="D998">
        <v>2</v>
      </c>
      <c r="H998" s="13"/>
    </row>
    <row r="999" spans="1:8" x14ac:dyDescent="0.3">
      <c r="A999" s="17" t="s">
        <v>145</v>
      </c>
      <c r="C999">
        <v>170</v>
      </c>
      <c r="D999">
        <v>3</v>
      </c>
      <c r="H999" s="13"/>
    </row>
    <row r="1000" spans="1:8" x14ac:dyDescent="0.3">
      <c r="A1000" s="17" t="s">
        <v>145</v>
      </c>
      <c r="C1000">
        <v>171</v>
      </c>
      <c r="D1000">
        <v>4</v>
      </c>
      <c r="H1000" s="13"/>
    </row>
    <row r="1001" spans="1:8" x14ac:dyDescent="0.3">
      <c r="A1001" s="17" t="s">
        <v>145</v>
      </c>
      <c r="C1001">
        <v>172</v>
      </c>
      <c r="D1001">
        <v>5</v>
      </c>
      <c r="H1001" s="13"/>
    </row>
    <row r="1002" spans="1:8" x14ac:dyDescent="0.3">
      <c r="A1002" s="17" t="s">
        <v>145</v>
      </c>
      <c r="C1002">
        <v>173</v>
      </c>
      <c r="D1002">
        <v>6</v>
      </c>
      <c r="H1002" s="13"/>
    </row>
    <row r="1003" spans="1:8" x14ac:dyDescent="0.3">
      <c r="A1003" s="17" t="s">
        <v>145</v>
      </c>
      <c r="C1003">
        <v>174</v>
      </c>
      <c r="D1003">
        <v>7</v>
      </c>
      <c r="H1003" s="13"/>
    </row>
    <row r="1004" spans="1:8" x14ac:dyDescent="0.3">
      <c r="A1004" s="17" t="s">
        <v>145</v>
      </c>
      <c r="C1004">
        <v>175</v>
      </c>
      <c r="D1004">
        <v>8</v>
      </c>
      <c r="H1004" s="13"/>
    </row>
    <row r="1005" spans="1:8" x14ac:dyDescent="0.3">
      <c r="A1005" s="17" t="s">
        <v>145</v>
      </c>
      <c r="C1005">
        <v>176</v>
      </c>
      <c r="D1005">
        <v>9</v>
      </c>
      <c r="H1005" s="13"/>
    </row>
    <row r="1006" spans="1:8" x14ac:dyDescent="0.3">
      <c r="A1006" s="17" t="s">
        <v>145</v>
      </c>
      <c r="C1006">
        <v>177</v>
      </c>
      <c r="D1006">
        <v>10</v>
      </c>
      <c r="H1006" s="13"/>
    </row>
    <row r="1007" spans="1:8" x14ac:dyDescent="0.3">
      <c r="A1007" s="17" t="s">
        <v>145</v>
      </c>
      <c r="C1007">
        <v>178</v>
      </c>
      <c r="D1007">
        <v>11</v>
      </c>
      <c r="H1007" s="13"/>
    </row>
    <row r="1008" spans="1:8" x14ac:dyDescent="0.3">
      <c r="A1008" s="17" t="s">
        <v>145</v>
      </c>
      <c r="C1008">
        <v>179</v>
      </c>
      <c r="D1008">
        <v>12</v>
      </c>
      <c r="H1008" s="13"/>
    </row>
    <row r="1009" spans="1:8" x14ac:dyDescent="0.3">
      <c r="A1009" s="17" t="s">
        <v>145</v>
      </c>
      <c r="C1009">
        <v>180</v>
      </c>
      <c r="D1009">
        <v>13</v>
      </c>
      <c r="H1009" s="13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860E-3596-864B-AA50-82E901AD9992}">
  <dimension ref="A1:AH285"/>
  <sheetViews>
    <sheetView tabSelected="1" topLeftCell="C104" zoomScale="44" workbookViewId="0">
      <selection activeCell="O339" sqref="O339"/>
    </sheetView>
  </sheetViews>
  <sheetFormatPr defaultColWidth="8.77734375" defaultRowHeight="14.4" x14ac:dyDescent="0.3"/>
  <cols>
    <col min="1" max="1" width="22.33203125" customWidth="1"/>
    <col min="5" max="5" width="22.6640625" bestFit="1" customWidth="1"/>
    <col min="6" max="6" width="36.6640625" customWidth="1"/>
    <col min="7" max="8" width="18.44140625" customWidth="1"/>
    <col min="9" max="10" width="19" customWidth="1"/>
    <col min="11" max="11" width="15.6640625" customWidth="1"/>
    <col min="12" max="12" width="15.44140625" customWidth="1"/>
    <col min="13" max="14" width="18.33203125" customWidth="1"/>
    <col min="15" max="15" width="15.44140625" customWidth="1"/>
    <col min="16" max="16" width="14.6640625" customWidth="1"/>
    <col min="17" max="17" width="15.6640625" customWidth="1"/>
    <col min="18" max="18" width="14.44140625" customWidth="1"/>
    <col min="19" max="19" width="14.6640625" customWidth="1"/>
    <col min="20" max="21" width="15.44140625" customWidth="1"/>
    <col min="22" max="22" width="16.44140625" customWidth="1"/>
    <col min="23" max="23" width="15.6640625" customWidth="1"/>
    <col min="25" max="25" width="14.109375" customWidth="1"/>
    <col min="26" max="26" width="20.6640625" customWidth="1"/>
    <col min="27" max="27" width="15.6640625" customWidth="1"/>
    <col min="28" max="28" width="11.6640625" customWidth="1"/>
    <col min="32" max="32" width="11.77734375" bestFit="1" customWidth="1"/>
    <col min="33" max="33" width="9.6640625" customWidth="1"/>
  </cols>
  <sheetData>
    <row r="1" spans="1:34" x14ac:dyDescent="0.3">
      <c r="E1" s="3" t="s">
        <v>40</v>
      </c>
      <c r="F1" s="3" t="s">
        <v>41</v>
      </c>
      <c r="G1" s="3" t="s">
        <v>42</v>
      </c>
      <c r="H1" s="3" t="s">
        <v>43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Z1" s="17" t="s">
        <v>114</v>
      </c>
      <c r="AA1" s="17"/>
    </row>
    <row r="2" spans="1:34" x14ac:dyDescent="0.3">
      <c r="E2" s="2">
        <v>45395</v>
      </c>
      <c r="F2" s="3" t="s">
        <v>44</v>
      </c>
      <c r="G2" s="3">
        <v>1000</v>
      </c>
      <c r="H2" s="3">
        <v>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34" ht="115.2" x14ac:dyDescent="0.3">
      <c r="E3" s="2">
        <v>45409</v>
      </c>
      <c r="F3" s="3"/>
      <c r="G3" s="3">
        <v>500</v>
      </c>
      <c r="H3" s="3">
        <v>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Y3" s="19" t="s">
        <v>135</v>
      </c>
      <c r="Z3" s="19" t="s">
        <v>115</v>
      </c>
      <c r="AA3" s="17" t="s">
        <v>136</v>
      </c>
      <c r="AB3" s="19" t="s">
        <v>129</v>
      </c>
      <c r="AC3" s="19" t="s">
        <v>128</v>
      </c>
      <c r="AD3" s="19" t="s">
        <v>146</v>
      </c>
      <c r="AE3" s="19" t="s">
        <v>133</v>
      </c>
      <c r="AF3" s="19"/>
      <c r="AG3" s="19"/>
      <c r="AH3" s="19"/>
    </row>
    <row r="4" spans="1:34" x14ac:dyDescent="0.3">
      <c r="E4" s="2">
        <v>45410</v>
      </c>
      <c r="F4" s="3" t="s">
        <v>45</v>
      </c>
      <c r="G4" s="3">
        <v>500</v>
      </c>
      <c r="H4" s="3">
        <v>10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Y4" s="17" t="s">
        <v>139</v>
      </c>
      <c r="Z4" s="17" t="s">
        <v>116</v>
      </c>
      <c r="AA4">
        <v>1</v>
      </c>
      <c r="AB4" s="17">
        <v>36</v>
      </c>
      <c r="AC4">
        <f>G19</f>
        <v>2703.5915150000001</v>
      </c>
      <c r="AD4">
        <f>STDEV(G17:G19)</f>
        <v>6.1119714861084455</v>
      </c>
      <c r="AE4">
        <v>9</v>
      </c>
    </row>
    <row r="5" spans="1:34" x14ac:dyDescent="0.3">
      <c r="E5" s="2" t="s">
        <v>46</v>
      </c>
      <c r="F5" s="3" t="s">
        <v>47</v>
      </c>
      <c r="G5" s="3">
        <v>500</v>
      </c>
      <c r="H5" s="3">
        <v>10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Y5" s="17" t="s">
        <v>139</v>
      </c>
      <c r="Z5" s="17" t="s">
        <v>117</v>
      </c>
      <c r="AA5">
        <f>AA4+1</f>
        <v>2</v>
      </c>
      <c r="AB5" s="17">
        <v>36</v>
      </c>
      <c r="AC5" s="11">
        <f>G66</f>
        <v>2728.73</v>
      </c>
      <c r="AD5">
        <f>STDEV(G66:G68)</f>
        <v>12.408119653409695</v>
      </c>
      <c r="AE5">
        <v>10</v>
      </c>
      <c r="AG5" s="20"/>
    </row>
    <row r="6" spans="1:34" x14ac:dyDescent="0.3">
      <c r="E6" s="2">
        <v>45437</v>
      </c>
      <c r="F6" s="3" t="s">
        <v>48</v>
      </c>
      <c r="G6" s="3">
        <v>1000</v>
      </c>
      <c r="H6" s="3">
        <v>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Y6" s="17" t="s">
        <v>139</v>
      </c>
      <c r="Z6" s="17" t="s">
        <v>118</v>
      </c>
      <c r="AA6">
        <f>AA5+9</f>
        <v>11</v>
      </c>
      <c r="AB6" s="17">
        <v>36</v>
      </c>
      <c r="AC6" s="11">
        <f>G113</f>
        <v>2759.42</v>
      </c>
      <c r="AD6">
        <f>STDEV(G112:G114)</f>
        <v>4.5606395750304971</v>
      </c>
      <c r="AE6">
        <v>10</v>
      </c>
      <c r="AG6" s="20"/>
    </row>
    <row r="7" spans="1:34" x14ac:dyDescent="0.3">
      <c r="E7" s="2">
        <v>45484</v>
      </c>
      <c r="F7" s="3" t="s">
        <v>49</v>
      </c>
      <c r="G7" s="3">
        <v>1000</v>
      </c>
      <c r="H7" s="3">
        <v>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Y7" s="17" t="s">
        <v>139</v>
      </c>
      <c r="Z7" s="17" t="s">
        <v>119</v>
      </c>
      <c r="AA7">
        <f>AA6+3</f>
        <v>14</v>
      </c>
      <c r="AB7" s="17" t="s">
        <v>132</v>
      </c>
      <c r="AC7" s="11">
        <f>G195</f>
        <v>2649.28</v>
      </c>
      <c r="AD7">
        <f>STDEV(G195:G197)</f>
        <v>12.797911287914451</v>
      </c>
      <c r="AE7">
        <v>10</v>
      </c>
      <c r="AG7" s="20"/>
    </row>
    <row r="8" spans="1:34" x14ac:dyDescent="0.3">
      <c r="E8" s="12">
        <v>45395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Y8" s="17" t="s">
        <v>139</v>
      </c>
      <c r="Z8" s="17" t="s">
        <v>116</v>
      </c>
      <c r="AA8">
        <v>1</v>
      </c>
      <c r="AB8" s="17" t="s">
        <v>138</v>
      </c>
      <c r="AC8">
        <v>2750.6</v>
      </c>
      <c r="AD8">
        <v>6</v>
      </c>
      <c r="AE8">
        <v>3</v>
      </c>
    </row>
    <row r="9" spans="1:34" x14ac:dyDescent="0.3">
      <c r="A9" s="17" t="s">
        <v>107</v>
      </c>
      <c r="C9" s="13" t="s">
        <v>4</v>
      </c>
      <c r="E9" s="17" t="s">
        <v>106</v>
      </c>
      <c r="F9" s="13" t="s">
        <v>7</v>
      </c>
      <c r="G9" s="13" t="s">
        <v>50</v>
      </c>
      <c r="H9" s="13" t="s">
        <v>8</v>
      </c>
      <c r="I9" s="13" t="s">
        <v>9</v>
      </c>
      <c r="J9" s="13" t="s">
        <v>10</v>
      </c>
      <c r="K9" s="13" t="s">
        <v>11</v>
      </c>
      <c r="L9" s="13" t="s">
        <v>12</v>
      </c>
      <c r="M9" s="13" t="s">
        <v>13</v>
      </c>
      <c r="N9" s="13" t="s">
        <v>14</v>
      </c>
      <c r="O9" s="13" t="s">
        <v>15</v>
      </c>
      <c r="P9" s="13" t="s">
        <v>16</v>
      </c>
      <c r="Q9" s="13" t="s">
        <v>17</v>
      </c>
      <c r="R9" s="13" t="s">
        <v>18</v>
      </c>
      <c r="S9" s="13" t="s">
        <v>19</v>
      </c>
      <c r="T9" s="13" t="s">
        <v>20</v>
      </c>
      <c r="U9" s="13" t="s">
        <v>21</v>
      </c>
      <c r="V9" s="13" t="s">
        <v>22</v>
      </c>
      <c r="W9" s="13" t="s">
        <v>23</v>
      </c>
      <c r="Y9" s="17" t="s">
        <v>139</v>
      </c>
      <c r="Z9" s="17" t="s">
        <v>118</v>
      </c>
      <c r="AA9">
        <v>11</v>
      </c>
      <c r="AB9" s="17" t="s">
        <v>138</v>
      </c>
      <c r="AC9">
        <v>2732.2</v>
      </c>
      <c r="AD9">
        <v>5.3</v>
      </c>
      <c r="AE9">
        <v>3</v>
      </c>
    </row>
    <row r="10" spans="1:34" x14ac:dyDescent="0.3">
      <c r="A10" s="17" t="s">
        <v>108</v>
      </c>
      <c r="C10" s="13">
        <v>0</v>
      </c>
      <c r="E10">
        <f>C10</f>
        <v>0</v>
      </c>
      <c r="F10" s="13">
        <v>6.3623200000000004</v>
      </c>
      <c r="G10" s="13">
        <v>2916.3609070000002</v>
      </c>
      <c r="H10" s="13">
        <v>458380104.60000002</v>
      </c>
      <c r="I10" s="13">
        <v>8450.7227770000009</v>
      </c>
      <c r="J10" s="13">
        <v>5.3873322000000001E-2</v>
      </c>
      <c r="K10" s="13">
        <v>5.3351699999999995E-4</v>
      </c>
      <c r="L10" s="14">
        <v>5.97945E-6</v>
      </c>
      <c r="M10" s="14">
        <v>1.41458E-7</v>
      </c>
      <c r="N10" s="14">
        <v>4.2356599999999997E-6</v>
      </c>
      <c r="O10" s="14">
        <v>9.3035999999999997E-7</v>
      </c>
      <c r="P10" s="13">
        <v>5.3108729999999998E-3</v>
      </c>
      <c r="Q10" s="13">
        <v>1.18397E-4</v>
      </c>
      <c r="R10" s="13">
        <v>1.7473506080000001</v>
      </c>
      <c r="S10" s="13">
        <v>1.4372835E-2</v>
      </c>
      <c r="T10" s="14">
        <v>3.1462400000000003E-8</v>
      </c>
      <c r="U10" s="14">
        <v>8.5574600000000003E-10</v>
      </c>
      <c r="V10" s="13">
        <v>-7.3376799999999999E-4</v>
      </c>
      <c r="W10" s="15">
        <v>2.49724E-4</v>
      </c>
      <c r="Y10" s="17" t="s">
        <v>139</v>
      </c>
      <c r="Z10" s="17" t="s">
        <v>119</v>
      </c>
      <c r="AA10">
        <v>14</v>
      </c>
      <c r="AB10" s="17" t="s">
        <v>138</v>
      </c>
      <c r="AC10">
        <v>2735.6</v>
      </c>
      <c r="AD10">
        <v>7.5</v>
      </c>
      <c r="AE10">
        <v>3</v>
      </c>
    </row>
    <row r="11" spans="1:34" x14ac:dyDescent="0.3">
      <c r="A11" s="17" t="s">
        <v>108</v>
      </c>
      <c r="C11" s="13">
        <v>4</v>
      </c>
      <c r="E11">
        <f t="shared" ref="E11:E55" si="0">C11</f>
        <v>4</v>
      </c>
      <c r="F11" s="13">
        <v>6.3623200000000004</v>
      </c>
      <c r="G11" s="13">
        <v>2868.667234</v>
      </c>
      <c r="H11" s="13">
        <v>450883833.89999998</v>
      </c>
      <c r="I11" s="13">
        <v>11862.832350000001</v>
      </c>
      <c r="J11" s="13">
        <v>5.9403914000000002E-2</v>
      </c>
      <c r="K11" s="13">
        <v>4.7906400000000002E-4</v>
      </c>
      <c r="L11" s="14">
        <v>6.0019899999999996E-6</v>
      </c>
      <c r="M11" s="14">
        <v>1.1275599999999999E-7</v>
      </c>
      <c r="N11" s="14">
        <v>3.7730699999999999E-6</v>
      </c>
      <c r="O11" s="14">
        <v>7.5399199999999999E-7</v>
      </c>
      <c r="P11" s="13">
        <v>6.0601739999999998E-3</v>
      </c>
      <c r="Q11" s="13">
        <v>1.28882E-4</v>
      </c>
      <c r="R11" s="13">
        <v>2.3227349400000001</v>
      </c>
      <c r="S11" s="13">
        <v>1.3580462E-2</v>
      </c>
      <c r="T11" s="14">
        <v>2.5179599999999999E-8</v>
      </c>
      <c r="U11" s="14">
        <v>6.2923999999999999E-10</v>
      </c>
      <c r="V11" s="13">
        <v>-8.2065800000000004E-4</v>
      </c>
      <c r="W11" s="15">
        <v>2.1698900000000001E-4</v>
      </c>
      <c r="Y11" s="17" t="s">
        <v>140</v>
      </c>
      <c r="Z11" s="17" t="s">
        <v>116</v>
      </c>
      <c r="AA11">
        <v>1</v>
      </c>
      <c r="AC11">
        <v>2924.8</v>
      </c>
      <c r="AD11">
        <v>23.5</v>
      </c>
      <c r="AE11">
        <v>3</v>
      </c>
    </row>
    <row r="12" spans="1:34" x14ac:dyDescent="0.3">
      <c r="A12" s="17" t="s">
        <v>108</v>
      </c>
      <c r="C12" s="13">
        <v>8</v>
      </c>
      <c r="E12">
        <f t="shared" si="0"/>
        <v>8</v>
      </c>
      <c r="F12" s="13">
        <v>6.3623200000000004</v>
      </c>
      <c r="G12" s="13">
        <v>2919.2484899999999</v>
      </c>
      <c r="H12" s="13">
        <v>458833961.5</v>
      </c>
      <c r="I12" s="13">
        <v>6020.7360820000004</v>
      </c>
      <c r="J12" s="13">
        <v>6.0949093000000003E-2</v>
      </c>
      <c r="K12" s="13">
        <v>4.7272200000000002E-4</v>
      </c>
      <c r="L12" s="14">
        <v>5.9570199999999996E-6</v>
      </c>
      <c r="M12" s="14">
        <v>1.10302E-7</v>
      </c>
      <c r="N12" s="14">
        <v>5.6697400000000004E-6</v>
      </c>
      <c r="O12" s="14">
        <v>7.1544900000000004E-7</v>
      </c>
      <c r="P12" s="13">
        <v>7.6509200000000003E-3</v>
      </c>
      <c r="Q12" s="13">
        <v>1.13715E-4</v>
      </c>
      <c r="R12" s="13">
        <v>2.0293507489999998</v>
      </c>
      <c r="S12" s="13">
        <v>9.5782980000000007E-3</v>
      </c>
      <c r="T12" s="14">
        <v>2.9015900000000001E-8</v>
      </c>
      <c r="U12" s="14">
        <v>5.2066100000000005E-10</v>
      </c>
      <c r="V12" s="13">
        <v>-8.5400899999999997E-4</v>
      </c>
      <c r="W12" s="15">
        <v>2.18894E-4</v>
      </c>
      <c r="Y12" s="17" t="s">
        <v>140</v>
      </c>
      <c r="Z12" s="17" t="s">
        <v>117</v>
      </c>
      <c r="AA12">
        <f>AA11+1</f>
        <v>2</v>
      </c>
      <c r="AC12">
        <v>2949</v>
      </c>
      <c r="AD12">
        <v>32.1</v>
      </c>
      <c r="AE12">
        <v>3</v>
      </c>
    </row>
    <row r="13" spans="1:34" x14ac:dyDescent="0.3">
      <c r="A13" s="17" t="s">
        <v>108</v>
      </c>
      <c r="C13" s="13">
        <v>12</v>
      </c>
      <c r="E13">
        <f t="shared" si="0"/>
        <v>12</v>
      </c>
      <c r="F13" s="13">
        <v>6.3623200000000004</v>
      </c>
      <c r="G13" s="13">
        <v>2882.8287799999998</v>
      </c>
      <c r="H13" s="13">
        <v>453109680.10000002</v>
      </c>
      <c r="I13" s="13">
        <v>22452.298709999999</v>
      </c>
      <c r="J13" s="13">
        <v>6.2244183000000002E-2</v>
      </c>
      <c r="K13" s="13">
        <v>5.7328299999999995E-4</v>
      </c>
      <c r="L13" s="14">
        <v>5.81186E-6</v>
      </c>
      <c r="M13" s="14">
        <v>1.2176900000000001E-7</v>
      </c>
      <c r="N13" s="14">
        <v>2.3713099999999999E-6</v>
      </c>
      <c r="O13" s="14">
        <v>9.0729999999999998E-7</v>
      </c>
      <c r="P13" s="13">
        <v>3.7441499999999999E-3</v>
      </c>
      <c r="Q13" s="13">
        <v>1.36062E-4</v>
      </c>
      <c r="R13" s="13">
        <v>-1.3730212289999999</v>
      </c>
      <c r="S13" s="13">
        <v>2.2893727999999999E-2</v>
      </c>
      <c r="T13" s="14">
        <v>2.7288599999999999E-8</v>
      </c>
      <c r="U13" s="14">
        <v>1.1330200000000001E-9</v>
      </c>
      <c r="V13" s="13">
        <v>-9.1185599999999995E-4</v>
      </c>
      <c r="W13" s="15">
        <v>2.5601699999999999E-4</v>
      </c>
      <c r="Y13" s="17" t="s">
        <v>140</v>
      </c>
      <c r="Z13" s="17" t="s">
        <v>118</v>
      </c>
      <c r="AA13">
        <f>AA12+9</f>
        <v>11</v>
      </c>
      <c r="AC13">
        <v>2965</v>
      </c>
      <c r="AD13">
        <v>27</v>
      </c>
      <c r="AE13">
        <v>3</v>
      </c>
    </row>
    <row r="14" spans="1:34" x14ac:dyDescent="0.3">
      <c r="A14" s="17" t="s">
        <v>108</v>
      </c>
      <c r="C14" s="13">
        <v>16</v>
      </c>
      <c r="E14">
        <f t="shared" si="0"/>
        <v>16</v>
      </c>
      <c r="F14" s="13">
        <v>6.3623200000000004</v>
      </c>
      <c r="G14" s="13">
        <v>2831.0709459999998</v>
      </c>
      <c r="H14" s="13">
        <v>444974623.39999998</v>
      </c>
      <c r="I14" s="13">
        <v>26185.408479999998</v>
      </c>
      <c r="J14" s="13">
        <v>4.6847041999999998E-2</v>
      </c>
      <c r="K14" s="14">
        <v>6.9507500000000005E-5</v>
      </c>
      <c r="L14" s="14">
        <v>6.2522E-6</v>
      </c>
      <c r="M14" s="14">
        <v>6.2648099999999998E-8</v>
      </c>
      <c r="N14" s="14">
        <v>3.8344500000000001E-9</v>
      </c>
      <c r="O14" s="13"/>
      <c r="P14" s="13">
        <v>3.097767E-3</v>
      </c>
      <c r="Q14" s="13">
        <v>1.20431E-4</v>
      </c>
      <c r="R14" s="13">
        <v>-1.280904831</v>
      </c>
      <c r="S14" s="13">
        <v>2.4652759E-2</v>
      </c>
      <c r="T14" s="14">
        <v>2.6225000000000002E-8</v>
      </c>
      <c r="U14" s="14">
        <v>1.14943E-9</v>
      </c>
      <c r="V14" s="13">
        <v>-6.8408800000000001E-4</v>
      </c>
      <c r="W14" s="15">
        <v>1.13069E-4</v>
      </c>
      <c r="Y14" s="17" t="s">
        <v>140</v>
      </c>
      <c r="Z14" s="17" t="s">
        <v>119</v>
      </c>
      <c r="AA14">
        <f>AA13+3</f>
        <v>14</v>
      </c>
      <c r="AC14">
        <v>2917.1</v>
      </c>
      <c r="AD14">
        <v>20.100000000000001</v>
      </c>
      <c r="AE14">
        <v>3</v>
      </c>
    </row>
    <row r="15" spans="1:34" x14ac:dyDescent="0.3">
      <c r="A15" s="17" t="s">
        <v>108</v>
      </c>
      <c r="C15" s="13">
        <v>20</v>
      </c>
      <c r="E15">
        <f t="shared" si="0"/>
        <v>20</v>
      </c>
      <c r="F15" s="13">
        <v>6.3623200000000004</v>
      </c>
      <c r="G15" s="13">
        <v>2784.5478520000001</v>
      </c>
      <c r="H15" s="13">
        <v>437662338.89999998</v>
      </c>
      <c r="I15" s="13">
        <v>24666.7955</v>
      </c>
      <c r="J15" s="13">
        <v>6.3553403999999994E-2</v>
      </c>
      <c r="K15" s="13">
        <v>5.8230800000000002E-4</v>
      </c>
      <c r="L15" s="14">
        <v>5.9039100000000002E-6</v>
      </c>
      <c r="M15" s="14">
        <v>1.18607E-7</v>
      </c>
      <c r="N15" s="14">
        <v>4.1946999999999998E-6</v>
      </c>
      <c r="O15" s="14">
        <v>8.7535800000000002E-7</v>
      </c>
      <c r="P15" s="13">
        <v>3.4724140000000001E-3</v>
      </c>
      <c r="Q15" s="13">
        <v>1.3779800000000001E-4</v>
      </c>
      <c r="R15" s="13">
        <v>-0.53602224799999998</v>
      </c>
      <c r="S15" s="13">
        <v>2.518654E-2</v>
      </c>
      <c r="T15" s="14">
        <v>2.6304100000000001E-8</v>
      </c>
      <c r="U15" s="14">
        <v>1.1801700000000001E-9</v>
      </c>
      <c r="V15" s="13">
        <v>-1.203403E-3</v>
      </c>
      <c r="W15" s="15">
        <v>2.4502299999999997E-4</v>
      </c>
      <c r="Y15" s="17" t="s">
        <v>140</v>
      </c>
      <c r="Z15" s="17" t="s">
        <v>116</v>
      </c>
      <c r="AA15">
        <v>1</v>
      </c>
      <c r="AC15">
        <v>2928.5</v>
      </c>
      <c r="AD15">
        <v>10.199999999999999</v>
      </c>
      <c r="AE15">
        <v>3</v>
      </c>
    </row>
    <row r="16" spans="1:34" x14ac:dyDescent="0.3">
      <c r="A16" s="17" t="s">
        <v>108</v>
      </c>
      <c r="C16" s="13">
        <v>24</v>
      </c>
      <c r="E16">
        <f t="shared" si="0"/>
        <v>24</v>
      </c>
      <c r="F16" s="13">
        <v>6.3623200000000004</v>
      </c>
      <c r="G16" s="13">
        <v>2741.1190000000001</v>
      </c>
      <c r="H16" s="13">
        <v>430836393</v>
      </c>
      <c r="I16" s="13">
        <v>27137.72381</v>
      </c>
      <c r="J16" s="13">
        <v>5.3957964999999997E-2</v>
      </c>
      <c r="K16" s="14">
        <v>8.2565700000000001E-5</v>
      </c>
      <c r="L16" s="14">
        <v>6.1103700000000004E-6</v>
      </c>
      <c r="M16" s="14">
        <v>6.0425600000000006E-8</v>
      </c>
      <c r="N16" s="14">
        <v>3.4047099999999999E-9</v>
      </c>
      <c r="O16" s="13"/>
      <c r="P16" s="13">
        <v>2.1305600000000001E-3</v>
      </c>
      <c r="Q16" s="14">
        <v>9.5309000000000005E-5</v>
      </c>
      <c r="R16" s="13">
        <v>-3.005423623</v>
      </c>
      <c r="S16" s="13">
        <v>2.9314001999999999E-2</v>
      </c>
      <c r="T16" s="14">
        <v>3.7387100000000001E-8</v>
      </c>
      <c r="U16" s="14">
        <v>2.1027000000000002E-9</v>
      </c>
      <c r="V16" s="13">
        <v>-8.8388500000000005E-4</v>
      </c>
      <c r="W16" s="15">
        <v>1.3232599999999999E-4</v>
      </c>
      <c r="Y16" s="17" t="s">
        <v>140</v>
      </c>
      <c r="Z16" s="17" t="s">
        <v>118</v>
      </c>
      <c r="AA16">
        <v>11</v>
      </c>
      <c r="AC16">
        <v>2921.4</v>
      </c>
      <c r="AD16">
        <v>12.7</v>
      </c>
      <c r="AE16">
        <v>3</v>
      </c>
    </row>
    <row r="17" spans="1:31" x14ac:dyDescent="0.3">
      <c r="A17" s="17" t="s">
        <v>108</v>
      </c>
      <c r="C17" s="13">
        <v>28</v>
      </c>
      <c r="E17">
        <f t="shared" si="0"/>
        <v>28</v>
      </c>
      <c r="F17" s="13">
        <v>6.3623200000000004</v>
      </c>
      <c r="G17" s="13">
        <v>2715.0408170000001</v>
      </c>
      <c r="H17" s="13">
        <v>426737545</v>
      </c>
      <c r="I17" s="13">
        <v>10199.69371</v>
      </c>
      <c r="J17" s="13">
        <v>5.4190536999999997E-2</v>
      </c>
      <c r="K17" s="13">
        <v>5.7754099999999999E-4</v>
      </c>
      <c r="L17" s="14">
        <v>6.02046E-6</v>
      </c>
      <c r="M17" s="14">
        <v>1.4665500000000001E-7</v>
      </c>
      <c r="N17" s="14">
        <v>7.6236299999999997E-6</v>
      </c>
      <c r="O17" s="14">
        <v>9.6263199999999993E-7</v>
      </c>
      <c r="P17" s="13">
        <v>4.3285820000000001E-3</v>
      </c>
      <c r="Q17" s="13">
        <v>1.16999E-4</v>
      </c>
      <c r="R17" s="13">
        <v>1.9558035709999999</v>
      </c>
      <c r="S17" s="13">
        <v>1.7343995000000001E-2</v>
      </c>
      <c r="T17" s="14">
        <v>3.30693E-8</v>
      </c>
      <c r="U17" s="14">
        <v>1.0824700000000001E-9</v>
      </c>
      <c r="V17" s="13">
        <v>-3.7491299999999999E-4</v>
      </c>
      <c r="W17" s="15">
        <v>2.50492E-4</v>
      </c>
      <c r="Y17" s="17" t="s">
        <v>140</v>
      </c>
      <c r="Z17" s="17" t="s">
        <v>119</v>
      </c>
      <c r="AA17">
        <v>14</v>
      </c>
      <c r="AC17">
        <v>2919</v>
      </c>
      <c r="AD17">
        <v>12.7</v>
      </c>
      <c r="AE17">
        <v>3</v>
      </c>
    </row>
    <row r="18" spans="1:31" x14ac:dyDescent="0.3">
      <c r="A18" s="17" t="s">
        <v>108</v>
      </c>
      <c r="C18" s="13">
        <v>32</v>
      </c>
      <c r="E18">
        <f t="shared" si="0"/>
        <v>32</v>
      </c>
      <c r="F18" s="13">
        <v>6.3623200000000004</v>
      </c>
      <c r="G18" s="13">
        <v>2705.6075679999999</v>
      </c>
      <c r="H18" s="13">
        <v>425254870.5</v>
      </c>
      <c r="I18" s="13">
        <v>17638.31768</v>
      </c>
      <c r="J18" s="13">
        <v>6.2363315000000002E-2</v>
      </c>
      <c r="K18" s="13">
        <v>6.5675599999999998E-4</v>
      </c>
      <c r="L18" s="14">
        <v>6.3586399999999998E-6</v>
      </c>
      <c r="M18" s="14">
        <v>1.2828000000000001E-7</v>
      </c>
      <c r="N18" s="14">
        <v>1.22665E-5</v>
      </c>
      <c r="O18" s="14">
        <v>8.6831399999999998E-7</v>
      </c>
      <c r="P18" s="13">
        <v>2.8807490000000002E-3</v>
      </c>
      <c r="Q18" s="13">
        <v>1.17293E-4</v>
      </c>
      <c r="R18" s="13">
        <v>-1.3710850139999999</v>
      </c>
      <c r="S18" s="13">
        <v>2.5526927000000001E-2</v>
      </c>
      <c r="T18" s="14">
        <v>3.2657900000000002E-8</v>
      </c>
      <c r="U18" s="14">
        <v>1.54879E-9</v>
      </c>
      <c r="V18" s="13">
        <v>-9.0333899999999996E-4</v>
      </c>
      <c r="W18" s="15">
        <v>2.1810300000000001E-4</v>
      </c>
    </row>
    <row r="19" spans="1:31" x14ac:dyDescent="0.3">
      <c r="A19" s="17" t="s">
        <v>108</v>
      </c>
      <c r="C19" s="13">
        <v>36</v>
      </c>
      <c r="E19">
        <f t="shared" si="0"/>
        <v>36</v>
      </c>
      <c r="F19" s="13">
        <v>6.3623200000000004</v>
      </c>
      <c r="G19" s="13">
        <v>2703.5915150000001</v>
      </c>
      <c r="H19" s="13">
        <v>424937996.60000002</v>
      </c>
      <c r="I19" s="13">
        <v>7292.3567869999997</v>
      </c>
      <c r="J19" s="13">
        <v>5.7170230000000002E-2</v>
      </c>
      <c r="K19" s="13">
        <v>5.8944200000000003E-4</v>
      </c>
      <c r="L19" s="14">
        <v>6.4550199999999997E-6</v>
      </c>
      <c r="M19" s="14">
        <v>1.3955600000000001E-7</v>
      </c>
      <c r="N19" s="14">
        <v>1.11075E-5</v>
      </c>
      <c r="O19" s="14">
        <v>8.4053599999999998E-7</v>
      </c>
      <c r="P19" s="13">
        <v>5.5366909999999998E-3</v>
      </c>
      <c r="Q19" s="13">
        <v>1.1829599999999999E-4</v>
      </c>
      <c r="R19" s="13">
        <v>2.9540826130000002</v>
      </c>
      <c r="S19" s="13">
        <v>1.3676529E-2</v>
      </c>
      <c r="T19" s="14">
        <v>3.20882E-8</v>
      </c>
      <c r="U19" s="14">
        <v>8.3478999999999997E-10</v>
      </c>
      <c r="V19" s="13">
        <v>-3.77788E-4</v>
      </c>
      <c r="W19" s="15">
        <v>2.209E-4</v>
      </c>
    </row>
    <row r="20" spans="1:31" x14ac:dyDescent="0.3">
      <c r="A20" s="17" t="s">
        <v>108</v>
      </c>
      <c r="C20" s="13">
        <v>40</v>
      </c>
      <c r="E20">
        <f t="shared" si="0"/>
        <v>40</v>
      </c>
      <c r="F20" s="13">
        <v>6.3623200000000004</v>
      </c>
      <c r="G20" s="13">
        <v>2697.1228190000002</v>
      </c>
      <c r="H20" s="13">
        <v>423921277</v>
      </c>
      <c r="I20" s="13">
        <v>17218.766930000002</v>
      </c>
      <c r="J20" s="13">
        <v>5.6109352000000001E-2</v>
      </c>
      <c r="K20" s="13">
        <v>6.4648400000000001E-4</v>
      </c>
      <c r="L20" s="14">
        <v>6.3233899999999996E-6</v>
      </c>
      <c r="M20" s="14">
        <v>1.3522099999999999E-7</v>
      </c>
      <c r="N20" s="14">
        <v>2.88505E-6</v>
      </c>
      <c r="O20" s="14">
        <v>1.06138E-6</v>
      </c>
      <c r="P20" s="13">
        <v>2.7190320000000001E-3</v>
      </c>
      <c r="Q20" s="13">
        <v>1.08835E-4</v>
      </c>
      <c r="R20" s="13">
        <v>-1.1852198810000001</v>
      </c>
      <c r="S20" s="13">
        <v>2.5252098000000001E-2</v>
      </c>
      <c r="T20" s="14">
        <v>3.5196699999999998E-8</v>
      </c>
      <c r="U20" s="14">
        <v>1.66812E-9</v>
      </c>
      <c r="V20" s="13">
        <v>-2.4049600000000001E-4</v>
      </c>
      <c r="W20" s="15">
        <v>2.18123E-4</v>
      </c>
    </row>
    <row r="21" spans="1:31" x14ac:dyDescent="0.3">
      <c r="A21" s="17" t="s">
        <v>108</v>
      </c>
      <c r="C21" s="13">
        <v>44</v>
      </c>
      <c r="E21">
        <f t="shared" si="0"/>
        <v>44</v>
      </c>
      <c r="F21" s="13">
        <v>6.3623200000000004</v>
      </c>
      <c r="G21" s="13"/>
      <c r="H21" s="13">
        <v>412117717.5</v>
      </c>
      <c r="I21" s="13">
        <v>261944.52840000001</v>
      </c>
      <c r="J21" s="13">
        <v>5.5268116999999999E-2</v>
      </c>
      <c r="K21" s="14">
        <v>8.2904299999999998E-5</v>
      </c>
      <c r="L21" s="14">
        <v>6.1862000000000002E-6</v>
      </c>
      <c r="M21" s="14">
        <v>6.3208299999999996E-8</v>
      </c>
      <c r="N21" s="14">
        <v>4.3983399999999999E-14</v>
      </c>
      <c r="O21" s="13"/>
      <c r="P21" s="13">
        <v>2.653079E-3</v>
      </c>
      <c r="Q21" s="13">
        <v>1.2974199999999999E-4</v>
      </c>
      <c r="R21" s="13">
        <v>0.31042239799999999</v>
      </c>
      <c r="S21" s="13">
        <v>4.9096629000000003E-2</v>
      </c>
      <c r="T21" s="14">
        <v>1.8181400000000001E-8</v>
      </c>
      <c r="U21" s="13"/>
      <c r="V21" s="13">
        <v>-8.2382600000000005E-4</v>
      </c>
      <c r="W21" s="15">
        <v>1.36322E-4</v>
      </c>
    </row>
    <row r="22" spans="1:31" x14ac:dyDescent="0.3">
      <c r="A22" s="17" t="s">
        <v>108</v>
      </c>
      <c r="C22" s="13">
        <v>48</v>
      </c>
      <c r="E22">
        <f t="shared" si="0"/>
        <v>48</v>
      </c>
      <c r="F22" s="13">
        <v>6.3623200000000004</v>
      </c>
      <c r="G22" s="13">
        <v>2743.024645</v>
      </c>
      <c r="H22" s="13">
        <v>431135913.5</v>
      </c>
      <c r="I22" s="13">
        <v>15289.29407</v>
      </c>
      <c r="J22" s="13">
        <v>6.2540872999999997E-2</v>
      </c>
      <c r="K22" s="13">
        <v>6.0477399999999998E-4</v>
      </c>
      <c r="L22" s="14">
        <v>6.0125100000000003E-6</v>
      </c>
      <c r="M22" s="14">
        <v>1.2352100000000001E-7</v>
      </c>
      <c r="N22" s="14">
        <v>8.3240399999999997E-6</v>
      </c>
      <c r="O22" s="14">
        <v>8.71694E-7</v>
      </c>
      <c r="P22" s="13">
        <v>3.3129740000000002E-3</v>
      </c>
      <c r="Q22" s="13">
        <v>1.2259200000000001E-4</v>
      </c>
      <c r="R22" s="13">
        <v>-1.1755535610000001</v>
      </c>
      <c r="S22" s="13">
        <v>2.3231865000000001E-2</v>
      </c>
      <c r="T22" s="14">
        <v>3.0532099999999997E-8</v>
      </c>
      <c r="U22" s="14">
        <v>1.3054099999999999E-9</v>
      </c>
      <c r="V22" s="13">
        <v>-6.4695200000000001E-4</v>
      </c>
      <c r="W22" s="15">
        <v>2.3795899999999999E-4</v>
      </c>
    </row>
    <row r="23" spans="1:31" x14ac:dyDescent="0.3">
      <c r="A23" s="17" t="s">
        <v>108</v>
      </c>
      <c r="C23" s="13">
        <v>52</v>
      </c>
      <c r="E23">
        <f t="shared" si="0"/>
        <v>52</v>
      </c>
      <c r="F23" s="13">
        <v>6.3623200000000004</v>
      </c>
      <c r="G23" s="13">
        <v>2769.437246</v>
      </c>
      <c r="H23" s="13">
        <v>435287323.69999999</v>
      </c>
      <c r="I23" s="13">
        <v>16023.41389</v>
      </c>
      <c r="J23" s="13">
        <v>6.3590167000000003E-2</v>
      </c>
      <c r="K23" s="13">
        <v>5.3881399999999998E-4</v>
      </c>
      <c r="L23" s="14">
        <v>5.9182299999999999E-6</v>
      </c>
      <c r="M23" s="14">
        <v>1.2048100000000001E-7</v>
      </c>
      <c r="N23" s="14">
        <v>5.4843899999999997E-6</v>
      </c>
      <c r="O23" s="14">
        <v>7.92399E-7</v>
      </c>
      <c r="P23" s="13">
        <v>3.6887320000000001E-3</v>
      </c>
      <c r="Q23" s="13">
        <v>1.2652E-4</v>
      </c>
      <c r="R23" s="13">
        <v>2.7360490620000002</v>
      </c>
      <c r="S23" s="13">
        <v>2.2194289999999998E-2</v>
      </c>
      <c r="T23" s="14">
        <v>2.90663E-8</v>
      </c>
      <c r="U23" s="14">
        <v>1.1967399999999999E-9</v>
      </c>
      <c r="V23" s="13">
        <v>-1.6249490000000001E-3</v>
      </c>
      <c r="W23" s="15">
        <v>2.5261800000000003E-4</v>
      </c>
    </row>
    <row r="24" spans="1:31" x14ac:dyDescent="0.3">
      <c r="A24" s="17" t="s">
        <v>108</v>
      </c>
      <c r="C24" s="13">
        <v>56</v>
      </c>
      <c r="E24">
        <f t="shared" si="0"/>
        <v>56</v>
      </c>
      <c r="F24" s="13">
        <v>6.3623200000000004</v>
      </c>
      <c r="G24" s="13">
        <v>2825.232974</v>
      </c>
      <c r="H24" s="13">
        <v>444057038</v>
      </c>
      <c r="I24" s="13">
        <v>18277.653719999998</v>
      </c>
      <c r="J24" s="13">
        <v>6.8140294000000004E-2</v>
      </c>
      <c r="K24" s="13">
        <v>6.4375900000000004E-4</v>
      </c>
      <c r="L24" s="14">
        <v>6.1707500000000002E-6</v>
      </c>
      <c r="M24" s="14">
        <v>1.17678E-7</v>
      </c>
      <c r="N24" s="14">
        <v>7.1399099999999999E-6</v>
      </c>
      <c r="O24" s="14">
        <v>8.4423500000000002E-7</v>
      </c>
      <c r="P24" s="13">
        <v>4.1863650000000001E-3</v>
      </c>
      <c r="Q24" s="13">
        <v>1.45678E-4</v>
      </c>
      <c r="R24" s="13">
        <v>-1.52028472</v>
      </c>
      <c r="S24" s="13">
        <v>2.1856522E-2</v>
      </c>
      <c r="T24" s="14">
        <v>2.62331E-8</v>
      </c>
      <c r="U24" s="14">
        <v>1.0248E-9</v>
      </c>
      <c r="V24" s="13">
        <v>-1.471357E-3</v>
      </c>
      <c r="W24" s="15">
        <v>2.37445E-4</v>
      </c>
    </row>
    <row r="25" spans="1:31" x14ac:dyDescent="0.3">
      <c r="A25" s="17" t="s">
        <v>108</v>
      </c>
      <c r="C25" s="13">
        <v>60</v>
      </c>
      <c r="E25">
        <f t="shared" si="0"/>
        <v>60</v>
      </c>
      <c r="F25" s="13">
        <v>6.3623200000000004</v>
      </c>
      <c r="G25" s="13">
        <v>2871.2661889999999</v>
      </c>
      <c r="H25" s="13">
        <v>451292325.60000002</v>
      </c>
      <c r="I25" s="13">
        <v>12971.272639999999</v>
      </c>
      <c r="J25" s="13">
        <v>6.4217591000000004E-2</v>
      </c>
      <c r="K25" s="13">
        <v>6.42813E-4</v>
      </c>
      <c r="L25" s="14">
        <v>6.0436199999999997E-6</v>
      </c>
      <c r="M25" s="14">
        <v>1.24471E-7</v>
      </c>
      <c r="N25" s="14">
        <v>3.43182E-6</v>
      </c>
      <c r="O25" s="14">
        <v>9.4690900000000003E-7</v>
      </c>
      <c r="P25" s="13">
        <v>5.0469470000000004E-3</v>
      </c>
      <c r="Q25" s="13">
        <v>1.4799600000000001E-4</v>
      </c>
      <c r="R25" s="13">
        <v>-2.3691245520000002</v>
      </c>
      <c r="S25" s="13">
        <v>1.8305744999999998E-2</v>
      </c>
      <c r="T25" s="14">
        <v>2.6292300000000001E-8</v>
      </c>
      <c r="U25" s="14">
        <v>8.6173999999999996E-10</v>
      </c>
      <c r="V25" s="13">
        <v>-1.464302E-3</v>
      </c>
      <c r="W25" s="15">
        <v>2.4929200000000002E-4</v>
      </c>
    </row>
    <row r="26" spans="1:31" x14ac:dyDescent="0.3">
      <c r="A26" s="17" t="s">
        <v>108</v>
      </c>
      <c r="C26" s="13">
        <v>64</v>
      </c>
      <c r="E26">
        <f t="shared" si="0"/>
        <v>64</v>
      </c>
      <c r="F26" s="13">
        <v>6.3623200000000004</v>
      </c>
      <c r="G26" s="13">
        <v>2938.9012210000001</v>
      </c>
      <c r="H26" s="13">
        <v>461922886.69999999</v>
      </c>
      <c r="I26" s="13">
        <v>10870.60593</v>
      </c>
      <c r="J26" s="13">
        <v>7.2911952000000002E-2</v>
      </c>
      <c r="K26" s="13">
        <v>6.9297800000000002E-4</v>
      </c>
      <c r="L26" s="14">
        <v>6.3127100000000004E-6</v>
      </c>
      <c r="M26" s="14">
        <v>1.18339E-7</v>
      </c>
      <c r="N26" s="14">
        <v>9.1507099999999993E-6</v>
      </c>
      <c r="O26" s="14">
        <v>8.1426000000000004E-7</v>
      </c>
      <c r="P26" s="13">
        <v>5.0447590000000002E-3</v>
      </c>
      <c r="Q26" s="13">
        <v>1.4877400000000001E-4</v>
      </c>
      <c r="R26" s="13">
        <v>-2.3689558119999998</v>
      </c>
      <c r="S26" s="13">
        <v>1.8441332000000001E-2</v>
      </c>
      <c r="T26" s="14">
        <v>2.7615700000000001E-8</v>
      </c>
      <c r="U26" s="14">
        <v>9.2788100000000001E-10</v>
      </c>
      <c r="V26" s="13">
        <v>-1.047269E-3</v>
      </c>
      <c r="W26" s="15">
        <v>2.4386699999999999E-4</v>
      </c>
    </row>
    <row r="27" spans="1:31" x14ac:dyDescent="0.3">
      <c r="A27" s="17" t="s">
        <v>108</v>
      </c>
      <c r="C27" s="13">
        <v>68</v>
      </c>
      <c r="E27">
        <f t="shared" si="0"/>
        <v>68</v>
      </c>
      <c r="F27" s="13">
        <v>6.3623200000000004</v>
      </c>
      <c r="G27" s="13">
        <v>2911.3965870000002</v>
      </c>
      <c r="H27" s="13">
        <v>457599835.69999999</v>
      </c>
      <c r="I27" s="13">
        <v>31289.54305</v>
      </c>
      <c r="J27" s="13">
        <v>7.1811203000000004E-2</v>
      </c>
      <c r="K27" s="13">
        <v>6.0696299999999997E-4</v>
      </c>
      <c r="L27" s="14">
        <v>5.80686E-6</v>
      </c>
      <c r="M27" s="14">
        <v>1.1172700000000001E-7</v>
      </c>
      <c r="N27" s="14">
        <v>3.64869E-6</v>
      </c>
      <c r="O27" s="14">
        <v>8.2302000000000002E-7</v>
      </c>
      <c r="P27" s="13">
        <v>5.0303860000000004E-3</v>
      </c>
      <c r="Q27" s="13">
        <v>1.76663E-4</v>
      </c>
      <c r="R27" s="13">
        <v>-1.892444915</v>
      </c>
      <c r="S27" s="13">
        <v>2.1882972000000001E-2</v>
      </c>
      <c r="T27" s="14">
        <v>2.18126E-8</v>
      </c>
      <c r="U27" s="14">
        <v>8.2537300000000004E-10</v>
      </c>
      <c r="V27" s="13">
        <v>-1.8600450000000001E-3</v>
      </c>
      <c r="W27" s="15">
        <v>2.6948500000000003E-4</v>
      </c>
    </row>
    <row r="28" spans="1:31" x14ac:dyDescent="0.3">
      <c r="A28" s="17" t="s">
        <v>108</v>
      </c>
      <c r="C28" s="13">
        <v>72</v>
      </c>
      <c r="E28">
        <f t="shared" si="0"/>
        <v>72</v>
      </c>
      <c r="F28" s="13">
        <v>6.3623200000000004</v>
      </c>
      <c r="G28" s="13">
        <v>2951.8618670000001</v>
      </c>
      <c r="H28" s="13">
        <v>463959981</v>
      </c>
      <c r="I28" s="13">
        <v>25527.401399999999</v>
      </c>
      <c r="J28" s="13">
        <v>7.0082496999999994E-2</v>
      </c>
      <c r="K28" s="13">
        <v>6.4297400000000004E-4</v>
      </c>
      <c r="L28" s="14">
        <v>6.0287200000000001E-6</v>
      </c>
      <c r="M28" s="14">
        <v>1.1679300000000001E-7</v>
      </c>
      <c r="N28" s="14">
        <v>4.0420200000000001E-6</v>
      </c>
      <c r="O28" s="14">
        <v>8.6243799999999998E-7</v>
      </c>
      <c r="P28" s="13">
        <v>4.4424089999999996E-3</v>
      </c>
      <c r="Q28" s="13">
        <v>1.5589E-4</v>
      </c>
      <c r="R28" s="13">
        <v>-2.3016704240000001</v>
      </c>
      <c r="S28" s="13">
        <v>2.1987777999999999E-2</v>
      </c>
      <c r="T28" s="14">
        <v>2.5353100000000001E-8</v>
      </c>
      <c r="U28" s="14">
        <v>9.9603399999999995E-10</v>
      </c>
      <c r="V28" s="13">
        <v>-1.5131260000000001E-3</v>
      </c>
      <c r="W28" s="15">
        <v>2.5697099999999999E-4</v>
      </c>
    </row>
    <row r="29" spans="1:31" x14ac:dyDescent="0.3">
      <c r="A29" s="17" t="s">
        <v>108</v>
      </c>
      <c r="C29" s="13">
        <v>76</v>
      </c>
      <c r="E29">
        <f t="shared" si="0"/>
        <v>76</v>
      </c>
      <c r="F29" s="13">
        <v>6.3623200000000004</v>
      </c>
      <c r="G29" s="13">
        <v>2911.0496790000002</v>
      </c>
      <c r="H29" s="13">
        <v>457545310.30000001</v>
      </c>
      <c r="I29" s="13">
        <v>26995.2929</v>
      </c>
      <c r="J29" s="13">
        <v>6.8435749000000004E-2</v>
      </c>
      <c r="K29" s="13">
        <v>4.9433099999999998E-4</v>
      </c>
      <c r="L29" s="14">
        <v>5.5597700000000001E-6</v>
      </c>
      <c r="M29" s="14">
        <v>1.10985E-7</v>
      </c>
      <c r="N29" s="14">
        <v>2.12112E-6</v>
      </c>
      <c r="O29" s="14">
        <v>7.3917799999999998E-7</v>
      </c>
      <c r="P29" s="13">
        <v>3.121955E-3</v>
      </c>
      <c r="Q29" s="13">
        <v>1.26747E-4</v>
      </c>
      <c r="R29" s="13">
        <v>2.3872939450000001</v>
      </c>
      <c r="S29" s="13">
        <v>2.640174E-2</v>
      </c>
      <c r="T29" s="14">
        <v>2.9306000000000001E-8</v>
      </c>
      <c r="U29" s="14">
        <v>1.4435599999999999E-9</v>
      </c>
      <c r="V29" s="13">
        <v>-2.607608E-3</v>
      </c>
      <c r="W29" s="15">
        <v>2.8417600000000002E-4</v>
      </c>
    </row>
    <row r="30" spans="1:31" x14ac:dyDescent="0.3">
      <c r="A30" s="17" t="s">
        <v>108</v>
      </c>
      <c r="C30" s="13">
        <v>80</v>
      </c>
      <c r="E30">
        <f t="shared" si="0"/>
        <v>80</v>
      </c>
      <c r="F30" s="13">
        <v>6.3623200000000004</v>
      </c>
      <c r="G30" s="13">
        <v>2761.3106299999999</v>
      </c>
      <c r="H30" s="13">
        <v>434010020</v>
      </c>
      <c r="I30" s="13">
        <v>272339.90899999999</v>
      </c>
      <c r="J30" s="13">
        <v>7.4871960000000001E-2</v>
      </c>
      <c r="K30" s="13">
        <v>6.6691600000000004E-4</v>
      </c>
      <c r="L30" s="14">
        <v>6.36357E-6</v>
      </c>
      <c r="M30" s="14">
        <v>1.12408E-7</v>
      </c>
      <c r="N30" s="14">
        <v>8.3882899999999999E-6</v>
      </c>
      <c r="O30" s="14">
        <v>7.6267199999999999E-7</v>
      </c>
      <c r="P30" s="13">
        <v>3.3801410000000001E-3</v>
      </c>
      <c r="Q30" s="13">
        <v>1.6405599999999999E-4</v>
      </c>
      <c r="R30" s="13">
        <v>1.274929357</v>
      </c>
      <c r="S30" s="13">
        <v>4.9745240000000003E-2</v>
      </c>
      <c r="T30" s="14">
        <v>1.48356E-8</v>
      </c>
      <c r="U30" s="13"/>
      <c r="V30" s="13">
        <v>-8.5121800000000005E-4</v>
      </c>
      <c r="W30" s="15">
        <v>2.3691599999999999E-4</v>
      </c>
    </row>
    <row r="31" spans="1:31" x14ac:dyDescent="0.3">
      <c r="A31" s="17" t="s">
        <v>108</v>
      </c>
      <c r="C31" s="13">
        <v>84</v>
      </c>
      <c r="E31">
        <f t="shared" si="0"/>
        <v>84</v>
      </c>
      <c r="F31" s="13">
        <v>6.3623200000000004</v>
      </c>
      <c r="G31" s="13">
        <v>3386.4394550000002</v>
      </c>
      <c r="H31" s="13">
        <v>532264874.19999999</v>
      </c>
      <c r="I31" s="13">
        <v>54497.048450000002</v>
      </c>
      <c r="J31" s="13">
        <v>5.5648731999999999E-2</v>
      </c>
      <c r="K31" s="13">
        <v>5.3750499999999997E-4</v>
      </c>
      <c r="L31" s="14">
        <v>6.4359599999999996E-6</v>
      </c>
      <c r="M31" s="14">
        <v>1.31263E-7</v>
      </c>
      <c r="N31" s="14">
        <v>9.6585900000000003E-6</v>
      </c>
      <c r="O31" s="14">
        <v>8.0023799999999997E-7</v>
      </c>
      <c r="P31" s="13">
        <v>1.2161369999999999E-3</v>
      </c>
      <c r="Q31" s="13">
        <v>1.0189200000000001E-4</v>
      </c>
      <c r="R31" s="13">
        <v>-0.31042249300000002</v>
      </c>
      <c r="S31" s="13">
        <v>5.5181789000000002E-2</v>
      </c>
      <c r="T31" s="14">
        <v>3.4856999999999999E-8</v>
      </c>
      <c r="U31" s="14">
        <v>3.6538099999999998E-9</v>
      </c>
      <c r="V31" s="13">
        <v>-6.4809500000000001E-4</v>
      </c>
      <c r="W31" s="15">
        <v>2.04916E-4</v>
      </c>
    </row>
    <row r="32" spans="1:31" x14ac:dyDescent="0.3">
      <c r="A32" s="17" t="s">
        <v>108</v>
      </c>
      <c r="C32" s="13">
        <v>88</v>
      </c>
      <c r="E32">
        <f t="shared" si="0"/>
        <v>88</v>
      </c>
      <c r="F32" s="13">
        <v>6.3623200000000004</v>
      </c>
      <c r="G32" s="13">
        <v>2685.0016169999999</v>
      </c>
      <c r="H32" s="13">
        <v>422016122.60000002</v>
      </c>
      <c r="I32" s="13">
        <v>311407.42879999999</v>
      </c>
      <c r="J32" s="13">
        <v>5.3028664000000003E-2</v>
      </c>
      <c r="K32" s="13">
        <v>5.8598500000000002E-4</v>
      </c>
      <c r="L32" s="14">
        <v>6.3089900000000002E-6</v>
      </c>
      <c r="M32" s="14">
        <v>1.3796900000000001E-7</v>
      </c>
      <c r="N32" s="14">
        <v>4.2520000000000001E-6</v>
      </c>
      <c r="O32" s="14">
        <v>9.9766500000000009E-7</v>
      </c>
      <c r="P32" s="13">
        <v>1.8796609999999999E-3</v>
      </c>
      <c r="Q32" s="13">
        <v>1.17203E-4</v>
      </c>
      <c r="R32" s="13">
        <v>1.8674015829999999</v>
      </c>
      <c r="S32" s="13">
        <v>6.3610431999999995E-2</v>
      </c>
      <c r="T32" s="14">
        <v>1.8255E-8</v>
      </c>
      <c r="U32" s="13"/>
      <c r="V32" s="13">
        <v>-5.33499E-4</v>
      </c>
      <c r="W32" s="15">
        <v>2.1310599999999999E-4</v>
      </c>
    </row>
    <row r="33" spans="1:23" x14ac:dyDescent="0.3">
      <c r="A33" s="17" t="s">
        <v>108</v>
      </c>
      <c r="C33" s="13">
        <v>92</v>
      </c>
      <c r="E33">
        <f t="shared" si="0"/>
        <v>92</v>
      </c>
      <c r="F33" s="13">
        <v>6.3623200000000004</v>
      </c>
      <c r="G33" s="13">
        <v>3431.8580440000001</v>
      </c>
      <c r="H33" s="13">
        <v>539403557.79999995</v>
      </c>
      <c r="I33" s="13">
        <v>69299.636069999993</v>
      </c>
      <c r="J33" s="13">
        <v>6.1042095999999997E-2</v>
      </c>
      <c r="K33" s="13">
        <v>6.7680099999999999E-4</v>
      </c>
      <c r="L33" s="14">
        <v>6.7247500000000003E-6</v>
      </c>
      <c r="M33" s="14">
        <v>1.34575E-7</v>
      </c>
      <c r="N33" s="14">
        <v>1.04819E-5</v>
      </c>
      <c r="O33" s="14">
        <v>8.8814300000000004E-7</v>
      </c>
      <c r="P33" s="13">
        <v>1.891939E-3</v>
      </c>
      <c r="Q33" s="13">
        <v>1.5370800000000001E-4</v>
      </c>
      <c r="R33" s="13">
        <v>1.176817335</v>
      </c>
      <c r="S33" s="13">
        <v>5.1750039999999997E-2</v>
      </c>
      <c r="T33" s="14">
        <v>2.4520000000000001E-8</v>
      </c>
      <c r="U33" s="14">
        <v>2.2537899999999999E-9</v>
      </c>
      <c r="V33" s="14">
        <v>-8.1324199999999996E-5</v>
      </c>
      <c r="W33" s="15">
        <v>2.07118E-4</v>
      </c>
    </row>
    <row r="34" spans="1:23" x14ac:dyDescent="0.3">
      <c r="A34" s="17" t="s">
        <v>108</v>
      </c>
      <c r="C34" s="13">
        <v>96</v>
      </c>
      <c r="E34">
        <f t="shared" si="0"/>
        <v>96</v>
      </c>
      <c r="F34" s="13">
        <v>6.3623200000000004</v>
      </c>
      <c r="G34" s="13">
        <v>3454.0285389999999</v>
      </c>
      <c r="H34" s="13">
        <v>542888213.60000002</v>
      </c>
      <c r="I34" s="13">
        <v>88620.473299999998</v>
      </c>
      <c r="J34" s="13">
        <v>5.9301522000000002E-2</v>
      </c>
      <c r="K34" s="13">
        <v>5.9325899999999995E-4</v>
      </c>
      <c r="L34" s="14">
        <v>6.6600099999999996E-6</v>
      </c>
      <c r="M34" s="14">
        <v>1.2847599999999999E-7</v>
      </c>
      <c r="N34" s="14">
        <v>9.8985500000000003E-6</v>
      </c>
      <c r="O34" s="14">
        <v>8.0595900000000002E-7</v>
      </c>
      <c r="P34" s="13">
        <v>1.672511E-3</v>
      </c>
      <c r="Q34" s="13">
        <v>1.4468599999999999E-4</v>
      </c>
      <c r="R34" s="13">
        <v>2.3698088450000001</v>
      </c>
      <c r="S34" s="13">
        <v>5.4659183E-2</v>
      </c>
      <c r="T34" s="14">
        <v>2.44088E-8</v>
      </c>
      <c r="U34" s="14">
        <v>2.4369199999999999E-9</v>
      </c>
      <c r="V34" s="13">
        <v>-4.5081199999999998E-4</v>
      </c>
      <c r="W34" s="15">
        <v>1.9900399999999999E-4</v>
      </c>
    </row>
    <row r="35" spans="1:23" x14ac:dyDescent="0.3">
      <c r="A35" s="17" t="s">
        <v>108</v>
      </c>
      <c r="C35" s="13">
        <v>100</v>
      </c>
      <c r="E35">
        <f t="shared" si="0"/>
        <v>100</v>
      </c>
      <c r="F35" s="13">
        <v>6.3623200000000004</v>
      </c>
      <c r="G35" s="13">
        <v>3510.479366</v>
      </c>
      <c r="H35" s="13">
        <v>551760893.10000002</v>
      </c>
      <c r="I35" s="13">
        <v>22227.885289999998</v>
      </c>
      <c r="J35" s="13">
        <v>5.7309274E-2</v>
      </c>
      <c r="K35" s="13">
        <v>5.5130299999999995E-4</v>
      </c>
      <c r="L35" s="14">
        <v>6.3967600000000001E-6</v>
      </c>
      <c r="M35" s="14">
        <v>1.3419299999999999E-7</v>
      </c>
      <c r="N35" s="14">
        <v>5.8705199999999997E-6</v>
      </c>
      <c r="O35" s="14">
        <v>8.3365200000000001E-7</v>
      </c>
      <c r="P35" s="13">
        <v>3.61553E-3</v>
      </c>
      <c r="Q35" s="13">
        <v>1.38617E-4</v>
      </c>
      <c r="R35" s="13">
        <v>-9.2684755999999993E-2</v>
      </c>
      <c r="S35" s="13">
        <v>2.5401902000000001E-2</v>
      </c>
      <c r="T35" s="14">
        <v>2.55317E-8</v>
      </c>
      <c r="U35" s="14">
        <v>1.1861799999999999E-9</v>
      </c>
      <c r="V35" s="13">
        <v>-8.3247699999999998E-4</v>
      </c>
      <c r="W35" s="15">
        <v>2.2430099999999999E-4</v>
      </c>
    </row>
    <row r="36" spans="1:23" x14ac:dyDescent="0.3">
      <c r="A36" s="17" t="s">
        <v>108</v>
      </c>
      <c r="C36" s="13">
        <v>104</v>
      </c>
      <c r="E36">
        <f t="shared" si="0"/>
        <v>104</v>
      </c>
      <c r="F36" s="13">
        <v>6.3623200000000004</v>
      </c>
      <c r="G36" s="13">
        <v>3523.3606770000001</v>
      </c>
      <c r="H36" s="13">
        <v>553785518</v>
      </c>
      <c r="I36" s="13">
        <v>34628.700810000002</v>
      </c>
      <c r="J36" s="13">
        <v>5.4134925E-2</v>
      </c>
      <c r="K36" s="13">
        <v>5.2461000000000001E-4</v>
      </c>
      <c r="L36" s="14">
        <v>6.4415099999999999E-6</v>
      </c>
      <c r="M36" s="14">
        <v>1.3118399999999999E-7</v>
      </c>
      <c r="N36" s="14">
        <v>7.5413199999999998E-6</v>
      </c>
      <c r="O36" s="14">
        <v>8.2178200000000005E-7</v>
      </c>
      <c r="P36" s="13">
        <v>2.10334E-3</v>
      </c>
      <c r="Q36" s="13">
        <v>1.17052E-4</v>
      </c>
      <c r="R36" s="13">
        <v>-1.208691889</v>
      </c>
      <c r="S36" s="13">
        <v>3.6642684000000002E-2</v>
      </c>
      <c r="T36" s="14">
        <v>2.8428300000000001E-8</v>
      </c>
      <c r="U36" s="14">
        <v>1.9245499999999999E-9</v>
      </c>
      <c r="V36" s="13">
        <v>-2.4857999999999998E-4</v>
      </c>
      <c r="W36" s="15">
        <v>2.0123499999999999E-4</v>
      </c>
    </row>
    <row r="37" spans="1:23" x14ac:dyDescent="0.3">
      <c r="A37" s="17" t="s">
        <v>108</v>
      </c>
      <c r="C37" s="13">
        <v>108</v>
      </c>
      <c r="E37">
        <f t="shared" si="0"/>
        <v>108</v>
      </c>
      <c r="F37" s="13">
        <v>6.3623200000000004</v>
      </c>
      <c r="G37" s="13">
        <v>3521.1461380000001</v>
      </c>
      <c r="H37" s="13">
        <v>553437447</v>
      </c>
      <c r="I37" s="13">
        <v>354696.82630000002</v>
      </c>
      <c r="J37" s="13">
        <v>5.9256495999999999E-2</v>
      </c>
      <c r="K37" s="13">
        <v>6.6819500000000001E-4</v>
      </c>
      <c r="L37" s="14">
        <v>6.5671500000000003E-6</v>
      </c>
      <c r="M37" s="14">
        <v>1.3709099999999999E-7</v>
      </c>
      <c r="N37" s="14">
        <v>9.0101899999999999E-6</v>
      </c>
      <c r="O37" s="14">
        <v>9.3739799999999996E-7</v>
      </c>
      <c r="P37" s="13">
        <v>1.9290080000000001E-3</v>
      </c>
      <c r="Q37" s="13">
        <v>1.6999199999999999E-4</v>
      </c>
      <c r="R37" s="13">
        <v>0.28268472500000003</v>
      </c>
      <c r="S37" s="13">
        <v>5.5820409000000001E-2</v>
      </c>
      <c r="T37" s="14">
        <v>2.2013E-8</v>
      </c>
      <c r="U37" s="14">
        <v>2.1225300000000001E-9</v>
      </c>
      <c r="V37" s="13">
        <v>-8.94658E-4</v>
      </c>
      <c r="W37" s="15">
        <v>2.14637E-4</v>
      </c>
    </row>
    <row r="38" spans="1:23" x14ac:dyDescent="0.3">
      <c r="A38" s="17" t="s">
        <v>108</v>
      </c>
      <c r="C38" s="13">
        <v>112</v>
      </c>
      <c r="E38">
        <f t="shared" si="0"/>
        <v>112</v>
      </c>
      <c r="F38" s="13">
        <v>6.3623200000000004</v>
      </c>
      <c r="G38" s="13">
        <v>2928.924829</v>
      </c>
      <c r="H38" s="13">
        <v>460354843.69999999</v>
      </c>
      <c r="I38" s="13">
        <v>16487.216069999999</v>
      </c>
      <c r="J38" s="13">
        <v>5.7819150999999999E-2</v>
      </c>
      <c r="K38" s="13">
        <v>6.6412000000000003E-4</v>
      </c>
      <c r="L38" s="14">
        <v>6.4785400000000001E-6</v>
      </c>
      <c r="M38" s="14">
        <v>1.47185E-7</v>
      </c>
      <c r="N38" s="14">
        <v>4.1487099999999996E-6</v>
      </c>
      <c r="O38" s="14">
        <v>1.01309E-6</v>
      </c>
      <c r="P38" s="13">
        <v>4.0742759999999999E-3</v>
      </c>
      <c r="Q38" s="13">
        <v>1.3619399999999999E-4</v>
      </c>
      <c r="R38" s="13">
        <v>0.68310224100000005</v>
      </c>
      <c r="S38" s="13">
        <v>2.1349988E-2</v>
      </c>
      <c r="T38" s="14">
        <v>3.0559399999999998E-8</v>
      </c>
      <c r="U38" s="14">
        <v>1.2277300000000001E-9</v>
      </c>
      <c r="V38" s="13">
        <v>-4.3633799999999998E-4</v>
      </c>
      <c r="W38" s="15">
        <v>2.40184E-4</v>
      </c>
    </row>
    <row r="39" spans="1:23" x14ac:dyDescent="0.3">
      <c r="A39" s="17" t="s">
        <v>108</v>
      </c>
      <c r="C39" s="13">
        <v>116</v>
      </c>
      <c r="E39">
        <f t="shared" si="0"/>
        <v>116</v>
      </c>
      <c r="F39" s="13">
        <v>6.3623200000000004</v>
      </c>
      <c r="G39" s="13">
        <v>2993.7271959999998</v>
      </c>
      <c r="H39" s="13">
        <v>470540179.60000002</v>
      </c>
      <c r="I39" s="13">
        <v>12662.527480000001</v>
      </c>
      <c r="J39" s="13">
        <v>5.3618872999999997E-2</v>
      </c>
      <c r="K39" s="13">
        <v>5.7194199999999998E-4</v>
      </c>
      <c r="L39" s="14">
        <v>6.4007399999999998E-6</v>
      </c>
      <c r="M39" s="14">
        <v>1.4131000000000001E-7</v>
      </c>
      <c r="N39" s="14">
        <v>1.1034399999999999E-6</v>
      </c>
      <c r="O39" s="14">
        <v>9.7763799999999996E-7</v>
      </c>
      <c r="P39" s="13">
        <v>5.717382E-3</v>
      </c>
      <c r="Q39" s="13">
        <v>1.4097E-4</v>
      </c>
      <c r="R39" s="13">
        <v>1.7488274290000001</v>
      </c>
      <c r="S39" s="13">
        <v>1.5854962E-2</v>
      </c>
      <c r="T39" s="14">
        <v>2.5729600000000001E-8</v>
      </c>
      <c r="U39" s="14">
        <v>7.5247300000000001E-10</v>
      </c>
      <c r="V39" s="13">
        <v>-3.9628999999999999E-4</v>
      </c>
      <c r="W39" s="15">
        <v>2.2373200000000001E-4</v>
      </c>
    </row>
    <row r="40" spans="1:23" x14ac:dyDescent="0.3">
      <c r="A40" s="17" t="s">
        <v>108</v>
      </c>
      <c r="C40" s="13">
        <v>120</v>
      </c>
      <c r="E40">
        <f t="shared" si="0"/>
        <v>120</v>
      </c>
      <c r="F40" s="13">
        <v>6.3623200000000004</v>
      </c>
      <c r="G40" s="13">
        <v>3035.0224210000001</v>
      </c>
      <c r="H40" s="13">
        <v>477030771.89999998</v>
      </c>
      <c r="I40" s="13">
        <v>24311.69699</v>
      </c>
      <c r="J40" s="13">
        <v>5.3550256999999997E-2</v>
      </c>
      <c r="K40" s="13">
        <v>4.9849699999999998E-4</v>
      </c>
      <c r="L40" s="14">
        <v>6.1851600000000003E-6</v>
      </c>
      <c r="M40" s="14">
        <v>1.3072E-7</v>
      </c>
      <c r="N40" s="14">
        <v>2.2291099999999998E-6</v>
      </c>
      <c r="O40" s="14">
        <v>8.63129E-7</v>
      </c>
      <c r="P40" s="13">
        <v>3.4357540000000001E-3</v>
      </c>
      <c r="Q40" s="13">
        <v>1.31361E-4</v>
      </c>
      <c r="R40" s="13">
        <v>2.3300738920000001</v>
      </c>
      <c r="S40" s="13">
        <v>2.4745532000000001E-2</v>
      </c>
      <c r="T40" s="14">
        <v>2.5389399999999998E-8</v>
      </c>
      <c r="U40" s="14">
        <v>1.16146E-9</v>
      </c>
      <c r="V40" s="13">
        <v>-5.5166899999999997E-4</v>
      </c>
      <c r="W40" s="15">
        <v>2.1944400000000001E-4</v>
      </c>
    </row>
    <row r="41" spans="1:23" x14ac:dyDescent="0.3">
      <c r="A41" s="17" t="s">
        <v>108</v>
      </c>
      <c r="C41" s="13">
        <v>124</v>
      </c>
      <c r="E41">
        <f t="shared" si="0"/>
        <v>124</v>
      </c>
      <c r="F41" s="13">
        <v>6.3623200000000004</v>
      </c>
      <c r="G41" s="13">
        <v>3064.1191220000001</v>
      </c>
      <c r="H41" s="13">
        <v>481604056.69999999</v>
      </c>
      <c r="I41" s="13">
        <v>12043.281059999999</v>
      </c>
      <c r="J41" s="13">
        <v>5.2546120000000002E-2</v>
      </c>
      <c r="K41" s="14">
        <v>7.9797799999999997E-5</v>
      </c>
      <c r="L41" s="14">
        <v>6.4837799999999999E-6</v>
      </c>
      <c r="M41" s="14">
        <v>6.65432E-8</v>
      </c>
      <c r="N41" s="14">
        <v>4.1963300000000001E-9</v>
      </c>
      <c r="O41" s="13"/>
      <c r="P41" s="13">
        <v>4.4332360000000001E-3</v>
      </c>
      <c r="Q41" s="13">
        <v>1.2875500000000001E-4</v>
      </c>
      <c r="R41" s="13">
        <v>2.528650641</v>
      </c>
      <c r="S41" s="13">
        <v>1.8297101E-2</v>
      </c>
      <c r="T41" s="14">
        <v>2.9704900000000002E-8</v>
      </c>
      <c r="U41" s="14">
        <v>9.9823699999999993E-10</v>
      </c>
      <c r="V41" s="13">
        <v>-4.15905E-4</v>
      </c>
      <c r="W41" s="15">
        <v>1.27145E-4</v>
      </c>
    </row>
    <row r="42" spans="1:23" x14ac:dyDescent="0.3">
      <c r="A42" s="17" t="s">
        <v>108</v>
      </c>
      <c r="C42" s="13">
        <v>128</v>
      </c>
      <c r="E42">
        <f t="shared" si="0"/>
        <v>128</v>
      </c>
      <c r="F42" s="13">
        <v>6.3623200000000004</v>
      </c>
      <c r="G42" s="13">
        <v>3059.0998960000002</v>
      </c>
      <c r="H42" s="13">
        <v>480815158.10000002</v>
      </c>
      <c r="I42" s="13">
        <v>33979.272420000001</v>
      </c>
      <c r="J42" s="13">
        <v>4.7467792000000002E-2</v>
      </c>
      <c r="K42" s="14">
        <v>7.0823799999999998E-5</v>
      </c>
      <c r="L42" s="14">
        <v>6.5293399999999997E-6</v>
      </c>
      <c r="M42" s="14">
        <v>6.5222800000000004E-8</v>
      </c>
      <c r="N42" s="14">
        <v>3.5064300000000002E-13</v>
      </c>
      <c r="O42" s="13"/>
      <c r="P42" s="13">
        <v>2.574518E-3</v>
      </c>
      <c r="Q42" s="13">
        <v>1.19335E-4</v>
      </c>
      <c r="R42" s="13">
        <v>-2.2475649729999998</v>
      </c>
      <c r="S42" s="13">
        <v>2.9362991000000001E-2</v>
      </c>
      <c r="T42" s="14">
        <v>2.76636E-8</v>
      </c>
      <c r="U42" s="14">
        <v>1.48477E-9</v>
      </c>
      <c r="V42" s="13">
        <v>1.9459999999999999E-4</v>
      </c>
      <c r="W42" s="15">
        <v>1.11804E-4</v>
      </c>
    </row>
    <row r="43" spans="1:23" x14ac:dyDescent="0.3">
      <c r="A43" s="17" t="s">
        <v>108</v>
      </c>
      <c r="C43" s="13">
        <v>132</v>
      </c>
      <c r="E43">
        <f t="shared" si="0"/>
        <v>132</v>
      </c>
      <c r="F43" s="13">
        <v>6.3623200000000004</v>
      </c>
      <c r="G43" s="13">
        <v>3010.0217269999998</v>
      </c>
      <c r="H43" s="13">
        <v>473101278.60000002</v>
      </c>
      <c r="I43" s="13">
        <v>16452.809649999999</v>
      </c>
      <c r="J43" s="13">
        <v>5.9824503000000001E-2</v>
      </c>
      <c r="K43" s="14">
        <v>7.8184399999999996E-5</v>
      </c>
      <c r="L43" s="14">
        <v>6.4083199999999998E-6</v>
      </c>
      <c r="M43" s="14">
        <v>5.80314E-8</v>
      </c>
      <c r="N43" s="14">
        <v>2.3283600000000002E-14</v>
      </c>
      <c r="O43" s="13"/>
      <c r="P43" s="13">
        <v>3.7928409999999999E-3</v>
      </c>
      <c r="Q43" s="13">
        <v>1.3280599999999999E-4</v>
      </c>
      <c r="R43" s="13">
        <v>1.447724612</v>
      </c>
      <c r="S43" s="13">
        <v>2.1177662E-2</v>
      </c>
      <c r="T43" s="14">
        <v>3.0231600000000001E-8</v>
      </c>
      <c r="U43" s="14">
        <v>1.17199E-9</v>
      </c>
      <c r="V43" s="13">
        <v>-9.0812200000000003E-4</v>
      </c>
      <c r="W43" s="15">
        <v>1.2711499999999999E-4</v>
      </c>
    </row>
    <row r="44" spans="1:23" x14ac:dyDescent="0.3">
      <c r="A44" s="17" t="s">
        <v>108</v>
      </c>
      <c r="C44" s="13">
        <v>136</v>
      </c>
      <c r="E44">
        <f t="shared" si="0"/>
        <v>136</v>
      </c>
      <c r="F44" s="13">
        <v>6.3623200000000004</v>
      </c>
      <c r="G44" s="13">
        <v>2956.084906</v>
      </c>
      <c r="H44" s="13">
        <v>464623738.80000001</v>
      </c>
      <c r="I44" s="13">
        <v>9378.0375409999997</v>
      </c>
      <c r="J44" s="13">
        <v>6.6795451000000006E-2</v>
      </c>
      <c r="K44" s="13">
        <v>5.6904299999999998E-4</v>
      </c>
      <c r="L44" s="14">
        <v>6.5615900000000001E-6</v>
      </c>
      <c r="M44" s="14">
        <v>1.12781E-7</v>
      </c>
      <c r="N44" s="14">
        <v>7.9838300000000001E-6</v>
      </c>
      <c r="O44" s="14">
        <v>7.0928900000000005E-7</v>
      </c>
      <c r="P44" s="13">
        <v>6.2383100000000004E-3</v>
      </c>
      <c r="Q44" s="13">
        <v>1.3570499999999999E-4</v>
      </c>
      <c r="R44" s="13">
        <v>1.815692815</v>
      </c>
      <c r="S44" s="13">
        <v>1.3984606E-2</v>
      </c>
      <c r="T44" s="14">
        <v>2.57532E-8</v>
      </c>
      <c r="U44" s="14">
        <v>6.6262200000000005E-10</v>
      </c>
      <c r="V44" s="13">
        <v>-6.2128400000000005E-4</v>
      </c>
      <c r="W44" s="15">
        <v>2.0571899999999999E-4</v>
      </c>
    </row>
    <row r="45" spans="1:23" x14ac:dyDescent="0.3">
      <c r="A45" s="17" t="s">
        <v>108</v>
      </c>
      <c r="C45" s="13">
        <v>140</v>
      </c>
      <c r="E45">
        <f t="shared" si="0"/>
        <v>140</v>
      </c>
      <c r="F45" s="13">
        <v>6.3623200000000004</v>
      </c>
      <c r="G45" s="13">
        <v>2909.9287129999998</v>
      </c>
      <c r="H45" s="13">
        <v>457369122.10000002</v>
      </c>
      <c r="I45" s="13">
        <v>14377.519630000001</v>
      </c>
      <c r="J45" s="13">
        <v>6.4746891000000001E-2</v>
      </c>
      <c r="K45" s="13">
        <v>5.32129E-4</v>
      </c>
      <c r="L45" s="14">
        <v>6.0364000000000003E-6</v>
      </c>
      <c r="M45" s="14">
        <v>1.1764500000000001E-7</v>
      </c>
      <c r="N45" s="14">
        <v>7.13318E-6</v>
      </c>
      <c r="O45" s="14">
        <v>7.4043400000000002E-7</v>
      </c>
      <c r="P45" s="13">
        <v>4.7116880000000003E-3</v>
      </c>
      <c r="Q45" s="13">
        <v>1.38985E-4</v>
      </c>
      <c r="R45" s="13">
        <v>2.2304542220000001</v>
      </c>
      <c r="S45" s="13">
        <v>1.8989900000000001E-2</v>
      </c>
      <c r="T45" s="14">
        <v>2.5627799999999999E-8</v>
      </c>
      <c r="U45" s="14">
        <v>8.9379900000000005E-10</v>
      </c>
      <c r="V45" s="13">
        <v>-2.1553599999999998E-3</v>
      </c>
      <c r="W45" s="15">
        <v>2.4212699999999999E-4</v>
      </c>
    </row>
    <row r="46" spans="1:23" x14ac:dyDescent="0.3">
      <c r="A46" s="17" t="s">
        <v>108</v>
      </c>
      <c r="C46" s="13">
        <v>144</v>
      </c>
      <c r="E46">
        <f t="shared" si="0"/>
        <v>144</v>
      </c>
      <c r="F46" s="13">
        <v>6.3623200000000004</v>
      </c>
      <c r="G46" s="13">
        <v>2867.8370490000002</v>
      </c>
      <c r="H46" s="13">
        <v>450753349.19999999</v>
      </c>
      <c r="I46" s="13">
        <v>13254.543369999999</v>
      </c>
      <c r="J46" s="13">
        <v>5.9758841E-2</v>
      </c>
      <c r="K46" s="13">
        <v>6.7947999999999999E-4</v>
      </c>
      <c r="L46" s="14">
        <v>6.6753700000000001E-6</v>
      </c>
      <c r="M46" s="14">
        <v>1.32549E-7</v>
      </c>
      <c r="N46" s="14">
        <v>8.2963700000000003E-6</v>
      </c>
      <c r="O46" s="14">
        <v>9.4595599999999998E-7</v>
      </c>
      <c r="P46" s="13">
        <v>4.0322320000000002E-3</v>
      </c>
      <c r="Q46" s="13">
        <v>1.3343299999999999E-4</v>
      </c>
      <c r="R46" s="13">
        <v>-2.0851156369999999</v>
      </c>
      <c r="S46" s="13">
        <v>2.0749747999999998E-2</v>
      </c>
      <c r="T46" s="14">
        <v>2.82356E-8</v>
      </c>
      <c r="U46" s="14">
        <v>1.0649200000000001E-9</v>
      </c>
      <c r="V46" s="13">
        <v>-3.0078899999999998E-4</v>
      </c>
      <c r="W46" s="15">
        <v>2.0232200000000001E-4</v>
      </c>
    </row>
    <row r="47" spans="1:23" x14ac:dyDescent="0.3">
      <c r="A47" s="17" t="s">
        <v>108</v>
      </c>
      <c r="C47" s="13">
        <v>148</v>
      </c>
      <c r="E47">
        <f t="shared" si="0"/>
        <v>148</v>
      </c>
      <c r="F47" s="13">
        <v>6.3623200000000004</v>
      </c>
      <c r="G47" s="13">
        <v>2832.3881879999999</v>
      </c>
      <c r="H47" s="13">
        <v>445181661.5</v>
      </c>
      <c r="I47" s="13">
        <v>13478.77066</v>
      </c>
      <c r="J47" s="13">
        <v>5.8873698000000002E-2</v>
      </c>
      <c r="K47" s="13">
        <v>5.1935900000000005E-4</v>
      </c>
      <c r="L47" s="14">
        <v>6.8389099999999997E-6</v>
      </c>
      <c r="M47" s="14">
        <v>1.21365E-7</v>
      </c>
      <c r="N47" s="14">
        <v>1.2075900000000001E-5</v>
      </c>
      <c r="O47" s="14">
        <v>6.6927199999999996E-7</v>
      </c>
      <c r="P47" s="13">
        <v>3.4579760000000002E-3</v>
      </c>
      <c r="Q47" s="13">
        <v>1.09752E-4</v>
      </c>
      <c r="R47" s="13">
        <v>-2.680169759</v>
      </c>
      <c r="S47" s="13">
        <v>2.0997069E-2</v>
      </c>
      <c r="T47" s="14">
        <v>3.0357300000000001E-8</v>
      </c>
      <c r="U47" s="14">
        <v>1.2054E-9</v>
      </c>
      <c r="V47" s="13">
        <v>1.2157799999999999E-4</v>
      </c>
      <c r="W47" s="15">
        <v>1.8033200000000001E-4</v>
      </c>
    </row>
    <row r="48" spans="1:23" x14ac:dyDescent="0.3">
      <c r="A48" s="17" t="s">
        <v>108</v>
      </c>
      <c r="C48" s="13">
        <v>152</v>
      </c>
      <c r="E48">
        <f t="shared" si="0"/>
        <v>152</v>
      </c>
      <c r="F48" s="13">
        <v>6.3623200000000004</v>
      </c>
      <c r="G48" s="13">
        <v>2785.2873599999998</v>
      </c>
      <c r="H48" s="13">
        <v>437778571.30000001</v>
      </c>
      <c r="I48" s="13">
        <v>22243.891940000001</v>
      </c>
      <c r="J48" s="13">
        <v>5.9121604000000001E-2</v>
      </c>
      <c r="K48" s="13">
        <v>5.8992799999999998E-4</v>
      </c>
      <c r="L48" s="14">
        <v>6.5040099999999998E-6</v>
      </c>
      <c r="M48" s="14">
        <v>1.2007399999999999E-7</v>
      </c>
      <c r="N48" s="14">
        <v>8.9675500000000002E-6</v>
      </c>
      <c r="O48" s="14">
        <v>8.3820799999999998E-7</v>
      </c>
      <c r="P48" s="13">
        <v>2.5601E-3</v>
      </c>
      <c r="Q48" s="13">
        <v>1.10952E-4</v>
      </c>
      <c r="R48" s="13">
        <v>-0.81162639599999997</v>
      </c>
      <c r="S48" s="13">
        <v>2.7499837999999999E-2</v>
      </c>
      <c r="T48" s="14">
        <v>3.05964E-8</v>
      </c>
      <c r="U48" s="14">
        <v>1.54578E-9</v>
      </c>
      <c r="V48" s="14">
        <v>-4.8892199999999999E-5</v>
      </c>
      <c r="W48" s="15">
        <v>1.89903E-4</v>
      </c>
    </row>
    <row r="49" spans="1:23" x14ac:dyDescent="0.3">
      <c r="A49" s="17" t="s">
        <v>108</v>
      </c>
      <c r="C49" s="13">
        <v>156</v>
      </c>
      <c r="E49">
        <f t="shared" si="0"/>
        <v>156</v>
      </c>
      <c r="F49" s="13">
        <v>6.3623200000000004</v>
      </c>
      <c r="G49" s="13">
        <v>2757.442865</v>
      </c>
      <c r="H49" s="13">
        <v>433402102.60000002</v>
      </c>
      <c r="I49" s="13">
        <v>42043.230839999997</v>
      </c>
      <c r="J49" s="13">
        <v>4.9696445999999998E-2</v>
      </c>
      <c r="K49" s="14">
        <v>7.0950000000000003E-5</v>
      </c>
      <c r="L49" s="14">
        <v>6.3627500000000002E-6</v>
      </c>
      <c r="M49" s="14">
        <v>6.1618599999999996E-8</v>
      </c>
      <c r="N49" s="14">
        <v>5.7152500000000005E-10</v>
      </c>
      <c r="O49" s="13"/>
      <c r="P49" s="13">
        <v>2.6231370000000002E-3</v>
      </c>
      <c r="Q49" s="13">
        <v>1.2949899999999999E-4</v>
      </c>
      <c r="R49" s="13">
        <v>-0.70591898200000003</v>
      </c>
      <c r="S49" s="13">
        <v>3.1255750999999998E-2</v>
      </c>
      <c r="T49" s="14">
        <v>2.54303E-8</v>
      </c>
      <c r="U49" s="14">
        <v>1.4008899999999999E-9</v>
      </c>
      <c r="V49" s="13">
        <v>1.4106399999999999E-4</v>
      </c>
      <c r="W49" s="15">
        <v>1.14595E-4</v>
      </c>
    </row>
    <row r="50" spans="1:23" x14ac:dyDescent="0.3">
      <c r="A50" s="17" t="s">
        <v>108</v>
      </c>
      <c r="C50" s="13">
        <v>160</v>
      </c>
      <c r="E50">
        <f t="shared" si="0"/>
        <v>160</v>
      </c>
      <c r="F50" s="13">
        <v>6.3623200000000004</v>
      </c>
      <c r="G50" s="13">
        <v>2758.3473220000001</v>
      </c>
      <c r="H50" s="13">
        <v>433544260.89999998</v>
      </c>
      <c r="I50" s="13">
        <v>25746.154780000001</v>
      </c>
      <c r="J50" s="13">
        <v>4.9499634000000001E-2</v>
      </c>
      <c r="K50" s="14">
        <v>8.0437699999999997E-5</v>
      </c>
      <c r="L50" s="14">
        <v>6.1027699999999998E-6</v>
      </c>
      <c r="M50" s="14">
        <v>6.4747200000000002E-8</v>
      </c>
      <c r="N50" s="14">
        <v>9.2702000000000002E-13</v>
      </c>
      <c r="O50" s="13"/>
      <c r="P50" s="13">
        <v>2.5030489999999998E-3</v>
      </c>
      <c r="Q50" s="13">
        <v>1.1195499999999999E-4</v>
      </c>
      <c r="R50" s="13">
        <v>2.1130523700000001</v>
      </c>
      <c r="S50" s="13">
        <v>2.8988223E-2</v>
      </c>
      <c r="T50" s="14">
        <v>3.0195699999999998E-8</v>
      </c>
      <c r="U50" s="14">
        <v>1.6219400000000001E-9</v>
      </c>
      <c r="V50" s="13">
        <v>-3.6460600000000001E-4</v>
      </c>
      <c r="W50" s="15">
        <v>1.29777E-4</v>
      </c>
    </row>
    <row r="51" spans="1:23" x14ac:dyDescent="0.3">
      <c r="A51" s="17" t="s">
        <v>108</v>
      </c>
      <c r="C51" s="13">
        <v>164</v>
      </c>
      <c r="E51">
        <f t="shared" si="0"/>
        <v>164</v>
      </c>
      <c r="F51" s="13">
        <v>6.3623200000000004</v>
      </c>
      <c r="G51" s="13">
        <v>2771.1630660000001</v>
      </c>
      <c r="H51" s="13">
        <v>435558580.19999999</v>
      </c>
      <c r="I51" s="13">
        <v>38342.057070000003</v>
      </c>
      <c r="J51" s="13">
        <v>5.6318118E-2</v>
      </c>
      <c r="K51" s="14">
        <v>7.3973999999999993E-5</v>
      </c>
      <c r="L51" s="14">
        <v>6.5919600000000003E-6</v>
      </c>
      <c r="M51" s="14">
        <v>5.8226500000000002E-8</v>
      </c>
      <c r="N51" s="14">
        <v>1.31927E-10</v>
      </c>
      <c r="O51" s="13"/>
      <c r="P51" s="13">
        <v>2.8015409999999998E-3</v>
      </c>
      <c r="Q51" s="13">
        <v>1.3055099999999999E-4</v>
      </c>
      <c r="R51" s="13">
        <v>-0.27925907300000002</v>
      </c>
      <c r="S51" s="13">
        <v>2.9495873999999998E-2</v>
      </c>
      <c r="T51" s="14">
        <v>2.6845E-8</v>
      </c>
      <c r="U51" s="14">
        <v>1.4279600000000001E-9</v>
      </c>
      <c r="V51" s="13">
        <v>4.1805899999999998E-4</v>
      </c>
      <c r="W51" s="15">
        <v>1.16282E-4</v>
      </c>
    </row>
    <row r="52" spans="1:23" x14ac:dyDescent="0.3">
      <c r="A52" s="17" t="s">
        <v>108</v>
      </c>
      <c r="C52" s="13">
        <v>168</v>
      </c>
      <c r="E52">
        <f t="shared" si="0"/>
        <v>168</v>
      </c>
      <c r="F52" s="13">
        <v>6.3623200000000004</v>
      </c>
      <c r="G52" s="13">
        <v>2790.3039199999998</v>
      </c>
      <c r="H52" s="13">
        <v>438567050.89999998</v>
      </c>
      <c r="I52" s="13">
        <v>17697.16401</v>
      </c>
      <c r="J52" s="13">
        <v>6.6262705000000005E-2</v>
      </c>
      <c r="K52" s="13">
        <v>6.7294100000000003E-4</v>
      </c>
      <c r="L52" s="14">
        <v>6.1535700000000003E-6</v>
      </c>
      <c r="M52" s="14">
        <v>1.2589E-7</v>
      </c>
      <c r="N52" s="14">
        <v>6.7338099999999997E-6</v>
      </c>
      <c r="O52" s="14">
        <v>9.1419000000000001E-7</v>
      </c>
      <c r="P52" s="13">
        <v>2.959621E-3</v>
      </c>
      <c r="Q52" s="13">
        <v>1.22149E-4</v>
      </c>
      <c r="R52" s="13">
        <v>-1.786770204</v>
      </c>
      <c r="S52" s="13">
        <v>2.5926846999999999E-2</v>
      </c>
      <c r="T52" s="14">
        <v>3.3893999999999999E-8</v>
      </c>
      <c r="U52" s="14">
        <v>1.6490899999999999E-9</v>
      </c>
      <c r="V52" s="13">
        <v>-4.9688800000000002E-4</v>
      </c>
      <c r="W52" s="15">
        <v>2.4831099999999997E-4</v>
      </c>
    </row>
    <row r="53" spans="1:23" x14ac:dyDescent="0.3">
      <c r="A53" s="17" t="s">
        <v>108</v>
      </c>
      <c r="C53" s="13">
        <v>172</v>
      </c>
      <c r="E53">
        <f t="shared" si="0"/>
        <v>172</v>
      </c>
      <c r="F53" s="13">
        <v>6.3623200000000004</v>
      </c>
      <c r="G53" s="13">
        <v>2821.7763690000002</v>
      </c>
      <c r="H53" s="13">
        <v>443513744.89999998</v>
      </c>
      <c r="I53" s="13">
        <v>20359.805469999999</v>
      </c>
      <c r="J53" s="13">
        <v>6.6756062000000005E-2</v>
      </c>
      <c r="K53" s="13">
        <v>6.0184799999999999E-4</v>
      </c>
      <c r="L53" s="14">
        <v>5.7928099999999997E-6</v>
      </c>
      <c r="M53" s="14">
        <v>1.18633E-7</v>
      </c>
      <c r="N53" s="14">
        <v>4.7670100000000001E-6</v>
      </c>
      <c r="O53" s="14">
        <v>8.7056000000000003E-7</v>
      </c>
      <c r="P53" s="13">
        <v>3.1244010000000002E-3</v>
      </c>
      <c r="Q53" s="13">
        <v>1.2687899999999999E-4</v>
      </c>
      <c r="R53" s="13">
        <v>-1.551806427</v>
      </c>
      <c r="S53" s="13">
        <v>2.5638869000000002E-2</v>
      </c>
      <c r="T53" s="14">
        <v>3.0712599999999997E-8</v>
      </c>
      <c r="U53" s="14">
        <v>1.44904E-9</v>
      </c>
      <c r="V53" s="13">
        <v>-1.7575049999999999E-3</v>
      </c>
      <c r="W53" s="15">
        <v>2.6503600000000002E-4</v>
      </c>
    </row>
    <row r="54" spans="1:23" x14ac:dyDescent="0.3">
      <c r="A54" s="17" t="s">
        <v>108</v>
      </c>
      <c r="C54" s="13">
        <v>176</v>
      </c>
      <c r="E54">
        <f t="shared" si="0"/>
        <v>176</v>
      </c>
      <c r="F54" s="13">
        <v>6.3623200000000004</v>
      </c>
      <c r="G54" s="13">
        <v>2860.996889</v>
      </c>
      <c r="H54" s="13">
        <v>449678244.60000002</v>
      </c>
      <c r="I54" s="13">
        <v>20226.039489999999</v>
      </c>
      <c r="J54" s="13">
        <v>6.6402431999999997E-2</v>
      </c>
      <c r="K54" s="13">
        <v>6.5388700000000002E-4</v>
      </c>
      <c r="L54" s="14">
        <v>6.0768900000000004E-6</v>
      </c>
      <c r="M54" s="14">
        <v>1.2318E-7</v>
      </c>
      <c r="N54" s="14">
        <v>3.1809700000000001E-6</v>
      </c>
      <c r="O54" s="14">
        <v>9.2887499999999996E-7</v>
      </c>
      <c r="P54" s="13">
        <v>3.5358899999999999E-3</v>
      </c>
      <c r="Q54" s="13">
        <v>1.3889499999999999E-4</v>
      </c>
      <c r="R54" s="13">
        <v>-1.659229351</v>
      </c>
      <c r="S54" s="13">
        <v>2.4769467E-2</v>
      </c>
      <c r="T54" s="14">
        <v>2.8874999999999999E-8</v>
      </c>
      <c r="U54" s="14">
        <v>1.30452E-9</v>
      </c>
      <c r="V54" s="13">
        <v>-1.2918809999999999E-3</v>
      </c>
      <c r="W54" s="15">
        <v>2.5378800000000002E-4</v>
      </c>
    </row>
    <row r="55" spans="1:23" x14ac:dyDescent="0.3">
      <c r="A55" s="17" t="s">
        <v>108</v>
      </c>
      <c r="C55" s="13">
        <v>180</v>
      </c>
      <c r="E55">
        <f t="shared" si="0"/>
        <v>180</v>
      </c>
      <c r="F55" s="13">
        <v>6.3623200000000004</v>
      </c>
      <c r="G55" s="13">
        <v>2913.8749849999999</v>
      </c>
      <c r="H55" s="13">
        <v>457989378.89999998</v>
      </c>
      <c r="I55" s="13">
        <v>27957.013220000001</v>
      </c>
      <c r="J55" s="13">
        <v>6.1282346000000001E-2</v>
      </c>
      <c r="K55" s="14">
        <v>8.7684300000000003E-5</v>
      </c>
      <c r="L55" s="14">
        <v>5.8576700000000003E-6</v>
      </c>
      <c r="M55" s="14">
        <v>5.5153300000000001E-8</v>
      </c>
      <c r="N55" s="14">
        <v>3.5407999999999999E-13</v>
      </c>
      <c r="O55" s="13"/>
      <c r="P55" s="13">
        <v>4.2714220000000004E-3</v>
      </c>
      <c r="Q55" s="13">
        <v>1.5244E-4</v>
      </c>
      <c r="R55" s="13">
        <v>-2.0316297040000002</v>
      </c>
      <c r="S55" s="13">
        <v>2.2554048E-2</v>
      </c>
      <c r="T55" s="14">
        <v>2.3752E-8</v>
      </c>
      <c r="U55" s="14">
        <v>9.3289599999999992E-10</v>
      </c>
      <c r="V55" s="13">
        <v>-1.017245E-3</v>
      </c>
      <c r="W55" s="15">
        <v>1.44456E-4</v>
      </c>
    </row>
    <row r="56" spans="1:23" x14ac:dyDescent="0.3">
      <c r="A56" s="17" t="s">
        <v>109</v>
      </c>
      <c r="C56" s="10">
        <v>-4</v>
      </c>
      <c r="E56" s="21">
        <f>C56-4</f>
        <v>-8</v>
      </c>
      <c r="F56" s="3">
        <v>6.37493</v>
      </c>
      <c r="G56" s="16">
        <v>2842.54</v>
      </c>
      <c r="H56" s="18">
        <v>445894000</v>
      </c>
      <c r="I56" s="18">
        <v>10439.700000000001</v>
      </c>
      <c r="J56" s="3">
        <v>8.9320463000000003E-2</v>
      </c>
      <c r="K56" s="3">
        <v>6.7269336E-4</v>
      </c>
      <c r="L56" s="18">
        <v>7.1181789999999999E-6</v>
      </c>
      <c r="M56" s="18">
        <v>9.5362245999999996E-8</v>
      </c>
      <c r="N56" s="18">
        <v>1.1450876E-5</v>
      </c>
      <c r="O56" s="18">
        <v>5.6716369999999998E-7</v>
      </c>
      <c r="P56" s="3">
        <v>6.8573608000000001E-3</v>
      </c>
      <c r="Q56" s="3">
        <v>1.3789520999999999E-4</v>
      </c>
      <c r="R56" s="3">
        <v>2.6336835999999999</v>
      </c>
      <c r="S56" s="3">
        <v>1.2922172000000001E-2</v>
      </c>
      <c r="T56" s="18">
        <v>2.8287149999999999E-8</v>
      </c>
      <c r="U56" s="18">
        <v>6.8329942000000001E-10</v>
      </c>
      <c r="V56" s="3">
        <v>6.5510673000000004E-4</v>
      </c>
      <c r="W56" s="3">
        <v>1.9797101000000001E-4</v>
      </c>
    </row>
    <row r="57" spans="1:23" x14ac:dyDescent="0.3">
      <c r="A57" s="17" t="s">
        <v>109</v>
      </c>
      <c r="C57" s="10">
        <v>0</v>
      </c>
      <c r="E57" s="21">
        <f t="shared" ref="E57:E103" si="1">C57-4</f>
        <v>-4</v>
      </c>
      <c r="F57" s="3">
        <v>6.37493</v>
      </c>
      <c r="G57" s="16">
        <v>2895.29</v>
      </c>
      <c r="H57" s="18">
        <v>454169000</v>
      </c>
      <c r="I57" s="18">
        <v>12601.6</v>
      </c>
      <c r="J57" s="3">
        <v>0.10617472</v>
      </c>
      <c r="K57" s="3">
        <v>7.5072865999999995E-4</v>
      </c>
      <c r="L57" s="18">
        <v>7.1630977999999997E-6</v>
      </c>
      <c r="M57" s="18">
        <v>8.8772680000000001E-8</v>
      </c>
      <c r="N57" s="18">
        <v>1.3541147999999999E-5</v>
      </c>
      <c r="O57" s="18">
        <v>5.1695045999999995E-7</v>
      </c>
      <c r="P57" s="3">
        <v>1.0357481E-2</v>
      </c>
      <c r="Q57" s="3">
        <v>1.928578E-4</v>
      </c>
      <c r="R57" s="3">
        <v>1.7448722999999999</v>
      </c>
      <c r="S57" s="3">
        <v>1.1812543E-2</v>
      </c>
      <c r="T57" s="18">
        <v>2.1329069000000001E-8</v>
      </c>
      <c r="U57" s="18">
        <v>4.4760122999999998E-10</v>
      </c>
      <c r="V57" s="3">
        <v>9.9583510000000007E-4</v>
      </c>
      <c r="W57" s="3">
        <v>2.1336673999999999E-4</v>
      </c>
    </row>
    <row r="58" spans="1:23" x14ac:dyDescent="0.3">
      <c r="A58" s="17" t="s">
        <v>109</v>
      </c>
      <c r="C58" s="10">
        <v>4</v>
      </c>
      <c r="E58" s="21">
        <f t="shared" si="1"/>
        <v>0</v>
      </c>
      <c r="F58" s="3">
        <v>6.37493</v>
      </c>
      <c r="G58" s="16">
        <v>2922.65</v>
      </c>
      <c r="H58" s="18">
        <v>458460000</v>
      </c>
      <c r="I58" s="18">
        <v>7862.43</v>
      </c>
      <c r="J58" s="3">
        <v>0.10282465</v>
      </c>
      <c r="K58" s="3">
        <v>7.0007337999999995E-4</v>
      </c>
      <c r="L58" s="18">
        <v>6.9967995999999999E-6</v>
      </c>
      <c r="M58" s="18">
        <v>8.6029787000000005E-8</v>
      </c>
      <c r="N58" s="18">
        <v>1.0992105E-5</v>
      </c>
      <c r="O58" s="18">
        <v>5.2344936999999998E-7</v>
      </c>
      <c r="P58" s="3">
        <v>9.7955451000000006E-3</v>
      </c>
      <c r="Q58" s="3">
        <v>1.4631366000000001E-4</v>
      </c>
      <c r="R58" s="3">
        <v>1.4233865999999999</v>
      </c>
      <c r="S58" s="3">
        <v>9.5532212999999994E-3</v>
      </c>
      <c r="T58" s="18">
        <v>2.7758522E-8</v>
      </c>
      <c r="U58" s="18">
        <v>4.9313352E-10</v>
      </c>
      <c r="V58" s="3">
        <v>5.6884917000000004E-4</v>
      </c>
      <c r="W58" s="3">
        <v>2.1180042999999999E-4</v>
      </c>
    </row>
    <row r="59" spans="1:23" x14ac:dyDescent="0.3">
      <c r="A59" s="17" t="s">
        <v>109</v>
      </c>
      <c r="C59" s="10">
        <v>8</v>
      </c>
      <c r="E59" s="21">
        <f t="shared" si="1"/>
        <v>4</v>
      </c>
      <c r="F59" s="3">
        <v>6.37493</v>
      </c>
      <c r="G59" s="16">
        <v>2961.21</v>
      </c>
      <c r="H59" s="18">
        <v>464508000</v>
      </c>
      <c r="I59" s="18">
        <v>6810.12</v>
      </c>
      <c r="J59" s="3">
        <v>8.9508878E-2</v>
      </c>
      <c r="K59" s="3">
        <v>5.9958432999999999E-4</v>
      </c>
      <c r="L59" s="18">
        <v>6.5580410000000002E-6</v>
      </c>
      <c r="M59" s="18">
        <v>8.8424502999999996E-8</v>
      </c>
      <c r="N59" s="18">
        <v>5.3780612000000001E-6</v>
      </c>
      <c r="O59" s="18">
        <v>5.769877E-7</v>
      </c>
      <c r="P59" s="3">
        <v>9.2353959999999999E-3</v>
      </c>
      <c r="Q59" s="3">
        <v>1.2880071E-4</v>
      </c>
      <c r="R59" s="3">
        <v>1.636811</v>
      </c>
      <c r="S59" s="3">
        <v>8.9685812000000007E-3</v>
      </c>
      <c r="T59" s="18">
        <v>2.9495701999999999E-8</v>
      </c>
      <c r="U59" s="18">
        <v>4.9761003000000003E-10</v>
      </c>
      <c r="V59" s="3">
        <v>-3.8474397000000003E-4</v>
      </c>
      <c r="W59" s="3">
        <v>2.1975074999999999E-4</v>
      </c>
    </row>
    <row r="60" spans="1:23" x14ac:dyDescent="0.3">
      <c r="A60" s="17" t="s">
        <v>109</v>
      </c>
      <c r="C60" s="10">
        <v>12</v>
      </c>
      <c r="E60" s="21">
        <f t="shared" si="1"/>
        <v>8</v>
      </c>
      <c r="F60" s="3">
        <v>6.37493</v>
      </c>
      <c r="G60" s="16">
        <v>2933.97</v>
      </c>
      <c r="H60" s="18">
        <v>460235000</v>
      </c>
      <c r="I60" s="18">
        <v>9630.7800000000007</v>
      </c>
      <c r="J60" s="3">
        <v>8.4979394E-2</v>
      </c>
      <c r="K60" s="3">
        <v>5.9665494999999995E-4</v>
      </c>
      <c r="L60" s="18">
        <v>6.6999478999999997E-6</v>
      </c>
      <c r="M60" s="18">
        <v>8.9172239000000006E-8</v>
      </c>
      <c r="N60" s="18">
        <v>5.8098442000000001E-6</v>
      </c>
      <c r="O60" s="18">
        <v>5.9406471000000005E-7</v>
      </c>
      <c r="P60" s="3">
        <v>8.7949850999999996E-3</v>
      </c>
      <c r="Q60" s="3">
        <v>1.3538895000000001E-4</v>
      </c>
      <c r="R60" s="3">
        <v>1.168647</v>
      </c>
      <c r="S60" s="3">
        <v>9.8378844E-3</v>
      </c>
      <c r="T60" s="18">
        <v>2.6210392E-8</v>
      </c>
      <c r="U60" s="18">
        <v>4.7368807000000003E-10</v>
      </c>
      <c r="V60" s="3">
        <v>1.902072E-4</v>
      </c>
      <c r="W60" s="3">
        <v>2.0082056999999999E-4</v>
      </c>
    </row>
    <row r="61" spans="1:23" x14ac:dyDescent="0.3">
      <c r="A61" s="17" t="s">
        <v>109</v>
      </c>
      <c r="C61" s="10">
        <v>16</v>
      </c>
      <c r="E61" s="21">
        <f t="shared" si="1"/>
        <v>12</v>
      </c>
      <c r="F61" s="3">
        <v>6.37493</v>
      </c>
      <c r="G61" s="16">
        <v>2908.49</v>
      </c>
      <c r="H61" s="18">
        <v>456238000</v>
      </c>
      <c r="I61" s="18">
        <v>5039.99</v>
      </c>
      <c r="J61" s="3">
        <v>8.7778122E-2</v>
      </c>
      <c r="K61" s="3">
        <v>6.3033413E-4</v>
      </c>
      <c r="L61" s="18">
        <v>6.9721110999999997E-6</v>
      </c>
      <c r="M61" s="18">
        <v>9.1640938000000007E-8</v>
      </c>
      <c r="N61" s="18">
        <v>1.0981148E-5</v>
      </c>
      <c r="O61" s="18">
        <v>5.5290303000000001E-7</v>
      </c>
      <c r="P61" s="3">
        <v>9.2991922000000005E-3</v>
      </c>
      <c r="Q61" s="3">
        <v>1.2301519E-4</v>
      </c>
      <c r="R61" s="3">
        <v>1.792376</v>
      </c>
      <c r="S61" s="3">
        <v>8.5054271000000008E-3</v>
      </c>
      <c r="T61" s="18">
        <v>3.0569389000000002E-8</v>
      </c>
      <c r="U61" s="18">
        <v>4.9065851000000002E-10</v>
      </c>
      <c r="V61" s="3">
        <v>4.9010676999999999E-4</v>
      </c>
      <c r="W61" s="3">
        <v>1.9429102E-4</v>
      </c>
    </row>
    <row r="62" spans="1:23" x14ac:dyDescent="0.3">
      <c r="A62" s="17" t="s">
        <v>109</v>
      </c>
      <c r="C62" s="10">
        <v>20</v>
      </c>
      <c r="E62" s="21">
        <f t="shared" si="1"/>
        <v>16</v>
      </c>
      <c r="F62" s="3">
        <v>6.37493</v>
      </c>
      <c r="G62" s="16">
        <v>2857.82</v>
      </c>
      <c r="H62" s="18">
        <v>448290000</v>
      </c>
      <c r="I62" s="18">
        <v>6803.18</v>
      </c>
      <c r="J62" s="3">
        <v>8.4898334000000006E-2</v>
      </c>
      <c r="K62" s="3">
        <v>6.1624095999999995E-4</v>
      </c>
      <c r="L62" s="18">
        <v>6.6596137999999998E-6</v>
      </c>
      <c r="M62" s="18">
        <v>9.3405556E-8</v>
      </c>
      <c r="N62" s="18">
        <v>5.6972913999999998E-6</v>
      </c>
      <c r="O62" s="18">
        <v>6.1720200999999998E-7</v>
      </c>
      <c r="P62" s="3">
        <v>9.1694854999999995E-3</v>
      </c>
      <c r="Q62" s="3">
        <v>1.2732891000000001E-4</v>
      </c>
      <c r="R62" s="3">
        <v>2.0045831000000001</v>
      </c>
      <c r="S62" s="3">
        <v>8.9193986999999992E-3</v>
      </c>
      <c r="T62" s="18">
        <v>2.9796895999999999E-8</v>
      </c>
      <c r="U62" s="18">
        <v>4.9863501999999999E-10</v>
      </c>
      <c r="V62" s="3">
        <v>-3.8958154999999998E-4</v>
      </c>
      <c r="W62" s="3">
        <v>2.1312351999999999E-4</v>
      </c>
    </row>
    <row r="63" spans="1:23" x14ac:dyDescent="0.3">
      <c r="A63" s="17" t="s">
        <v>109</v>
      </c>
      <c r="C63" s="10">
        <v>24</v>
      </c>
      <c r="E63" s="21">
        <f t="shared" si="1"/>
        <v>20</v>
      </c>
      <c r="F63" s="3">
        <v>6.37493</v>
      </c>
      <c r="G63" s="16">
        <v>2817.07</v>
      </c>
      <c r="H63" s="18">
        <v>441898000</v>
      </c>
      <c r="I63" s="18">
        <v>6466.69</v>
      </c>
      <c r="J63" s="3">
        <v>8.7906155999999999E-2</v>
      </c>
      <c r="K63" s="3">
        <v>6.2929988999999996E-4</v>
      </c>
      <c r="L63" s="18">
        <v>7.1673147000000004E-6</v>
      </c>
      <c r="M63" s="18">
        <v>8.8389370999999994E-8</v>
      </c>
      <c r="N63" s="18">
        <v>1.0164040000000001E-5</v>
      </c>
      <c r="O63" s="18">
        <v>5.4705392999999998E-7</v>
      </c>
      <c r="P63" s="3">
        <v>8.5003796999999996E-3</v>
      </c>
      <c r="Q63" s="3">
        <v>1.2196308E-4</v>
      </c>
      <c r="R63" s="3">
        <v>2.2593787000000001</v>
      </c>
      <c r="S63" s="3">
        <v>9.1934754999999993E-3</v>
      </c>
      <c r="T63" s="18">
        <v>2.9609053000000001E-8</v>
      </c>
      <c r="U63" s="18">
        <v>5.1096549999999996E-10</v>
      </c>
      <c r="V63" s="3">
        <v>8.6344872999999996E-4</v>
      </c>
      <c r="W63" s="3">
        <v>1.7868872E-4</v>
      </c>
    </row>
    <row r="64" spans="1:23" x14ac:dyDescent="0.3">
      <c r="A64" s="17" t="s">
        <v>109</v>
      </c>
      <c r="C64" s="10">
        <v>28</v>
      </c>
      <c r="E64" s="21">
        <f t="shared" si="1"/>
        <v>24</v>
      </c>
      <c r="F64" s="3">
        <v>6.37493</v>
      </c>
      <c r="G64" s="16">
        <v>2768.75</v>
      </c>
      <c r="H64" s="18">
        <v>434319000</v>
      </c>
      <c r="I64" s="18">
        <v>9123.6299999999992</v>
      </c>
      <c r="J64" s="3">
        <v>9.5866570999999998E-2</v>
      </c>
      <c r="K64" s="3">
        <v>6.5856769000000005E-4</v>
      </c>
      <c r="L64" s="18">
        <v>6.9089427000000003E-6</v>
      </c>
      <c r="M64" s="18">
        <v>8.5682568999999999E-8</v>
      </c>
      <c r="N64" s="18">
        <v>8.9284012E-6</v>
      </c>
      <c r="O64" s="18">
        <v>5.4831317999999996E-7</v>
      </c>
      <c r="P64" s="3">
        <v>8.2536749000000006E-3</v>
      </c>
      <c r="Q64" s="3">
        <v>1.3445562E-4</v>
      </c>
      <c r="R64" s="3">
        <v>2.1703223999999999</v>
      </c>
      <c r="S64" s="3">
        <v>1.0395704E-2</v>
      </c>
      <c r="T64" s="18">
        <v>2.852298E-8</v>
      </c>
      <c r="U64" s="18">
        <v>5.5182431999999997E-10</v>
      </c>
      <c r="V64" s="3">
        <v>3.2274867999999997E-4</v>
      </c>
      <c r="W64" s="3">
        <v>2.0248004999999999E-4</v>
      </c>
    </row>
    <row r="65" spans="1:23" x14ac:dyDescent="0.3">
      <c r="A65" s="17" t="s">
        <v>109</v>
      </c>
      <c r="C65" s="10">
        <v>32</v>
      </c>
      <c r="E65" s="21">
        <f t="shared" si="1"/>
        <v>28</v>
      </c>
      <c r="F65" s="3">
        <v>6.37493</v>
      </c>
      <c r="G65" s="16">
        <v>2747.92</v>
      </c>
      <c r="H65" s="18">
        <v>431052000</v>
      </c>
      <c r="I65" s="18">
        <v>7965.07</v>
      </c>
      <c r="J65" s="3">
        <v>9.1304494E-2</v>
      </c>
      <c r="K65" s="3">
        <v>6.3152939999999995E-4</v>
      </c>
      <c r="L65" s="18">
        <v>6.892781E-6</v>
      </c>
      <c r="M65" s="18">
        <v>8.7086720999999998E-8</v>
      </c>
      <c r="N65" s="18">
        <v>9.0508718000000002E-6</v>
      </c>
      <c r="O65" s="18">
        <v>5.5155504E-7</v>
      </c>
      <c r="P65" s="3">
        <v>8.1049794000000001E-3</v>
      </c>
      <c r="Q65" s="3">
        <v>1.2854562E-4</v>
      </c>
      <c r="R65" s="3">
        <v>2.5708666</v>
      </c>
      <c r="S65" s="3">
        <v>1.0134857000000001E-2</v>
      </c>
      <c r="T65" s="18">
        <v>2.8944840000000001E-8</v>
      </c>
      <c r="U65" s="18">
        <v>5.4817990000000003E-10</v>
      </c>
      <c r="V65" s="18">
        <v>4.1742281999999999E-5</v>
      </c>
      <c r="W65" s="3">
        <v>1.9714615000000001E-4</v>
      </c>
    </row>
    <row r="66" spans="1:23" x14ac:dyDescent="0.3">
      <c r="A66" s="17" t="s">
        <v>109</v>
      </c>
      <c r="C66" s="10">
        <v>36</v>
      </c>
      <c r="E66" s="21">
        <f t="shared" si="1"/>
        <v>32</v>
      </c>
      <c r="F66" s="3">
        <v>6.37493</v>
      </c>
      <c r="G66" s="16">
        <v>2728.73</v>
      </c>
      <c r="H66" s="18">
        <v>428040000</v>
      </c>
      <c r="I66" s="18">
        <v>7988.53</v>
      </c>
      <c r="J66" s="3">
        <v>9.4112797999999998E-2</v>
      </c>
      <c r="K66" s="3">
        <v>6.5288333000000003E-4</v>
      </c>
      <c r="L66" s="18">
        <v>6.9443876999999998E-6</v>
      </c>
      <c r="M66" s="18">
        <v>8.6854328999999994E-8</v>
      </c>
      <c r="N66" s="18">
        <v>1.0515884E-5</v>
      </c>
      <c r="O66" s="18">
        <v>5.4084459000000004E-7</v>
      </c>
      <c r="P66" s="3">
        <v>8.2462453999999994E-3</v>
      </c>
      <c r="Q66" s="3">
        <v>1.2871237E-4</v>
      </c>
      <c r="R66" s="3">
        <v>2.3863691</v>
      </c>
      <c r="S66" s="3">
        <v>9.9450184000000001E-3</v>
      </c>
      <c r="T66" s="18">
        <v>2.9647004999999999E-8</v>
      </c>
      <c r="U66" s="18">
        <v>5.5281368999999997E-10</v>
      </c>
      <c r="V66" s="3">
        <v>1.1472817E-3</v>
      </c>
      <c r="W66" s="3">
        <v>1.9812643000000001E-4</v>
      </c>
    </row>
    <row r="67" spans="1:23" x14ac:dyDescent="0.3">
      <c r="A67" s="17" t="s">
        <v>109</v>
      </c>
      <c r="C67" s="10">
        <v>40</v>
      </c>
      <c r="E67" s="21">
        <f t="shared" si="1"/>
        <v>36</v>
      </c>
      <c r="F67" s="3">
        <v>6.37493</v>
      </c>
      <c r="G67" s="16">
        <v>2707.55</v>
      </c>
      <c r="H67" s="18">
        <v>424718000</v>
      </c>
      <c r="I67" s="18">
        <v>10366</v>
      </c>
      <c r="J67" s="3">
        <v>9.4127085999999999E-2</v>
      </c>
      <c r="K67" s="3">
        <v>6.7686389999999997E-4</v>
      </c>
      <c r="L67" s="18">
        <v>6.8895939000000004E-6</v>
      </c>
      <c r="M67" s="18">
        <v>8.8560916999999998E-8</v>
      </c>
      <c r="N67" s="18">
        <v>8.2633067000000003E-6</v>
      </c>
      <c r="O67" s="18">
        <v>5.8129561000000001E-7</v>
      </c>
      <c r="P67" s="3">
        <v>9.1795789000000006E-3</v>
      </c>
      <c r="Q67" s="3">
        <v>1.4094735E-4</v>
      </c>
      <c r="R67" s="3">
        <v>2.1582308000000001</v>
      </c>
      <c r="S67" s="3">
        <v>9.7434554999999996E-3</v>
      </c>
      <c r="T67" s="18">
        <v>2.7536345E-8</v>
      </c>
      <c r="U67" s="18">
        <v>4.9543021000000002E-10</v>
      </c>
      <c r="V67" s="3">
        <v>7.6734112999999997E-4</v>
      </c>
      <c r="W67" s="3">
        <v>2.0651482000000001E-4</v>
      </c>
    </row>
    <row r="68" spans="1:23" x14ac:dyDescent="0.3">
      <c r="A68" s="17" t="s">
        <v>109</v>
      </c>
      <c r="C68" s="10">
        <v>44</v>
      </c>
      <c r="E68" s="21">
        <f t="shared" si="1"/>
        <v>40</v>
      </c>
      <c r="F68" s="3">
        <v>6.37493</v>
      </c>
      <c r="G68" s="16">
        <v>2729.34</v>
      </c>
      <c r="H68" s="18">
        <v>428137000</v>
      </c>
      <c r="I68" s="18">
        <v>8554.7099999999991</v>
      </c>
      <c r="J68" s="3">
        <v>8.8245197999999997E-2</v>
      </c>
      <c r="K68" s="3">
        <v>6.5661508000000005E-4</v>
      </c>
      <c r="L68" s="18">
        <v>7.0513402999999998E-6</v>
      </c>
      <c r="M68" s="18">
        <v>9.1282072999999997E-8</v>
      </c>
      <c r="N68" s="18">
        <v>8.9884927999999997E-6</v>
      </c>
      <c r="O68" s="18">
        <v>5.8510525E-7</v>
      </c>
      <c r="P68" s="3">
        <v>7.6634197000000001E-3</v>
      </c>
      <c r="Q68" s="3">
        <v>1.2983126999999999E-4</v>
      </c>
      <c r="R68" s="3">
        <v>2.464315</v>
      </c>
      <c r="S68" s="3">
        <v>1.0806988999999999E-2</v>
      </c>
      <c r="T68" s="18">
        <v>2.8983465000000002E-8</v>
      </c>
      <c r="U68" s="18">
        <v>5.8462187999999999E-10</v>
      </c>
      <c r="V68" s="3">
        <v>3.3069111999999999E-4</v>
      </c>
      <c r="W68" s="3">
        <v>1.9119047000000001E-4</v>
      </c>
    </row>
    <row r="69" spans="1:23" x14ac:dyDescent="0.3">
      <c r="A69" s="17" t="s">
        <v>109</v>
      </c>
      <c r="C69" s="10">
        <v>48</v>
      </c>
      <c r="E69" s="21">
        <f t="shared" si="1"/>
        <v>44</v>
      </c>
      <c r="F69" s="3">
        <v>6.37493</v>
      </c>
      <c r="G69" s="16">
        <v>2734.7</v>
      </c>
      <c r="H69" s="18">
        <v>428977000</v>
      </c>
      <c r="I69" s="18">
        <v>11523.4</v>
      </c>
      <c r="J69" s="3">
        <v>8.3794520999999997E-2</v>
      </c>
      <c r="K69" s="3">
        <v>6.6519614000000004E-4</v>
      </c>
      <c r="L69" s="18">
        <v>7.0791209999999996E-6</v>
      </c>
      <c r="M69" s="18">
        <v>9.5284881000000001E-8</v>
      </c>
      <c r="N69" s="18">
        <v>7.7688450000000007E-6</v>
      </c>
      <c r="O69" s="18">
        <v>6.3379328000000005E-7</v>
      </c>
      <c r="P69" s="3">
        <v>8.9746484000000001E-3</v>
      </c>
      <c r="Q69" s="3">
        <v>1.5641932999999999E-4</v>
      </c>
      <c r="R69" s="3">
        <v>1.9751981999999999</v>
      </c>
      <c r="S69" s="3">
        <v>1.0992834999999999E-2</v>
      </c>
      <c r="T69" s="18">
        <v>2.3279880999999999E-8</v>
      </c>
      <c r="U69" s="18">
        <v>4.5896394000000001E-10</v>
      </c>
      <c r="V69" s="3">
        <v>1.7947429999999999E-4</v>
      </c>
      <c r="W69" s="3">
        <v>1.8852741000000001E-4</v>
      </c>
    </row>
    <row r="70" spans="1:23" x14ac:dyDescent="0.3">
      <c r="A70" s="17" t="s">
        <v>109</v>
      </c>
      <c r="C70" s="10">
        <v>52</v>
      </c>
      <c r="E70" s="21">
        <f t="shared" si="1"/>
        <v>48</v>
      </c>
      <c r="F70" s="3">
        <v>6.37493</v>
      </c>
      <c r="G70" s="16">
        <v>2778.85</v>
      </c>
      <c r="H70" s="18">
        <v>435903000</v>
      </c>
      <c r="I70" s="18">
        <v>9432.9599999999991</v>
      </c>
      <c r="J70" s="3">
        <v>9.2553502999999995E-2</v>
      </c>
      <c r="K70" s="3">
        <v>6.5651355000000003E-4</v>
      </c>
      <c r="L70" s="18">
        <v>7.1526170999999997E-6</v>
      </c>
      <c r="M70" s="18">
        <v>8.7234699000000007E-8</v>
      </c>
      <c r="N70" s="18">
        <v>1.0461203000000001E-5</v>
      </c>
      <c r="O70" s="18">
        <v>5.4142972999999997E-7</v>
      </c>
      <c r="P70" s="3">
        <v>8.9735518999999996E-3</v>
      </c>
      <c r="Q70" s="3">
        <v>1.4155261999999999E-4</v>
      </c>
      <c r="R70" s="3">
        <v>2.2401515000000001</v>
      </c>
      <c r="S70" s="3">
        <v>1.0010096E-2</v>
      </c>
      <c r="T70" s="18">
        <v>2.5972822E-8</v>
      </c>
      <c r="U70" s="18">
        <v>4.7890618E-10</v>
      </c>
      <c r="V70" s="3">
        <v>7.8471151999999998E-4</v>
      </c>
      <c r="W70" s="3">
        <v>1.8569851999999999E-4</v>
      </c>
    </row>
    <row r="71" spans="1:23" x14ac:dyDescent="0.3">
      <c r="A71" s="17" t="s">
        <v>109</v>
      </c>
      <c r="C71" s="10">
        <v>56</v>
      </c>
      <c r="E71" s="21">
        <f t="shared" si="1"/>
        <v>52</v>
      </c>
      <c r="F71" s="3">
        <v>6.37493</v>
      </c>
      <c r="G71" s="16">
        <v>2825.01</v>
      </c>
      <c r="H71" s="18">
        <v>443143000</v>
      </c>
      <c r="I71" s="18">
        <v>6379.08</v>
      </c>
      <c r="J71" s="3">
        <v>8.9677111000000004E-2</v>
      </c>
      <c r="K71" s="3">
        <v>6.6724685999999995E-4</v>
      </c>
      <c r="L71" s="18">
        <v>7.3292142999999998E-6</v>
      </c>
      <c r="M71" s="18">
        <v>9.1307181000000006E-8</v>
      </c>
      <c r="N71" s="18">
        <v>1.5107125E-5</v>
      </c>
      <c r="O71" s="18">
        <v>5.2521899000000003E-7</v>
      </c>
      <c r="P71" s="3">
        <v>9.7018985000000002E-3</v>
      </c>
      <c r="Q71" s="3">
        <v>1.3890868E-4</v>
      </c>
      <c r="R71" s="3">
        <v>1.677997</v>
      </c>
      <c r="S71" s="3">
        <v>9.0948240999999992E-3</v>
      </c>
      <c r="T71" s="18">
        <v>2.6129678E-8</v>
      </c>
      <c r="U71" s="18">
        <v>4.3674973E-10</v>
      </c>
      <c r="V71" s="3">
        <v>1.2542562000000001E-3</v>
      </c>
      <c r="W71" s="3">
        <v>1.7541316999999999E-4</v>
      </c>
    </row>
    <row r="72" spans="1:23" x14ac:dyDescent="0.3">
      <c r="A72" s="17" t="s">
        <v>109</v>
      </c>
      <c r="C72" s="10">
        <v>60</v>
      </c>
      <c r="E72" s="21">
        <f t="shared" si="1"/>
        <v>56</v>
      </c>
      <c r="F72" s="3">
        <v>6.37493</v>
      </c>
      <c r="G72" s="16">
        <v>2870.69</v>
      </c>
      <c r="H72" s="18">
        <v>450308000</v>
      </c>
      <c r="I72" s="18">
        <v>6681.39</v>
      </c>
      <c r="J72" s="3">
        <v>0.10085381</v>
      </c>
      <c r="K72" s="3">
        <v>6.9600260000000002E-4</v>
      </c>
      <c r="L72" s="18">
        <v>6.9118524E-6</v>
      </c>
      <c r="M72" s="18">
        <v>8.7649926999999994E-8</v>
      </c>
      <c r="N72" s="18">
        <v>1.1326672E-5</v>
      </c>
      <c r="O72" s="18">
        <v>5.3366164000000005E-7</v>
      </c>
      <c r="P72" s="3">
        <v>1.0956923E-2</v>
      </c>
      <c r="Q72" s="3">
        <v>1.4834882E-4</v>
      </c>
      <c r="R72" s="3">
        <v>1.5310949</v>
      </c>
      <c r="S72" s="3">
        <v>8.6263924999999998E-3</v>
      </c>
      <c r="T72" s="18">
        <v>2.7315083E-8</v>
      </c>
      <c r="U72" s="18">
        <v>4.3686452E-10</v>
      </c>
      <c r="V72" s="3">
        <v>4.5067767E-4</v>
      </c>
      <c r="W72" s="3">
        <v>2.1569233E-4</v>
      </c>
    </row>
    <row r="73" spans="1:23" x14ac:dyDescent="0.3">
      <c r="A73" s="17" t="s">
        <v>109</v>
      </c>
      <c r="C73" s="10">
        <v>64</v>
      </c>
      <c r="E73" s="21">
        <f t="shared" si="1"/>
        <v>60</v>
      </c>
      <c r="F73" s="3">
        <v>6.37493</v>
      </c>
      <c r="G73" s="16">
        <v>2915.29</v>
      </c>
      <c r="H73" s="18">
        <v>457306000</v>
      </c>
      <c r="I73" s="18">
        <v>7231.4</v>
      </c>
      <c r="J73" s="3">
        <v>9.4956376999999995E-2</v>
      </c>
      <c r="K73" s="3">
        <v>7.2060896000000004E-4</v>
      </c>
      <c r="L73" s="18">
        <v>7.2989543999999997E-6</v>
      </c>
      <c r="M73" s="18">
        <v>9.2965556000000004E-8</v>
      </c>
      <c r="N73" s="18">
        <v>1.1379177E-5</v>
      </c>
      <c r="O73" s="18">
        <v>5.6377701000000004E-7</v>
      </c>
      <c r="P73" s="3">
        <v>1.1296318E-2</v>
      </c>
      <c r="Q73" s="3">
        <v>1.5232780000000001E-4</v>
      </c>
      <c r="R73" s="3">
        <v>1.4699381</v>
      </c>
      <c r="S73" s="3">
        <v>8.5980215000000006E-3</v>
      </c>
      <c r="T73" s="18">
        <v>2.6132322999999999E-8</v>
      </c>
      <c r="U73" s="18">
        <v>4.1428249000000002E-10</v>
      </c>
      <c r="V73" s="3">
        <v>8.6597344999999996E-4</v>
      </c>
      <c r="W73" s="3">
        <v>1.9510436999999999E-4</v>
      </c>
    </row>
    <row r="74" spans="1:23" x14ac:dyDescent="0.3">
      <c r="A74" s="17" t="s">
        <v>109</v>
      </c>
      <c r="C74" s="10">
        <v>68</v>
      </c>
      <c r="E74" s="21">
        <f t="shared" si="1"/>
        <v>64</v>
      </c>
      <c r="F74" s="3">
        <v>6.37493</v>
      </c>
      <c r="G74" s="16">
        <v>2960.07</v>
      </c>
      <c r="H74" s="18">
        <v>464330000</v>
      </c>
      <c r="I74" s="18">
        <v>4675.7</v>
      </c>
      <c r="J74" s="3">
        <v>9.1577972999999993E-2</v>
      </c>
      <c r="K74" s="3">
        <v>6.3534327000000002E-4</v>
      </c>
      <c r="L74" s="18">
        <v>7.4354129999999997E-6</v>
      </c>
      <c r="M74" s="18">
        <v>8.7072250999999998E-8</v>
      </c>
      <c r="N74" s="18">
        <v>1.4983811000000001E-5</v>
      </c>
      <c r="O74" s="18">
        <v>4.8208831999999999E-7</v>
      </c>
      <c r="P74" s="3">
        <v>9.6604644000000007E-3</v>
      </c>
      <c r="Q74" s="3">
        <v>1.2001360000000001E-4</v>
      </c>
      <c r="R74" s="3">
        <v>1.9950703999999999</v>
      </c>
      <c r="S74" s="3">
        <v>8.0213674999999995E-3</v>
      </c>
      <c r="T74" s="18">
        <v>3.0015925999999998E-8</v>
      </c>
      <c r="U74" s="18">
        <v>4.5404512000000002E-10</v>
      </c>
      <c r="V74" s="3">
        <v>8.4688359000000002E-4</v>
      </c>
      <c r="W74" s="3">
        <v>1.6818432000000001E-4</v>
      </c>
    </row>
    <row r="75" spans="1:23" x14ac:dyDescent="0.3">
      <c r="A75" s="17" t="s">
        <v>109</v>
      </c>
      <c r="C75" s="10">
        <v>72</v>
      </c>
      <c r="E75" s="21">
        <f t="shared" si="1"/>
        <v>68</v>
      </c>
      <c r="F75" s="3">
        <v>6.37493</v>
      </c>
      <c r="G75" s="16">
        <v>2976.03</v>
      </c>
      <c r="H75" s="18">
        <v>466834000</v>
      </c>
      <c r="I75" s="18">
        <v>5925.17</v>
      </c>
      <c r="J75" s="3">
        <v>7.8947545999999993E-2</v>
      </c>
      <c r="K75" s="3">
        <v>6.4411774000000001E-4</v>
      </c>
      <c r="L75" s="18">
        <v>7.5782564000000002E-6</v>
      </c>
      <c r="M75" s="18">
        <v>9.7574103E-8</v>
      </c>
      <c r="N75" s="18">
        <v>8.1356281000000004E-6</v>
      </c>
      <c r="O75" s="18">
        <v>6.1495423999999996E-7</v>
      </c>
      <c r="P75" s="3">
        <v>7.7111497999999999E-3</v>
      </c>
      <c r="Q75" s="3">
        <v>1.1382076E-4</v>
      </c>
      <c r="R75" s="3">
        <v>1.8974746</v>
      </c>
      <c r="S75" s="3">
        <v>9.5591267999999997E-3</v>
      </c>
      <c r="T75" s="18">
        <v>3.1941971000000003E-8</v>
      </c>
      <c r="U75" s="18">
        <v>5.8004769999999997E-10</v>
      </c>
      <c r="V75" s="3">
        <v>4.5171334999999997E-4</v>
      </c>
      <c r="W75" s="3">
        <v>1.6233923000000001E-4</v>
      </c>
    </row>
    <row r="76" spans="1:23" x14ac:dyDescent="0.3">
      <c r="A76" s="17" t="s">
        <v>109</v>
      </c>
      <c r="C76" s="10">
        <v>76</v>
      </c>
      <c r="E76" s="21">
        <f t="shared" si="1"/>
        <v>72</v>
      </c>
      <c r="F76" s="3">
        <v>6.37493</v>
      </c>
      <c r="G76" s="16">
        <v>2959.78</v>
      </c>
      <c r="H76" s="18">
        <v>464284000</v>
      </c>
      <c r="I76" s="18">
        <v>5789.98</v>
      </c>
      <c r="J76" s="3">
        <v>8.9934089999999994E-2</v>
      </c>
      <c r="K76" s="3">
        <v>6.6351333E-4</v>
      </c>
      <c r="L76" s="18">
        <v>7.3238515000000001E-6</v>
      </c>
      <c r="M76" s="18">
        <v>9.1056508999999998E-8</v>
      </c>
      <c r="N76" s="18">
        <v>1.3529873E-5</v>
      </c>
      <c r="O76" s="18">
        <v>5.3100810000000003E-7</v>
      </c>
      <c r="P76" s="3">
        <v>7.9136898000000001E-3</v>
      </c>
      <c r="Q76" s="3">
        <v>1.2272870999999999E-4</v>
      </c>
      <c r="R76" s="3">
        <v>1.1595909</v>
      </c>
      <c r="S76" s="3">
        <v>9.9694064000000002E-3</v>
      </c>
      <c r="T76" s="18">
        <v>3.0572817000000003E-8</v>
      </c>
      <c r="U76" s="18">
        <v>5.7391243000000001E-10</v>
      </c>
      <c r="V76" s="3">
        <v>6.2369553000000001E-4</v>
      </c>
      <c r="W76" s="3">
        <v>1.7782362000000001E-4</v>
      </c>
    </row>
    <row r="77" spans="1:23" x14ac:dyDescent="0.3">
      <c r="A77" s="17" t="s">
        <v>109</v>
      </c>
      <c r="C77" s="10">
        <v>80</v>
      </c>
      <c r="E77" s="21">
        <f t="shared" si="1"/>
        <v>76</v>
      </c>
      <c r="F77" s="3">
        <v>6.37493</v>
      </c>
      <c r="G77" s="16">
        <v>2914.14</v>
      </c>
      <c r="H77" s="18">
        <v>457125000</v>
      </c>
      <c r="I77" s="18">
        <v>10480.200000000001</v>
      </c>
      <c r="J77" s="3">
        <v>9.3093679999999998E-2</v>
      </c>
      <c r="K77" s="3">
        <v>6.6114828000000004E-4</v>
      </c>
      <c r="L77" s="18">
        <v>6.9578905999999997E-6</v>
      </c>
      <c r="M77" s="18">
        <v>9.1543290999999998E-8</v>
      </c>
      <c r="N77" s="18">
        <v>8.6084030000000003E-6</v>
      </c>
      <c r="O77" s="18">
        <v>5.6217858000000001E-7</v>
      </c>
      <c r="P77" s="3">
        <v>6.4721843999999999E-3</v>
      </c>
      <c r="Q77" s="3">
        <v>1.3665842999999999E-4</v>
      </c>
      <c r="R77" s="3">
        <v>2.4308968000000002</v>
      </c>
      <c r="S77" s="3">
        <v>1.3587268E-2</v>
      </c>
      <c r="T77" s="18">
        <v>2.9343952999999999E-8</v>
      </c>
      <c r="U77" s="18">
        <v>7.5275386000000004E-10</v>
      </c>
      <c r="V77" s="3">
        <v>1.3418691999999999E-4</v>
      </c>
      <c r="W77" s="3">
        <v>2.1019745000000001E-4</v>
      </c>
    </row>
    <row r="78" spans="1:23" x14ac:dyDescent="0.3">
      <c r="A78" s="17" t="s">
        <v>109</v>
      </c>
      <c r="C78" s="10">
        <v>84</v>
      </c>
      <c r="E78" s="21">
        <f t="shared" si="1"/>
        <v>80</v>
      </c>
      <c r="F78" s="3">
        <v>6.37493</v>
      </c>
      <c r="G78" s="16">
        <v>2868.23</v>
      </c>
      <c r="H78" s="18">
        <v>449924000</v>
      </c>
      <c r="I78" s="18">
        <v>15142.6</v>
      </c>
      <c r="J78" s="3">
        <v>8.9185229000000005E-2</v>
      </c>
      <c r="K78" s="3">
        <v>6.6776081999999997E-4</v>
      </c>
      <c r="L78" s="18">
        <v>7.1456960999999999E-6</v>
      </c>
      <c r="M78" s="18">
        <v>9.2739382999999994E-8</v>
      </c>
      <c r="N78" s="18">
        <v>7.7073071000000007E-6</v>
      </c>
      <c r="O78" s="18">
        <v>5.9000433E-7</v>
      </c>
      <c r="P78" s="3">
        <v>5.7445934000000002E-3</v>
      </c>
      <c r="Q78" s="3">
        <v>1.3576878000000001E-4</v>
      </c>
      <c r="R78" s="3">
        <v>2.4114469999999999</v>
      </c>
      <c r="S78" s="3">
        <v>1.5185534000000001E-2</v>
      </c>
      <c r="T78" s="18">
        <v>2.8464462000000001E-8</v>
      </c>
      <c r="U78" s="18">
        <v>8.0888486000000004E-10</v>
      </c>
      <c r="V78" s="3">
        <v>5.1991247000000005E-4</v>
      </c>
      <c r="W78" s="3">
        <v>1.9432506E-4</v>
      </c>
    </row>
    <row r="79" spans="1:23" x14ac:dyDescent="0.3">
      <c r="A79" s="17" t="s">
        <v>109</v>
      </c>
      <c r="C79" s="10">
        <v>88</v>
      </c>
      <c r="E79" s="21">
        <f t="shared" si="1"/>
        <v>84</v>
      </c>
      <c r="F79" s="3">
        <v>6.37493</v>
      </c>
      <c r="G79" s="16">
        <v>2802.99</v>
      </c>
      <c r="H79" s="18">
        <v>439690000</v>
      </c>
      <c r="I79" s="18">
        <v>24444.5</v>
      </c>
      <c r="J79" s="3">
        <v>8.6639331E-2</v>
      </c>
      <c r="K79" s="3">
        <v>8.4561681999999997E-4</v>
      </c>
      <c r="L79" s="18">
        <v>6.6211055000000001E-6</v>
      </c>
      <c r="M79" s="18">
        <v>1.2809877E-7</v>
      </c>
      <c r="N79" s="18">
        <v>5.5816998000000004E-6</v>
      </c>
      <c r="O79" s="18">
        <v>8.3264453999999997E-7</v>
      </c>
      <c r="P79" s="18">
        <v>9.6982637999999999E-7</v>
      </c>
      <c r="Q79" s="3">
        <v>1.0539172E-3</v>
      </c>
      <c r="R79" s="3">
        <v>-4.1739790000000001</v>
      </c>
      <c r="S79" s="3">
        <v>1066.1479999999999</v>
      </c>
      <c r="T79" s="18">
        <v>5.0218748E-9</v>
      </c>
      <c r="U79" s="3" t="s">
        <v>31</v>
      </c>
      <c r="V79" s="3">
        <v>-6.9444964999999998E-4</v>
      </c>
      <c r="W79" s="3">
        <v>3.0283395999999998E-4</v>
      </c>
    </row>
    <row r="80" spans="1:23" x14ac:dyDescent="0.3">
      <c r="A80" s="17" t="s">
        <v>109</v>
      </c>
      <c r="C80" s="10">
        <v>92</v>
      </c>
      <c r="E80" s="21">
        <f t="shared" si="1"/>
        <v>88</v>
      </c>
      <c r="F80" s="3">
        <v>6.37493</v>
      </c>
      <c r="G80" s="16">
        <v>3474.31</v>
      </c>
      <c r="H80" s="18">
        <v>544996000</v>
      </c>
      <c r="I80" s="18">
        <v>46461.7</v>
      </c>
      <c r="J80" s="3">
        <v>8.6585404000000005E-2</v>
      </c>
      <c r="K80" s="3">
        <v>7.5369184000000002E-4</v>
      </c>
      <c r="L80" s="18">
        <v>7.2236568E-6</v>
      </c>
      <c r="M80" s="18">
        <v>1.0689857E-7</v>
      </c>
      <c r="N80" s="18">
        <v>4.8079101999999999E-6</v>
      </c>
      <c r="O80" s="18">
        <v>7.0414718E-7</v>
      </c>
      <c r="P80" s="3">
        <v>4.6752240000000004E-3</v>
      </c>
      <c r="Q80" s="3">
        <v>1.8229594E-4</v>
      </c>
      <c r="R80" s="3">
        <v>-0.77169447999999996</v>
      </c>
      <c r="S80" s="3">
        <v>2.5618985E-2</v>
      </c>
      <c r="T80" s="18">
        <v>2.2801461000000002E-8</v>
      </c>
      <c r="U80" s="18">
        <v>1.0433912E-9</v>
      </c>
      <c r="V80" s="3">
        <v>1.3928996E-4</v>
      </c>
      <c r="W80" s="3">
        <v>2.1711262999999999E-4</v>
      </c>
    </row>
    <row r="81" spans="1:23" x14ac:dyDescent="0.3">
      <c r="A81" s="17" t="s">
        <v>109</v>
      </c>
      <c r="C81" s="10">
        <v>96</v>
      </c>
      <c r="E81" s="21">
        <f t="shared" si="1"/>
        <v>92</v>
      </c>
      <c r="F81" s="3">
        <v>6.37493</v>
      </c>
      <c r="G81" s="16">
        <v>3511.66</v>
      </c>
      <c r="H81" s="18">
        <v>550855000</v>
      </c>
      <c r="I81" s="18">
        <v>49982.6</v>
      </c>
      <c r="J81" s="3">
        <v>7.9992381000000001E-2</v>
      </c>
      <c r="K81" s="3">
        <v>7.7392048999999998E-4</v>
      </c>
      <c r="L81" s="18">
        <v>7.2014765000000003E-6</v>
      </c>
      <c r="M81" s="18">
        <v>1.1697823E-7</v>
      </c>
      <c r="N81" s="18">
        <v>2.5327130000000001E-6</v>
      </c>
      <c r="O81" s="18">
        <v>8.0691535999999998E-7</v>
      </c>
      <c r="P81" s="3">
        <v>3.5791512000000001E-3</v>
      </c>
      <c r="Q81" s="3">
        <v>1.6648623000000001E-4</v>
      </c>
      <c r="R81" s="3">
        <v>-1.3433204999999999</v>
      </c>
      <c r="S81" s="3">
        <v>3.0584005000000001E-2</v>
      </c>
      <c r="T81" s="18">
        <v>2.6106637E-8</v>
      </c>
      <c r="U81" s="18">
        <v>1.4562016999999999E-9</v>
      </c>
      <c r="V81" s="3">
        <v>3.8274385999999998E-4</v>
      </c>
      <c r="W81" s="3">
        <v>2.2262604E-4</v>
      </c>
    </row>
    <row r="82" spans="1:23" x14ac:dyDescent="0.3">
      <c r="A82" s="17" t="s">
        <v>109</v>
      </c>
      <c r="C82" s="10">
        <v>100</v>
      </c>
      <c r="E82" s="21">
        <f t="shared" si="1"/>
        <v>96</v>
      </c>
      <c r="F82" s="3">
        <v>6.37493</v>
      </c>
      <c r="G82" s="16">
        <v>3554.07</v>
      </c>
      <c r="H82" s="18">
        <v>557507000</v>
      </c>
      <c r="I82" s="18">
        <v>29665.5</v>
      </c>
      <c r="J82" s="3">
        <v>9.0677850000000004E-2</v>
      </c>
      <c r="K82" s="3">
        <v>8.8245282999999998E-4</v>
      </c>
      <c r="L82" s="18">
        <v>7.2178312000000003E-6</v>
      </c>
      <c r="M82" s="18">
        <v>1.2046146999999999E-7</v>
      </c>
      <c r="N82" s="18">
        <v>8.9869714999999992E-6</v>
      </c>
      <c r="O82" s="18">
        <v>7.4934870000000002E-7</v>
      </c>
      <c r="P82" s="3">
        <v>4.8558993E-3</v>
      </c>
      <c r="Q82" s="3">
        <v>1.8039715E-4</v>
      </c>
      <c r="R82" s="3">
        <v>-1.9842458999999999</v>
      </c>
      <c r="S82" s="3">
        <v>2.4401155000000001E-2</v>
      </c>
      <c r="T82" s="18">
        <v>2.7489702000000001E-8</v>
      </c>
      <c r="U82" s="18">
        <v>1.2313876999999999E-9</v>
      </c>
      <c r="V82" s="3">
        <v>5.3672992999999997E-4</v>
      </c>
      <c r="W82" s="3">
        <v>2.5045097000000002E-4</v>
      </c>
    </row>
    <row r="83" spans="1:23" x14ac:dyDescent="0.3">
      <c r="A83" s="17" t="s">
        <v>109</v>
      </c>
      <c r="C83" s="10">
        <v>104</v>
      </c>
      <c r="E83" s="21">
        <f t="shared" si="1"/>
        <v>100</v>
      </c>
      <c r="F83" s="3">
        <v>6.37493</v>
      </c>
      <c r="G83" s="16">
        <v>3591.21</v>
      </c>
      <c r="H83" s="18">
        <v>563334000</v>
      </c>
      <c r="I83" s="18">
        <v>63809.2</v>
      </c>
      <c r="J83" s="3">
        <v>7.9852393999999993E-2</v>
      </c>
      <c r="K83" s="3">
        <v>7.7034577000000004E-4</v>
      </c>
      <c r="L83" s="18">
        <v>7.2621835000000004E-6</v>
      </c>
      <c r="M83" s="18">
        <v>1.2024996E-7</v>
      </c>
      <c r="N83" s="18">
        <v>5.8800124999999996E-6</v>
      </c>
      <c r="O83" s="18">
        <v>7.6533374E-7</v>
      </c>
      <c r="P83" s="3">
        <v>2.6664156999999999E-3</v>
      </c>
      <c r="Q83" s="3">
        <v>1.5482606999999999E-4</v>
      </c>
      <c r="R83" s="3">
        <v>-0.80221176999999999</v>
      </c>
      <c r="S83" s="3">
        <v>3.8502224000000002E-2</v>
      </c>
      <c r="T83" s="18">
        <v>2.8809378999999998E-8</v>
      </c>
      <c r="U83" s="18">
        <v>2.0600637E-9</v>
      </c>
      <c r="V83" s="3">
        <v>3.6036826000000001E-4</v>
      </c>
      <c r="W83" s="3">
        <v>2.2283665E-4</v>
      </c>
    </row>
    <row r="84" spans="1:23" x14ac:dyDescent="0.3">
      <c r="A84" s="17" t="s">
        <v>109</v>
      </c>
      <c r="C84" s="10">
        <v>108</v>
      </c>
      <c r="E84" s="21">
        <f t="shared" si="1"/>
        <v>104</v>
      </c>
      <c r="F84" s="3">
        <v>6.37493</v>
      </c>
      <c r="G84" s="16">
        <v>3500.87</v>
      </c>
      <c r="H84" s="18">
        <v>549163000</v>
      </c>
      <c r="I84" s="18">
        <v>460787</v>
      </c>
      <c r="J84" s="3">
        <v>6.8444908999999998E-2</v>
      </c>
      <c r="K84" s="18">
        <v>9.8945528999999996E-5</v>
      </c>
      <c r="L84" s="18">
        <v>7.3720887000000002E-6</v>
      </c>
      <c r="M84" s="18">
        <v>6.7402009999999994E-8</v>
      </c>
      <c r="N84" s="18">
        <v>1.0928645999999999E-8</v>
      </c>
      <c r="O84" s="3" t="s">
        <v>31</v>
      </c>
      <c r="P84" s="3">
        <v>1.6686883999999999E-3</v>
      </c>
      <c r="Q84" s="3">
        <v>2.0799971000000001E-4</v>
      </c>
      <c r="R84" s="3">
        <v>-0.45562163</v>
      </c>
      <c r="S84" s="3">
        <v>7.9395579999999993E-2</v>
      </c>
      <c r="T84" s="18">
        <v>2.1625230000000001E-8</v>
      </c>
      <c r="U84" s="18">
        <v>3.0763142000000002E-9</v>
      </c>
      <c r="V84" s="3">
        <v>7.5308047999999997E-4</v>
      </c>
      <c r="W84" s="3">
        <v>1.3866504999999999E-4</v>
      </c>
    </row>
    <row r="85" spans="1:23" x14ac:dyDescent="0.3">
      <c r="A85" s="17" t="s">
        <v>109</v>
      </c>
      <c r="C85" s="10">
        <v>112</v>
      </c>
      <c r="E85" s="21">
        <f t="shared" si="1"/>
        <v>108</v>
      </c>
      <c r="F85" s="3">
        <v>6.37493</v>
      </c>
      <c r="G85" s="16">
        <v>2883.2</v>
      </c>
      <c r="H85" s="18">
        <v>452271000</v>
      </c>
      <c r="I85" s="18">
        <v>18095</v>
      </c>
      <c r="J85" s="3">
        <v>7.7002679000000004E-2</v>
      </c>
      <c r="K85" s="3">
        <v>7.0157711999999995E-4</v>
      </c>
      <c r="L85" s="18">
        <v>7.5900572000000001E-6</v>
      </c>
      <c r="M85" s="18">
        <v>1.0840457E-7</v>
      </c>
      <c r="N85" s="18">
        <v>7.7090110000000003E-6</v>
      </c>
      <c r="O85" s="18">
        <v>6.8980534999999997E-7</v>
      </c>
      <c r="P85" s="3">
        <v>5.1349146999999998E-3</v>
      </c>
      <c r="Q85" s="3">
        <v>1.4441167999999999E-4</v>
      </c>
      <c r="R85" s="3">
        <v>2.2979242000000002</v>
      </c>
      <c r="S85" s="3">
        <v>1.7952293000000001E-2</v>
      </c>
      <c r="T85" s="18">
        <v>2.6558316E-8</v>
      </c>
      <c r="U85" s="18">
        <v>8.8821537000000001E-10</v>
      </c>
      <c r="V85" s="3">
        <v>9.2964781000000004E-4</v>
      </c>
      <c r="W85" s="3">
        <v>1.7560146999999999E-4</v>
      </c>
    </row>
    <row r="86" spans="1:23" x14ac:dyDescent="0.3">
      <c r="A86" s="17" t="s">
        <v>109</v>
      </c>
      <c r="C86" s="10">
        <v>116</v>
      </c>
      <c r="E86" s="21">
        <f t="shared" si="1"/>
        <v>112</v>
      </c>
      <c r="F86" s="3">
        <v>6.37493</v>
      </c>
      <c r="G86" s="16">
        <v>2938.22</v>
      </c>
      <c r="H86" s="18">
        <v>460902000</v>
      </c>
      <c r="I86" s="18">
        <v>11733.5</v>
      </c>
      <c r="J86" s="3">
        <v>7.5714042999999995E-2</v>
      </c>
      <c r="K86" s="3">
        <v>6.2952823000000002E-4</v>
      </c>
      <c r="L86" s="18">
        <v>7.4132407000000003E-6</v>
      </c>
      <c r="M86" s="18">
        <v>9.8692021999999995E-8</v>
      </c>
      <c r="N86" s="18">
        <v>7.7318317000000005E-6</v>
      </c>
      <c r="O86" s="18">
        <v>6.4125173000000003E-7</v>
      </c>
      <c r="P86" s="3">
        <v>6.1699939999999998E-3</v>
      </c>
      <c r="Q86" s="3">
        <v>1.3001521000000001E-4</v>
      </c>
      <c r="R86" s="3">
        <v>1.3000769999999999</v>
      </c>
      <c r="S86" s="3">
        <v>1.3449957E-2</v>
      </c>
      <c r="T86" s="18">
        <v>2.6425107000000001E-8</v>
      </c>
      <c r="U86" s="18">
        <v>6.5617980000000004E-10</v>
      </c>
      <c r="V86" s="3">
        <v>7.6243299999999997E-4</v>
      </c>
      <c r="W86" s="3">
        <v>1.6320802999999999E-4</v>
      </c>
    </row>
    <row r="87" spans="1:23" x14ac:dyDescent="0.3">
      <c r="A87" s="17" t="s">
        <v>109</v>
      </c>
      <c r="C87" s="10">
        <v>120</v>
      </c>
      <c r="E87" s="21">
        <f t="shared" si="1"/>
        <v>116</v>
      </c>
      <c r="F87" s="3">
        <v>6.37493</v>
      </c>
      <c r="G87" s="16">
        <v>2955.42</v>
      </c>
      <c r="H87" s="18">
        <v>463600000</v>
      </c>
      <c r="I87" s="18">
        <v>10601.5</v>
      </c>
      <c r="J87" s="3">
        <v>8.3000578000000005E-2</v>
      </c>
      <c r="K87" s="3">
        <v>7.1696881999999999E-4</v>
      </c>
      <c r="L87" s="18">
        <v>7.7852394999999993E-6</v>
      </c>
      <c r="M87" s="18">
        <v>1.0085852E-7</v>
      </c>
      <c r="N87" s="18">
        <v>9.9138723999999999E-6</v>
      </c>
      <c r="O87" s="18">
        <v>6.2738097999999995E-7</v>
      </c>
      <c r="P87" s="3">
        <v>7.9729093000000008E-3</v>
      </c>
      <c r="Q87" s="3">
        <v>1.4525747E-4</v>
      </c>
      <c r="R87" s="3">
        <v>1.2299484999999999</v>
      </c>
      <c r="S87" s="3">
        <v>1.1584410999999999E-2</v>
      </c>
      <c r="T87" s="18">
        <v>2.5931496999999999E-8</v>
      </c>
      <c r="U87" s="18">
        <v>5.5567175000000005E-10</v>
      </c>
      <c r="V87" s="3">
        <v>7.804E-4</v>
      </c>
      <c r="W87" s="3">
        <v>1.6538455E-4</v>
      </c>
    </row>
    <row r="88" spans="1:23" x14ac:dyDescent="0.3">
      <c r="A88" s="17" t="s">
        <v>109</v>
      </c>
      <c r="C88" s="10">
        <v>124</v>
      </c>
      <c r="E88" s="21">
        <f t="shared" si="1"/>
        <v>120</v>
      </c>
      <c r="F88" s="3">
        <v>6.37493</v>
      </c>
      <c r="G88" s="16">
        <v>3060.88</v>
      </c>
      <c r="H88" s="18">
        <v>480144000</v>
      </c>
      <c r="I88" s="18">
        <v>5860.56</v>
      </c>
      <c r="J88" s="3">
        <v>8.3053089999999996E-2</v>
      </c>
      <c r="K88" s="3">
        <v>6.3447367999999997E-4</v>
      </c>
      <c r="L88" s="18">
        <v>7.8982571999999992E-6</v>
      </c>
      <c r="M88" s="18">
        <v>9.1993436000000002E-8</v>
      </c>
      <c r="N88" s="18">
        <v>1.2687637E-5</v>
      </c>
      <c r="O88" s="18">
        <v>5.2550214999999995E-7</v>
      </c>
      <c r="P88" s="3">
        <v>8.1036389999999993E-3</v>
      </c>
      <c r="Q88" s="3">
        <v>1.1916688E-4</v>
      </c>
      <c r="R88" s="3">
        <v>1.7240244</v>
      </c>
      <c r="S88" s="3">
        <v>9.5030306999999998E-3</v>
      </c>
      <c r="T88" s="18">
        <v>2.8782797999999999E-8</v>
      </c>
      <c r="U88" s="18">
        <v>5.1483958000000004E-10</v>
      </c>
      <c r="V88" s="3">
        <v>1.4234844E-3</v>
      </c>
      <c r="W88" s="3">
        <v>1.4603565000000001E-4</v>
      </c>
    </row>
    <row r="89" spans="1:23" x14ac:dyDescent="0.3">
      <c r="A89" s="17" t="s">
        <v>109</v>
      </c>
      <c r="C89" s="10">
        <v>128</v>
      </c>
      <c r="E89" s="21">
        <f t="shared" si="1"/>
        <v>124</v>
      </c>
      <c r="F89" s="3">
        <v>6.37493</v>
      </c>
      <c r="G89" s="16">
        <v>3071.2</v>
      </c>
      <c r="H89" s="18">
        <v>481762000</v>
      </c>
      <c r="I89" s="18">
        <v>4799.47</v>
      </c>
      <c r="J89" s="3">
        <v>9.1259836999999996E-2</v>
      </c>
      <c r="K89" s="3">
        <v>6.5462832E-4</v>
      </c>
      <c r="L89" s="18">
        <v>7.3815718999999999E-6</v>
      </c>
      <c r="M89" s="18">
        <v>8.6895863999999996E-8</v>
      </c>
      <c r="N89" s="18">
        <v>1.1113134999999999E-5</v>
      </c>
      <c r="O89" s="18">
        <v>5.3062741999999999E-7</v>
      </c>
      <c r="P89" s="3">
        <v>9.5574309000000003E-3</v>
      </c>
      <c r="Q89" s="3">
        <v>1.2206243E-4</v>
      </c>
      <c r="R89" s="3">
        <v>0.24605054000000001</v>
      </c>
      <c r="S89" s="3">
        <v>8.2044202999999993E-3</v>
      </c>
      <c r="T89" s="18">
        <v>3.0014690999999999E-8</v>
      </c>
      <c r="U89" s="18">
        <v>4.6257593999999998E-10</v>
      </c>
      <c r="V89" s="3">
        <v>4.1670675999999998E-4</v>
      </c>
      <c r="W89" s="3">
        <v>1.7170105000000001E-4</v>
      </c>
    </row>
    <row r="90" spans="1:23" x14ac:dyDescent="0.3">
      <c r="A90" s="17" t="s">
        <v>109</v>
      </c>
      <c r="C90" s="10">
        <v>132</v>
      </c>
      <c r="E90" s="21">
        <f t="shared" si="1"/>
        <v>128</v>
      </c>
      <c r="F90" s="3">
        <v>6.37493</v>
      </c>
      <c r="G90" s="16">
        <v>3060.57</v>
      </c>
      <c r="H90" s="18">
        <v>480095000</v>
      </c>
      <c r="I90" s="18">
        <v>5825.04</v>
      </c>
      <c r="J90" s="3">
        <v>7.2459270000000006E-2</v>
      </c>
      <c r="K90" s="18">
        <v>6.9313524999999995E-5</v>
      </c>
      <c r="L90" s="18">
        <v>7.4653826000000001E-6</v>
      </c>
      <c r="M90" s="18">
        <v>4.4733230000000001E-8</v>
      </c>
      <c r="N90" s="18">
        <v>1.5971369E-12</v>
      </c>
      <c r="O90" s="3" t="s">
        <v>31</v>
      </c>
      <c r="P90" s="3">
        <v>1.0089545E-2</v>
      </c>
      <c r="Q90" s="3">
        <v>1.1425018E-4</v>
      </c>
      <c r="R90" s="3">
        <v>1.8074585999999999</v>
      </c>
      <c r="S90" s="3">
        <v>7.3492282000000003E-3</v>
      </c>
      <c r="T90" s="18">
        <v>2.8286372999999999E-8</v>
      </c>
      <c r="U90" s="18">
        <v>3.8949072000000002E-10</v>
      </c>
      <c r="V90" s="3">
        <v>1.1818815E-3</v>
      </c>
      <c r="W90" s="18">
        <v>9.5797713000000002E-5</v>
      </c>
    </row>
    <row r="91" spans="1:23" x14ac:dyDescent="0.3">
      <c r="A91" s="17" t="s">
        <v>109</v>
      </c>
      <c r="C91" s="10">
        <v>136</v>
      </c>
      <c r="E91" s="21">
        <f t="shared" si="1"/>
        <v>132</v>
      </c>
      <c r="F91" s="3">
        <v>6.37493</v>
      </c>
      <c r="G91" s="16">
        <v>3021.78</v>
      </c>
      <c r="H91" s="18">
        <v>474010000</v>
      </c>
      <c r="I91" s="18">
        <v>6273.26</v>
      </c>
      <c r="J91" s="3">
        <v>8.5707665000000002E-2</v>
      </c>
      <c r="K91" s="3">
        <v>6.2033656999999998E-4</v>
      </c>
      <c r="L91" s="18">
        <v>7.1246404000000004E-6</v>
      </c>
      <c r="M91" s="18">
        <v>8.9429604999999997E-8</v>
      </c>
      <c r="N91" s="18">
        <v>3.7890822000000001E-6</v>
      </c>
      <c r="O91" s="18">
        <v>5.9808280000000001E-7</v>
      </c>
      <c r="P91" s="3">
        <v>1.0176872999999999E-2</v>
      </c>
      <c r="Q91" s="3">
        <v>1.2533714999999999E-4</v>
      </c>
      <c r="R91" s="3">
        <v>1.7226793</v>
      </c>
      <c r="S91" s="3">
        <v>7.9467400000000007E-3</v>
      </c>
      <c r="T91" s="18">
        <v>2.9284043E-8</v>
      </c>
      <c r="U91" s="18">
        <v>4.3849716999999999E-10</v>
      </c>
      <c r="V91" s="3">
        <v>7.5606934E-4</v>
      </c>
      <c r="W91" s="3">
        <v>1.8528998000000001E-4</v>
      </c>
    </row>
    <row r="92" spans="1:23" x14ac:dyDescent="0.3">
      <c r="A92" s="17" t="s">
        <v>109</v>
      </c>
      <c r="C92" s="10">
        <v>140</v>
      </c>
      <c r="E92" s="21">
        <f t="shared" si="1"/>
        <v>136</v>
      </c>
      <c r="F92" s="3">
        <v>6.37493</v>
      </c>
      <c r="G92" s="16">
        <v>2972.46</v>
      </c>
      <c r="H92" s="18">
        <v>466273000</v>
      </c>
      <c r="I92" s="18">
        <v>7570.37</v>
      </c>
      <c r="J92" s="3">
        <v>9.2879981E-2</v>
      </c>
      <c r="K92" s="3">
        <v>6.5787541999999999E-4</v>
      </c>
      <c r="L92" s="18">
        <v>7.1568670999999997E-6</v>
      </c>
      <c r="M92" s="18">
        <v>8.7029609000000004E-8</v>
      </c>
      <c r="N92" s="18">
        <v>6.3459353000000002E-6</v>
      </c>
      <c r="O92" s="18">
        <v>5.6707070999999999E-7</v>
      </c>
      <c r="P92" s="3">
        <v>9.9228648000000003E-3</v>
      </c>
      <c r="Q92" s="3">
        <v>1.3807009999999999E-4</v>
      </c>
      <c r="R92" s="3">
        <v>1.4127907</v>
      </c>
      <c r="S92" s="3">
        <v>8.8952347000000008E-3</v>
      </c>
      <c r="T92" s="18">
        <v>2.7422093999999999E-8</v>
      </c>
      <c r="U92" s="18">
        <v>4.5521862000000001E-10</v>
      </c>
      <c r="V92" s="18">
        <v>2.3424296000000001E-5</v>
      </c>
      <c r="W92" s="3">
        <v>1.9059354000000001E-4</v>
      </c>
    </row>
    <row r="93" spans="1:23" x14ac:dyDescent="0.3">
      <c r="A93" s="17" t="s">
        <v>109</v>
      </c>
      <c r="C93" s="10">
        <v>144</v>
      </c>
      <c r="E93" s="21">
        <f t="shared" si="1"/>
        <v>140</v>
      </c>
      <c r="F93" s="3">
        <v>6.37493</v>
      </c>
      <c r="G93" s="16">
        <v>2920.27</v>
      </c>
      <c r="H93" s="18">
        <v>458087000</v>
      </c>
      <c r="I93" s="18">
        <v>8935.4</v>
      </c>
      <c r="J93" s="3">
        <v>9.3234732000000001E-2</v>
      </c>
      <c r="K93" s="3">
        <v>7.0113404000000002E-4</v>
      </c>
      <c r="L93" s="18">
        <v>7.3766801000000003E-6</v>
      </c>
      <c r="M93" s="18">
        <v>9.0839833000000001E-8</v>
      </c>
      <c r="N93" s="18">
        <v>1.0449687E-5</v>
      </c>
      <c r="O93" s="18">
        <v>5.6155054E-7</v>
      </c>
      <c r="P93" s="3">
        <v>9.2434705999999995E-3</v>
      </c>
      <c r="Q93" s="3">
        <v>1.4937859000000001E-4</v>
      </c>
      <c r="R93" s="3">
        <v>1.3820170000000001</v>
      </c>
      <c r="S93" s="3">
        <v>1.0282055999999999E-2</v>
      </c>
      <c r="T93" s="18">
        <v>2.5643936000000001E-8</v>
      </c>
      <c r="U93" s="18">
        <v>4.8517296000000004E-10</v>
      </c>
      <c r="V93" s="3">
        <v>6.8388795999999995E-4</v>
      </c>
      <c r="W93" s="3">
        <v>1.8423161999999999E-4</v>
      </c>
    </row>
    <row r="94" spans="1:23" x14ac:dyDescent="0.3">
      <c r="A94" s="17" t="s">
        <v>109</v>
      </c>
      <c r="C94" s="10">
        <v>148</v>
      </c>
      <c r="E94" s="21">
        <f t="shared" si="1"/>
        <v>144</v>
      </c>
      <c r="F94" s="3">
        <v>6.37493</v>
      </c>
      <c r="G94" s="16">
        <v>2877.33</v>
      </c>
      <c r="H94" s="18">
        <v>451351000</v>
      </c>
      <c r="I94" s="18">
        <v>10816</v>
      </c>
      <c r="J94" s="3">
        <v>8.206782E-2</v>
      </c>
      <c r="K94" s="3">
        <v>6.3843232E-4</v>
      </c>
      <c r="L94" s="18">
        <v>6.8401222E-6</v>
      </c>
      <c r="M94" s="18">
        <v>9.4258539999999996E-8</v>
      </c>
      <c r="N94" s="18">
        <v>1.0824178999999999E-6</v>
      </c>
      <c r="O94" s="18">
        <v>6.8577784999999997E-7</v>
      </c>
      <c r="P94" s="3">
        <v>8.8687313999999996E-3</v>
      </c>
      <c r="Q94" s="3">
        <v>1.4329149999999999E-4</v>
      </c>
      <c r="R94" s="3">
        <v>1.2549528999999999</v>
      </c>
      <c r="S94" s="3">
        <v>1.0263913E-2</v>
      </c>
      <c r="T94" s="18">
        <v>2.5817309000000001E-8</v>
      </c>
      <c r="U94" s="18">
        <v>4.8591548999999998E-10</v>
      </c>
      <c r="V94" s="18">
        <v>4.2841620000000001E-5</v>
      </c>
      <c r="W94" s="3">
        <v>2.0140395000000001E-4</v>
      </c>
    </row>
    <row r="95" spans="1:23" x14ac:dyDescent="0.3">
      <c r="A95" s="17" t="s">
        <v>109</v>
      </c>
      <c r="C95" s="10">
        <v>152</v>
      </c>
      <c r="E95" s="21">
        <f t="shared" si="1"/>
        <v>148</v>
      </c>
      <c r="F95" s="3">
        <v>6.37493</v>
      </c>
      <c r="G95" s="16">
        <v>2830.87</v>
      </c>
      <c r="H95" s="18">
        <v>444063000</v>
      </c>
      <c r="I95" s="18">
        <v>9930.42</v>
      </c>
      <c r="J95" s="3">
        <v>8.5824383000000004E-2</v>
      </c>
      <c r="K95" s="3">
        <v>6.4614407000000002E-4</v>
      </c>
      <c r="L95" s="18">
        <v>7.1727137000000001E-6</v>
      </c>
      <c r="M95" s="18">
        <v>9.0802371999999994E-8</v>
      </c>
      <c r="N95" s="18">
        <v>5.6201445999999998E-6</v>
      </c>
      <c r="O95" s="18">
        <v>6.0886901999999996E-7</v>
      </c>
      <c r="P95" s="3">
        <v>7.3849585000000002E-3</v>
      </c>
      <c r="Q95" s="3">
        <v>1.3075245E-4</v>
      </c>
      <c r="R95" s="3">
        <v>2.1379264999999998</v>
      </c>
      <c r="S95" s="3">
        <v>1.1316822000000001E-2</v>
      </c>
      <c r="T95" s="18">
        <v>2.8084955999999999E-8</v>
      </c>
      <c r="U95" s="18">
        <v>5.9238732999999995E-10</v>
      </c>
      <c r="V95" s="3">
        <v>6.1218335999999995E-4</v>
      </c>
      <c r="W95" s="3">
        <v>1.8289686E-4</v>
      </c>
    </row>
    <row r="96" spans="1:23" x14ac:dyDescent="0.3">
      <c r="A96" s="17" t="s">
        <v>109</v>
      </c>
      <c r="C96" s="10">
        <v>156</v>
      </c>
      <c r="E96" s="21">
        <f t="shared" si="1"/>
        <v>152</v>
      </c>
      <c r="F96" s="3">
        <v>6.37493</v>
      </c>
      <c r="G96" s="16">
        <v>2798.05</v>
      </c>
      <c r="H96" s="18">
        <v>438915000</v>
      </c>
      <c r="I96" s="18">
        <v>10555.9</v>
      </c>
      <c r="J96" s="3">
        <v>9.1569324999999993E-2</v>
      </c>
      <c r="K96" s="3">
        <v>6.1980597999999995E-4</v>
      </c>
      <c r="L96" s="18">
        <v>6.9521120000000002E-6</v>
      </c>
      <c r="M96" s="18">
        <v>8.6887913999999996E-8</v>
      </c>
      <c r="N96" s="18">
        <v>8.9693532000000005E-6</v>
      </c>
      <c r="O96" s="18">
        <v>5.3442437000000001E-7</v>
      </c>
      <c r="P96" s="3">
        <v>6.9505900000000004E-3</v>
      </c>
      <c r="Q96" s="3">
        <v>1.2957113000000001E-4</v>
      </c>
      <c r="R96" s="3">
        <v>3.0506674999999999</v>
      </c>
      <c r="S96" s="3">
        <v>1.1952951999999999E-2</v>
      </c>
      <c r="T96" s="18">
        <v>2.8728786E-8</v>
      </c>
      <c r="U96" s="18">
        <v>6.4600958999999996E-10</v>
      </c>
      <c r="V96" s="3">
        <v>1.2019302999999999E-4</v>
      </c>
      <c r="W96" s="3">
        <v>1.9583630999999999E-4</v>
      </c>
    </row>
    <row r="97" spans="1:23" x14ac:dyDescent="0.3">
      <c r="A97" s="17" t="s">
        <v>109</v>
      </c>
      <c r="C97" s="10">
        <v>160</v>
      </c>
      <c r="E97" s="21">
        <f t="shared" si="1"/>
        <v>156</v>
      </c>
      <c r="F97" s="3">
        <v>6.37493</v>
      </c>
      <c r="G97" s="16">
        <v>2783.84</v>
      </c>
      <c r="H97" s="18">
        <v>436686000</v>
      </c>
      <c r="I97" s="18">
        <v>9544.02</v>
      </c>
      <c r="J97" s="3">
        <v>9.5685523999999994E-2</v>
      </c>
      <c r="K97" s="3">
        <v>7.0941560000000001E-4</v>
      </c>
      <c r="L97" s="18">
        <v>7.1128037000000002E-6</v>
      </c>
      <c r="M97" s="18">
        <v>9.1771553000000003E-8</v>
      </c>
      <c r="N97" s="18">
        <v>9.5087798999999998E-6</v>
      </c>
      <c r="O97" s="18">
        <v>5.7431433000000005E-7</v>
      </c>
      <c r="P97" s="3">
        <v>7.4750017999999996E-3</v>
      </c>
      <c r="Q97" s="3">
        <v>1.4010530000000001E-4</v>
      </c>
      <c r="R97" s="3">
        <v>2.4177138</v>
      </c>
      <c r="S97" s="3">
        <v>1.1970028000000001E-2</v>
      </c>
      <c r="T97" s="18">
        <v>2.9256044000000002E-8</v>
      </c>
      <c r="U97" s="18">
        <v>6.5745910000000005E-10</v>
      </c>
      <c r="V97" s="18">
        <v>-6.9215221000000005E-5</v>
      </c>
      <c r="W97" s="3">
        <v>2.0544051999999999E-4</v>
      </c>
    </row>
    <row r="98" spans="1:23" x14ac:dyDescent="0.3">
      <c r="A98" s="17" t="s">
        <v>109</v>
      </c>
      <c r="C98" s="10">
        <v>164</v>
      </c>
      <c r="E98" s="21">
        <f t="shared" si="1"/>
        <v>160</v>
      </c>
      <c r="F98" s="3">
        <v>6.37493</v>
      </c>
      <c r="G98" s="16">
        <v>2783.86</v>
      </c>
      <c r="H98" s="18">
        <v>436689000</v>
      </c>
      <c r="I98" s="18">
        <v>10547.7</v>
      </c>
      <c r="J98" s="3">
        <v>0.10523159999999999</v>
      </c>
      <c r="K98" s="3">
        <v>7.1928157E-4</v>
      </c>
      <c r="L98" s="18">
        <v>7.3611466000000002E-6</v>
      </c>
      <c r="M98" s="18">
        <v>8.6899999E-8</v>
      </c>
      <c r="N98" s="18">
        <v>1.7418979E-5</v>
      </c>
      <c r="O98" s="18">
        <v>4.6257441999999999E-7</v>
      </c>
      <c r="P98" s="3">
        <v>7.2248377000000003E-3</v>
      </c>
      <c r="Q98" s="3">
        <v>1.4863461E-4</v>
      </c>
      <c r="R98" s="3">
        <v>2.6829947000000001</v>
      </c>
      <c r="S98" s="3">
        <v>1.3095658E-2</v>
      </c>
      <c r="T98" s="18">
        <v>2.7147446999999998E-8</v>
      </c>
      <c r="U98" s="18">
        <v>6.6406707000000004E-10</v>
      </c>
      <c r="V98" s="3">
        <v>6.1878781999999996E-4</v>
      </c>
      <c r="W98" s="3">
        <v>1.9366823999999999E-4</v>
      </c>
    </row>
    <row r="99" spans="1:23" x14ac:dyDescent="0.3">
      <c r="A99" s="17" t="s">
        <v>109</v>
      </c>
      <c r="C99" s="10">
        <v>168</v>
      </c>
      <c r="E99" s="21">
        <f t="shared" si="1"/>
        <v>164</v>
      </c>
      <c r="F99" s="3">
        <v>6.37493</v>
      </c>
      <c r="G99" s="16">
        <v>2785.65</v>
      </c>
      <c r="H99" s="18">
        <v>436970000</v>
      </c>
      <c r="I99" s="18">
        <v>14283.8</v>
      </c>
      <c r="J99" s="3">
        <v>8.6612444999999996E-2</v>
      </c>
      <c r="K99" s="3">
        <v>6.8542861999999999E-4</v>
      </c>
      <c r="L99" s="18">
        <v>7.0282480000000004E-6</v>
      </c>
      <c r="M99" s="18">
        <v>9.6014376000000003E-8</v>
      </c>
      <c r="N99" s="18">
        <v>6.1537359000000003E-6</v>
      </c>
      <c r="O99" s="18">
        <v>6.4595849999999995E-7</v>
      </c>
      <c r="P99" s="3">
        <v>7.4998299999999999E-3</v>
      </c>
      <c r="Q99" s="3">
        <v>1.5347871000000001E-4</v>
      </c>
      <c r="R99" s="3">
        <v>1.9705929</v>
      </c>
      <c r="S99" s="3">
        <v>1.2960774E-2</v>
      </c>
      <c r="T99" s="18">
        <v>2.5149021999999999E-8</v>
      </c>
      <c r="U99" s="18">
        <v>5.9585190999999999E-10</v>
      </c>
      <c r="V99" s="3">
        <v>1.0219538E-3</v>
      </c>
      <c r="W99" s="3">
        <v>2.0129263999999999E-4</v>
      </c>
    </row>
    <row r="100" spans="1:23" x14ac:dyDescent="0.3">
      <c r="A100" s="17" t="s">
        <v>109</v>
      </c>
      <c r="C100" s="10">
        <v>172</v>
      </c>
      <c r="E100" s="21">
        <f t="shared" si="1"/>
        <v>168</v>
      </c>
      <c r="F100" s="3">
        <v>6.37493</v>
      </c>
      <c r="G100" s="16">
        <v>2817.8</v>
      </c>
      <c r="H100" s="18">
        <v>442012000</v>
      </c>
      <c r="I100" s="18">
        <v>9134.9500000000007</v>
      </c>
      <c r="J100" s="3">
        <v>0.10253579</v>
      </c>
      <c r="K100" s="3">
        <v>7.2131924999999997E-4</v>
      </c>
      <c r="L100" s="18">
        <v>7.0689178000000004E-6</v>
      </c>
      <c r="M100" s="18">
        <v>9.0487648000000003E-8</v>
      </c>
      <c r="N100" s="18">
        <v>1.3476303999999999E-5</v>
      </c>
      <c r="O100" s="18">
        <v>5.1830322000000001E-7</v>
      </c>
      <c r="P100" s="3">
        <v>7.3225724000000004E-3</v>
      </c>
      <c r="Q100" s="3">
        <v>1.4278621E-4</v>
      </c>
      <c r="R100" s="3">
        <v>2.6687238999999998</v>
      </c>
      <c r="S100" s="3">
        <v>1.2510297E-2</v>
      </c>
      <c r="T100" s="18">
        <v>2.9861798999999998E-8</v>
      </c>
      <c r="U100" s="18">
        <v>7.0504474E-10</v>
      </c>
      <c r="V100" s="3">
        <v>5.7375825000000004E-4</v>
      </c>
      <c r="W100" s="3">
        <v>2.1626792999999999E-4</v>
      </c>
    </row>
    <row r="101" spans="1:23" x14ac:dyDescent="0.3">
      <c r="A101" s="17" t="s">
        <v>109</v>
      </c>
      <c r="C101" s="10">
        <v>176</v>
      </c>
      <c r="E101" s="21">
        <f t="shared" si="1"/>
        <v>172</v>
      </c>
      <c r="F101" s="3">
        <v>6.37493</v>
      </c>
      <c r="G101" s="16">
        <v>2858.45</v>
      </c>
      <c r="H101" s="18">
        <v>448389000</v>
      </c>
      <c r="I101" s="18">
        <v>11068.7</v>
      </c>
      <c r="J101" s="3">
        <v>8.6892964000000003E-2</v>
      </c>
      <c r="K101" s="3">
        <v>6.4378253999999998E-4</v>
      </c>
      <c r="L101" s="18">
        <v>6.7711746999999998E-6</v>
      </c>
      <c r="M101" s="18">
        <v>9.5411066999999998E-8</v>
      </c>
      <c r="N101" s="18">
        <v>7.7937946999999996E-6</v>
      </c>
      <c r="O101" s="18">
        <v>6.0635348999999998E-7</v>
      </c>
      <c r="P101" s="3">
        <v>7.0927287999999998E-3</v>
      </c>
      <c r="Q101" s="3">
        <v>1.4365299999999999E-4</v>
      </c>
      <c r="R101" s="3">
        <v>2.2097337000000001</v>
      </c>
      <c r="S101" s="3">
        <v>1.2954063E-2</v>
      </c>
      <c r="T101" s="18">
        <v>2.6866914000000001E-8</v>
      </c>
      <c r="U101" s="18">
        <v>6.4530439999999999E-10</v>
      </c>
      <c r="V101" s="3">
        <v>-5.9181260000000003E-4</v>
      </c>
      <c r="W101" s="3">
        <v>2.1443303999999999E-4</v>
      </c>
    </row>
    <row r="102" spans="1:23" x14ac:dyDescent="0.3">
      <c r="A102" s="17" t="s">
        <v>109</v>
      </c>
      <c r="C102" s="10">
        <v>180</v>
      </c>
      <c r="E102" s="21">
        <f t="shared" si="1"/>
        <v>176</v>
      </c>
      <c r="F102" s="3">
        <v>6.37493</v>
      </c>
      <c r="G102" s="16">
        <v>2900.92</v>
      </c>
      <c r="H102" s="18">
        <v>455051000</v>
      </c>
      <c r="I102" s="18">
        <v>14414</v>
      </c>
      <c r="J102" s="3">
        <v>6.6559383E-2</v>
      </c>
      <c r="K102" s="3">
        <v>5.6735056000000003E-4</v>
      </c>
      <c r="L102" s="18">
        <v>7.3183571999999998E-6</v>
      </c>
      <c r="M102" s="18">
        <v>1.0374993E-7</v>
      </c>
      <c r="N102" s="18">
        <v>5.2761597000000003E-6</v>
      </c>
      <c r="O102" s="18">
        <v>6.8006105000000001E-7</v>
      </c>
      <c r="P102" s="3">
        <v>6.8447263000000003E-3</v>
      </c>
      <c r="Q102" s="3">
        <v>1.4241595000000001E-4</v>
      </c>
      <c r="R102" s="3">
        <v>2.7509171000000001</v>
      </c>
      <c r="S102" s="3">
        <v>1.3296028999999999E-2</v>
      </c>
      <c r="T102" s="18">
        <v>2.1939962000000001E-8</v>
      </c>
      <c r="U102" s="18">
        <v>5.2603377000000004E-10</v>
      </c>
      <c r="V102" s="3">
        <v>1.0688104E-3</v>
      </c>
      <c r="W102" s="3">
        <v>1.5774148000000001E-4</v>
      </c>
    </row>
    <row r="103" spans="1:23" x14ac:dyDescent="0.3">
      <c r="A103" s="17" t="s">
        <v>109</v>
      </c>
      <c r="C103" s="10">
        <v>184</v>
      </c>
      <c r="E103" s="21">
        <f t="shared" si="1"/>
        <v>180</v>
      </c>
      <c r="F103" s="3">
        <v>6.37493</v>
      </c>
      <c r="G103" s="16">
        <v>2936.09</v>
      </c>
      <c r="H103" s="18">
        <v>460568000</v>
      </c>
      <c r="I103" s="18">
        <v>7196.61</v>
      </c>
      <c r="J103" s="3">
        <v>7.8580359000000002E-2</v>
      </c>
      <c r="K103" s="3">
        <v>6.0359624999999995E-4</v>
      </c>
      <c r="L103" s="18">
        <v>7.5918156999999997E-6</v>
      </c>
      <c r="M103" s="18">
        <v>9.2764481999999998E-8</v>
      </c>
      <c r="N103" s="18">
        <v>1.1917629E-5</v>
      </c>
      <c r="O103" s="18">
        <v>5.5031366999999998E-7</v>
      </c>
      <c r="P103" s="3">
        <v>7.3984452000000001E-3</v>
      </c>
      <c r="Q103" s="3">
        <v>1.2101788E-4</v>
      </c>
      <c r="R103" s="3">
        <v>1.7388713</v>
      </c>
      <c r="S103" s="3">
        <v>1.0457446E-2</v>
      </c>
      <c r="T103" s="18">
        <v>2.7138655000000002E-8</v>
      </c>
      <c r="U103" s="18">
        <v>5.2868373999999999E-10</v>
      </c>
      <c r="V103" s="3">
        <v>9.2237804999999997E-4</v>
      </c>
      <c r="W103" s="3">
        <v>1.4976362000000001E-4</v>
      </c>
    </row>
    <row r="104" spans="1:23" x14ac:dyDescent="0.3">
      <c r="A104" s="17" t="s">
        <v>110</v>
      </c>
      <c r="C104" s="3">
        <v>0</v>
      </c>
      <c r="E104" s="21">
        <f>C104</f>
        <v>0</v>
      </c>
      <c r="F104" s="3">
        <v>6.3582700000000001</v>
      </c>
      <c r="G104" s="16">
        <v>2873.43</v>
      </c>
      <c r="H104" s="18">
        <v>451919000</v>
      </c>
      <c r="I104" s="18">
        <v>17217.2</v>
      </c>
      <c r="J104" s="3">
        <v>5.7330362000000003E-2</v>
      </c>
      <c r="K104" s="3">
        <v>6.3530761000000005E-4</v>
      </c>
      <c r="L104" s="18">
        <v>7.7588056999999992E-6</v>
      </c>
      <c r="M104" s="18">
        <v>1.2493296000000001E-7</v>
      </c>
      <c r="N104" s="18">
        <v>2.8073367999999999E-6</v>
      </c>
      <c r="O104" s="18">
        <v>8.8108427000000003E-7</v>
      </c>
      <c r="P104" s="3">
        <v>6.3221149999999997E-3</v>
      </c>
      <c r="Q104" s="3">
        <v>1.4689312E-4</v>
      </c>
      <c r="R104" s="3">
        <v>2.4029126000000001</v>
      </c>
      <c r="S104" s="3">
        <v>1.4818082E-2</v>
      </c>
      <c r="T104" s="18">
        <v>2.2248663000000001E-8</v>
      </c>
      <c r="U104" s="18">
        <v>5.9296526999999999E-10</v>
      </c>
      <c r="V104" s="3">
        <v>1.2892596000000001E-3</v>
      </c>
      <c r="W104" s="3">
        <v>1.473217E-4</v>
      </c>
    </row>
    <row r="105" spans="1:23" x14ac:dyDescent="0.3">
      <c r="A105" s="17" t="s">
        <v>110</v>
      </c>
      <c r="C105" s="3">
        <v>4</v>
      </c>
      <c r="E105" s="21">
        <f t="shared" ref="E105:E137" si="2">C105</f>
        <v>4</v>
      </c>
      <c r="F105" s="3">
        <v>6.3582700000000001</v>
      </c>
      <c r="G105" s="16">
        <v>2946.6</v>
      </c>
      <c r="H105" s="18">
        <v>463428000</v>
      </c>
      <c r="I105" s="18">
        <v>9897.15</v>
      </c>
      <c r="J105" s="3">
        <v>5.8263903999999998E-2</v>
      </c>
      <c r="K105" s="3">
        <v>6.7999626999999999E-4</v>
      </c>
      <c r="L105" s="18">
        <v>8.1291604000000004E-6</v>
      </c>
      <c r="M105" s="18">
        <v>1.2991359E-7</v>
      </c>
      <c r="N105" s="18">
        <v>9.2163999000000005E-6</v>
      </c>
      <c r="O105" s="18">
        <v>8.3387900000000003E-7</v>
      </c>
      <c r="P105" s="3">
        <v>6.0573564E-3</v>
      </c>
      <c r="Q105" s="3">
        <v>1.3231353E-4</v>
      </c>
      <c r="R105" s="3">
        <v>1.1290123999999999</v>
      </c>
      <c r="S105" s="3">
        <v>1.3907088999999999E-2</v>
      </c>
      <c r="T105" s="18">
        <v>2.5630083999999999E-8</v>
      </c>
      <c r="U105" s="18">
        <v>6.5553796E-10</v>
      </c>
      <c r="V105" s="3">
        <v>1.4207263999999999E-3</v>
      </c>
      <c r="W105" s="3">
        <v>1.3717016999999999E-4</v>
      </c>
    </row>
    <row r="106" spans="1:23" x14ac:dyDescent="0.3">
      <c r="A106" s="17" t="s">
        <v>110</v>
      </c>
      <c r="C106" s="3">
        <v>8</v>
      </c>
      <c r="E106" s="21">
        <f t="shared" si="2"/>
        <v>8</v>
      </c>
      <c r="F106" s="3">
        <v>6.3582700000000001</v>
      </c>
      <c r="G106" s="16">
        <v>2967.71</v>
      </c>
      <c r="H106" s="18">
        <v>466749000</v>
      </c>
      <c r="I106" s="18">
        <v>6325.63</v>
      </c>
      <c r="J106" s="3">
        <v>5.1794694000000002E-2</v>
      </c>
      <c r="K106" s="3">
        <v>6.0997313999999996E-4</v>
      </c>
      <c r="L106" s="18">
        <v>8.2951857E-6</v>
      </c>
      <c r="M106" s="18">
        <v>1.3039155E-7</v>
      </c>
      <c r="N106" s="18">
        <v>9.3081927999999994E-6</v>
      </c>
      <c r="O106" s="18">
        <v>8.2981936000000001E-7</v>
      </c>
      <c r="P106" s="3">
        <v>5.7306511999999999E-3</v>
      </c>
      <c r="Q106" s="3">
        <v>1.0704903E-4</v>
      </c>
      <c r="R106" s="3">
        <v>1.1859439000000001</v>
      </c>
      <c r="S106" s="3">
        <v>1.1960177000000001E-2</v>
      </c>
      <c r="T106" s="18">
        <v>2.8621777000000002E-8</v>
      </c>
      <c r="U106" s="18">
        <v>6.4102945999999998E-10</v>
      </c>
      <c r="V106" s="3">
        <v>1.7204388E-3</v>
      </c>
      <c r="W106" s="3">
        <v>1.1793531E-4</v>
      </c>
    </row>
    <row r="107" spans="1:23" x14ac:dyDescent="0.3">
      <c r="A107" s="17" t="s">
        <v>110</v>
      </c>
      <c r="C107" s="3">
        <v>12</v>
      </c>
      <c r="E107" s="21">
        <f t="shared" si="2"/>
        <v>12</v>
      </c>
      <c r="F107" s="3">
        <v>6.3582700000000001</v>
      </c>
      <c r="G107" s="16">
        <v>2961.07</v>
      </c>
      <c r="H107" s="18">
        <v>465704000</v>
      </c>
      <c r="I107" s="18">
        <v>6415.35</v>
      </c>
      <c r="J107" s="3">
        <v>6.1078960000000002E-2</v>
      </c>
      <c r="K107" s="3">
        <v>6.3705450000000002E-4</v>
      </c>
      <c r="L107" s="18">
        <v>7.7070617000000007E-6</v>
      </c>
      <c r="M107" s="18">
        <v>1.2006378999999999E-7</v>
      </c>
      <c r="N107" s="18">
        <v>5.9388694999999999E-6</v>
      </c>
      <c r="O107" s="18">
        <v>7.9980019E-7</v>
      </c>
      <c r="P107" s="3">
        <v>8.0504774000000005E-3</v>
      </c>
      <c r="Q107" s="3">
        <v>1.2388381E-4</v>
      </c>
      <c r="R107" s="3">
        <v>1.5910367000000001</v>
      </c>
      <c r="S107" s="3">
        <v>9.8690293000000002E-3</v>
      </c>
      <c r="T107" s="18">
        <v>2.7462701E-8</v>
      </c>
      <c r="U107" s="18">
        <v>5.0490119999999995E-10</v>
      </c>
      <c r="V107" s="3">
        <v>1.2363967999999999E-3</v>
      </c>
      <c r="W107" s="3">
        <v>1.5040974999999999E-4</v>
      </c>
    </row>
    <row r="108" spans="1:23" x14ac:dyDescent="0.3">
      <c r="A108" s="17" t="s">
        <v>110</v>
      </c>
      <c r="C108" s="3">
        <v>16</v>
      </c>
      <c r="E108" s="21">
        <f t="shared" si="2"/>
        <v>16</v>
      </c>
      <c r="F108" s="3">
        <v>6.3582700000000001</v>
      </c>
      <c r="G108" s="16">
        <v>2910.31</v>
      </c>
      <c r="H108" s="18">
        <v>457720000</v>
      </c>
      <c r="I108" s="18">
        <v>10561.1</v>
      </c>
      <c r="J108" s="3">
        <v>6.0100303000000001E-2</v>
      </c>
      <c r="K108" s="3">
        <v>6.5417673000000003E-4</v>
      </c>
      <c r="L108" s="18">
        <v>8.1686199999999997E-6</v>
      </c>
      <c r="M108" s="18">
        <v>1.2191834999999999E-7</v>
      </c>
      <c r="N108" s="18">
        <v>7.0724712000000002E-6</v>
      </c>
      <c r="O108" s="18">
        <v>7.9502653E-7</v>
      </c>
      <c r="P108" s="3">
        <v>7.1890226999999996E-3</v>
      </c>
      <c r="Q108" s="3">
        <v>1.3712125000000001E-4</v>
      </c>
      <c r="R108" s="3">
        <v>2.4782149000000002</v>
      </c>
      <c r="S108" s="3">
        <v>1.2258781999999999E-2</v>
      </c>
      <c r="T108" s="18">
        <v>2.3736025E-8</v>
      </c>
      <c r="U108" s="18">
        <v>5.2911283000000004E-10</v>
      </c>
      <c r="V108" s="3">
        <v>1.8505652E-3</v>
      </c>
      <c r="W108" s="3">
        <v>1.3405101000000001E-4</v>
      </c>
    </row>
    <row r="109" spans="1:23" x14ac:dyDescent="0.3">
      <c r="A109" s="17" t="s">
        <v>110</v>
      </c>
      <c r="C109" s="3">
        <v>20</v>
      </c>
      <c r="E109" s="21">
        <f t="shared" si="2"/>
        <v>20</v>
      </c>
      <c r="F109" s="3">
        <v>6.3582700000000001</v>
      </c>
      <c r="G109" s="16">
        <v>2879.67</v>
      </c>
      <c r="H109" s="18">
        <v>452902000</v>
      </c>
      <c r="I109" s="18">
        <v>8465.92</v>
      </c>
      <c r="J109" s="3">
        <v>6.0160709E-2</v>
      </c>
      <c r="K109" s="3">
        <v>6.0098276999999997E-4</v>
      </c>
      <c r="L109" s="18">
        <v>7.4144974999999997E-6</v>
      </c>
      <c r="M109" s="18">
        <v>1.1542043E-7</v>
      </c>
      <c r="N109" s="18">
        <v>3.8610556000000001E-6</v>
      </c>
      <c r="O109" s="18">
        <v>8.0639928999999999E-7</v>
      </c>
      <c r="P109" s="3">
        <v>7.0208591000000004E-3</v>
      </c>
      <c r="Q109" s="3">
        <v>1.2481956000000001E-4</v>
      </c>
      <c r="R109" s="3">
        <v>1.615964</v>
      </c>
      <c r="S109" s="3">
        <v>1.1309751999999999E-2</v>
      </c>
      <c r="T109" s="18">
        <v>2.6134979999999999E-8</v>
      </c>
      <c r="U109" s="18">
        <v>5.4578675999999997E-10</v>
      </c>
      <c r="V109" s="3">
        <v>8.7130504000000001E-4</v>
      </c>
      <c r="W109" s="3">
        <v>1.5393140999999999E-4</v>
      </c>
    </row>
    <row r="110" spans="1:23" x14ac:dyDescent="0.3">
      <c r="A110" s="17" t="s">
        <v>110</v>
      </c>
      <c r="C110" s="3">
        <v>24</v>
      </c>
      <c r="E110" s="21">
        <f t="shared" si="2"/>
        <v>24</v>
      </c>
      <c r="F110" s="3">
        <v>6.3582700000000001</v>
      </c>
      <c r="G110" s="16">
        <v>2837.42</v>
      </c>
      <c r="H110" s="18">
        <v>446256000</v>
      </c>
      <c r="I110" s="18">
        <v>8891.09</v>
      </c>
      <c r="J110" s="3">
        <v>5.8698618000000001E-2</v>
      </c>
      <c r="K110" s="3">
        <v>6.3338692000000001E-4</v>
      </c>
      <c r="L110" s="18">
        <v>7.6257140999999996E-6</v>
      </c>
      <c r="M110" s="18">
        <v>1.2385312E-7</v>
      </c>
      <c r="N110" s="18">
        <v>5.2499830999999998E-6</v>
      </c>
      <c r="O110" s="18">
        <v>8.4113925999999999E-7</v>
      </c>
      <c r="P110" s="3">
        <v>6.5628644E-3</v>
      </c>
      <c r="Q110" s="3">
        <v>1.2880281999999999E-4</v>
      </c>
      <c r="R110" s="3">
        <v>2.3605944000000001</v>
      </c>
      <c r="S110" s="3">
        <v>1.2550898E-2</v>
      </c>
      <c r="T110" s="18">
        <v>2.6113064000000001E-8</v>
      </c>
      <c r="U110" s="18">
        <v>6.0471735000000004E-10</v>
      </c>
      <c r="V110" s="3">
        <v>9.1682017000000002E-4</v>
      </c>
      <c r="W110" s="3">
        <v>1.5227510000000001E-4</v>
      </c>
    </row>
    <row r="111" spans="1:23" x14ac:dyDescent="0.3">
      <c r="A111" s="17" t="s">
        <v>110</v>
      </c>
      <c r="C111" s="3">
        <v>28</v>
      </c>
      <c r="E111" s="21">
        <f t="shared" si="2"/>
        <v>28</v>
      </c>
      <c r="F111" s="3">
        <v>6.3582700000000001</v>
      </c>
      <c r="G111" s="16">
        <v>2781.1</v>
      </c>
      <c r="H111" s="18">
        <v>437398000</v>
      </c>
      <c r="I111" s="18">
        <v>8066.9</v>
      </c>
      <c r="J111" s="3">
        <v>6.2416443000000002E-2</v>
      </c>
      <c r="K111" s="3">
        <v>6.9217943000000003E-4</v>
      </c>
      <c r="L111" s="18">
        <v>7.7835638999999994E-6</v>
      </c>
      <c r="M111" s="18">
        <v>1.2279198000000001E-7</v>
      </c>
      <c r="N111" s="18">
        <v>6.1930841000000004E-6</v>
      </c>
      <c r="O111" s="18">
        <v>8.4908309000000002E-7</v>
      </c>
      <c r="P111" s="3">
        <v>6.6903589000000003E-3</v>
      </c>
      <c r="Q111" s="3">
        <v>1.2765802999999999E-4</v>
      </c>
      <c r="R111" s="3">
        <v>1.7997132</v>
      </c>
      <c r="S111" s="3">
        <v>1.2162454E-2</v>
      </c>
      <c r="T111" s="18">
        <v>2.7863119000000001E-8</v>
      </c>
      <c r="U111" s="18">
        <v>6.2696876999999996E-10</v>
      </c>
      <c r="V111" s="3">
        <v>1.2663368999999999E-3</v>
      </c>
      <c r="W111" s="3">
        <v>1.5232999000000001E-4</v>
      </c>
    </row>
    <row r="112" spans="1:23" x14ac:dyDescent="0.3">
      <c r="A112" s="17" t="s">
        <v>110</v>
      </c>
      <c r="C112" s="3">
        <v>32</v>
      </c>
      <c r="E112" s="21">
        <f t="shared" si="2"/>
        <v>32</v>
      </c>
      <c r="F112" s="3">
        <v>6.3582700000000001</v>
      </c>
      <c r="G112" s="16">
        <v>2766.05</v>
      </c>
      <c r="H112" s="18">
        <v>435032000</v>
      </c>
      <c r="I112" s="18">
        <v>8356.6</v>
      </c>
      <c r="J112" s="3">
        <v>6.3079930000000006E-2</v>
      </c>
      <c r="K112" s="3">
        <v>7.0854206000000002E-4</v>
      </c>
      <c r="L112" s="18">
        <v>8.1186333000000006E-6</v>
      </c>
      <c r="M112" s="18">
        <v>1.2053337999999999E-7</v>
      </c>
      <c r="N112" s="18">
        <v>8.1565134999999992E-6</v>
      </c>
      <c r="O112" s="18">
        <v>8.2145981E-7</v>
      </c>
      <c r="P112" s="3">
        <v>6.450346E-3</v>
      </c>
      <c r="Q112" s="3">
        <v>1.2822975999999999E-4</v>
      </c>
      <c r="R112" s="3">
        <v>1.2318308</v>
      </c>
      <c r="S112" s="3">
        <v>1.2544293E-2</v>
      </c>
      <c r="T112" s="18">
        <v>2.7041177000000001E-8</v>
      </c>
      <c r="U112" s="18">
        <v>6.2488840000000001E-10</v>
      </c>
      <c r="V112" s="3">
        <v>1.6127685000000001E-3</v>
      </c>
      <c r="W112" s="3">
        <v>1.3729802999999999E-4</v>
      </c>
    </row>
    <row r="113" spans="1:23" x14ac:dyDescent="0.3">
      <c r="A113" s="17" t="s">
        <v>110</v>
      </c>
      <c r="C113" s="3">
        <v>36</v>
      </c>
      <c r="E113" s="21">
        <f t="shared" si="2"/>
        <v>36</v>
      </c>
      <c r="F113" s="3">
        <v>6.3582700000000001</v>
      </c>
      <c r="G113" s="16">
        <v>2759.42</v>
      </c>
      <c r="H113" s="18">
        <v>433990000</v>
      </c>
      <c r="I113" s="18">
        <v>9486.24</v>
      </c>
      <c r="J113" s="3">
        <v>6.1494144000000001E-2</v>
      </c>
      <c r="K113" s="3">
        <v>7.1457712000000005E-4</v>
      </c>
      <c r="L113" s="18">
        <v>8.0205332000000007E-6</v>
      </c>
      <c r="M113" s="18">
        <v>1.2454727999999999E-7</v>
      </c>
      <c r="N113" s="18">
        <v>6.360824E-6</v>
      </c>
      <c r="O113" s="18">
        <v>8.7608423999999997E-7</v>
      </c>
      <c r="P113" s="3">
        <v>6.3534634999999999E-3</v>
      </c>
      <c r="Q113" s="3">
        <v>1.3133299000000001E-4</v>
      </c>
      <c r="R113" s="3">
        <v>1.3612835000000001</v>
      </c>
      <c r="S113" s="3">
        <v>1.3066454E-2</v>
      </c>
      <c r="T113" s="18">
        <v>2.6839836999999998E-8</v>
      </c>
      <c r="U113" s="18">
        <v>6.4441587000000004E-10</v>
      </c>
      <c r="V113" s="3">
        <v>1.6403406999999999E-3</v>
      </c>
      <c r="W113" s="3">
        <v>1.4292830000000001E-4</v>
      </c>
    </row>
    <row r="114" spans="1:23" x14ac:dyDescent="0.3">
      <c r="A114" s="17" t="s">
        <v>110</v>
      </c>
      <c r="C114" s="3">
        <v>40</v>
      </c>
      <c r="E114" s="21">
        <f t="shared" si="2"/>
        <v>40</v>
      </c>
      <c r="F114" s="3">
        <v>6.3582700000000001</v>
      </c>
      <c r="G114" s="16">
        <v>2757.31</v>
      </c>
      <c r="H114" s="18">
        <v>433658000</v>
      </c>
      <c r="I114" s="18">
        <v>11410.7</v>
      </c>
      <c r="J114" s="3">
        <v>6.2451841000000001E-2</v>
      </c>
      <c r="K114" s="3">
        <v>7.1629029999999995E-4</v>
      </c>
      <c r="L114" s="18">
        <v>8.1094814000000003E-6</v>
      </c>
      <c r="M114" s="18">
        <v>1.2257561000000001E-7</v>
      </c>
      <c r="N114" s="18">
        <v>4.3605651000000003E-6</v>
      </c>
      <c r="O114" s="18">
        <v>8.8018186000000001E-7</v>
      </c>
      <c r="P114" s="3">
        <v>7.4989258999999999E-3</v>
      </c>
      <c r="Q114" s="3">
        <v>1.4492087000000001E-4</v>
      </c>
      <c r="R114" s="3">
        <v>1.9021121999999999</v>
      </c>
      <c r="S114" s="3">
        <v>1.2195507E-2</v>
      </c>
      <c r="T114" s="18">
        <v>2.4075777999999999E-8</v>
      </c>
      <c r="U114" s="18">
        <v>5.3175979999999997E-10</v>
      </c>
      <c r="V114" s="3">
        <v>1.5090603000000001E-3</v>
      </c>
      <c r="W114" s="3">
        <v>1.4212689000000001E-4</v>
      </c>
    </row>
    <row r="115" spans="1:23" x14ac:dyDescent="0.3">
      <c r="A115" s="17" t="s">
        <v>110</v>
      </c>
      <c r="C115" s="3">
        <v>44</v>
      </c>
      <c r="E115" s="21">
        <f t="shared" si="2"/>
        <v>44</v>
      </c>
      <c r="F115" s="3">
        <v>6.3582700000000001</v>
      </c>
      <c r="G115" s="16">
        <v>2783.57</v>
      </c>
      <c r="H115" s="18">
        <v>437787000</v>
      </c>
      <c r="I115" s="18">
        <v>12192</v>
      </c>
      <c r="J115" s="3">
        <v>6.2198716000000001E-2</v>
      </c>
      <c r="K115" s="3">
        <v>7.1206619999999998E-4</v>
      </c>
      <c r="L115" s="18">
        <v>8.2279766000000005E-6</v>
      </c>
      <c r="M115" s="18">
        <v>1.2082562E-7</v>
      </c>
      <c r="N115" s="18">
        <v>6.5655545999999999E-6</v>
      </c>
      <c r="O115" s="18">
        <v>8.4960488E-7</v>
      </c>
      <c r="P115" s="3">
        <v>6.5844342999999998E-3</v>
      </c>
      <c r="Q115" s="3">
        <v>1.3958332E-4</v>
      </c>
      <c r="R115" s="3">
        <v>1.3031010000000001</v>
      </c>
      <c r="S115" s="3">
        <v>1.3405360999999999E-2</v>
      </c>
      <c r="T115" s="18">
        <v>2.4252214E-8</v>
      </c>
      <c r="U115" s="18">
        <v>5.8538572999999999E-10</v>
      </c>
      <c r="V115" s="3">
        <v>1.3997771000000001E-3</v>
      </c>
      <c r="W115" s="3">
        <v>1.3335417E-4</v>
      </c>
    </row>
    <row r="116" spans="1:23" x14ac:dyDescent="0.3">
      <c r="A116" s="17" t="s">
        <v>110</v>
      </c>
      <c r="C116" s="3">
        <v>48</v>
      </c>
      <c r="E116" s="21">
        <f t="shared" si="2"/>
        <v>48</v>
      </c>
      <c r="F116" s="3">
        <v>6.3582700000000001</v>
      </c>
      <c r="G116" s="16">
        <v>2804.39</v>
      </c>
      <c r="H116" s="18">
        <v>441061000</v>
      </c>
      <c r="I116" s="18">
        <v>10309.5</v>
      </c>
      <c r="J116" s="3">
        <v>6.2580505999999994E-2</v>
      </c>
      <c r="K116" s="3">
        <v>6.9305653E-4</v>
      </c>
      <c r="L116" s="18">
        <v>8.2985111000000003E-6</v>
      </c>
      <c r="M116" s="18">
        <v>1.1999011999999999E-7</v>
      </c>
      <c r="N116" s="18">
        <v>8.9046405000000002E-6</v>
      </c>
      <c r="O116" s="18">
        <v>7.8875816000000003E-7</v>
      </c>
      <c r="P116" s="3">
        <v>6.7457321000000004E-3</v>
      </c>
      <c r="Q116" s="3">
        <v>1.3519108000000001E-4</v>
      </c>
      <c r="R116" s="3">
        <v>1.930436</v>
      </c>
      <c r="S116" s="3">
        <v>1.2755127E-2</v>
      </c>
      <c r="T116" s="18">
        <v>2.4615920000000001E-8</v>
      </c>
      <c r="U116" s="18">
        <v>5.6979306999999998E-10</v>
      </c>
      <c r="V116" s="3">
        <v>1.5800806E-3</v>
      </c>
      <c r="W116" s="3">
        <v>1.3040020000000001E-4</v>
      </c>
    </row>
    <row r="117" spans="1:23" x14ac:dyDescent="0.3">
      <c r="A117" s="17" t="s">
        <v>110</v>
      </c>
      <c r="C117" s="3">
        <v>52</v>
      </c>
      <c r="E117" s="21">
        <f t="shared" si="2"/>
        <v>52</v>
      </c>
      <c r="F117" s="3">
        <v>6.3582700000000001</v>
      </c>
      <c r="G117" s="16">
        <v>2842.51</v>
      </c>
      <c r="H117" s="18">
        <v>447057000</v>
      </c>
      <c r="I117" s="18">
        <v>13234.8</v>
      </c>
      <c r="J117" s="3">
        <v>6.3509712999999995E-2</v>
      </c>
      <c r="K117" s="3">
        <v>6.9743896000000005E-4</v>
      </c>
      <c r="L117" s="18">
        <v>8.2827982000000008E-6</v>
      </c>
      <c r="M117" s="18">
        <v>1.1460742E-7</v>
      </c>
      <c r="N117" s="18">
        <v>5.1854058000000002E-6</v>
      </c>
      <c r="O117" s="18">
        <v>8.2730503000000004E-7</v>
      </c>
      <c r="P117" s="3">
        <v>6.4446740999999997E-3</v>
      </c>
      <c r="Q117" s="3">
        <v>1.3551186E-4</v>
      </c>
      <c r="R117" s="3">
        <v>0.97652468999999997</v>
      </c>
      <c r="S117" s="3">
        <v>1.3387757E-2</v>
      </c>
      <c r="T117" s="18">
        <v>2.4227135999999999E-8</v>
      </c>
      <c r="U117" s="18">
        <v>5.8138156000000003E-10</v>
      </c>
      <c r="V117" s="3">
        <v>1.6683758E-3</v>
      </c>
      <c r="W117" s="3">
        <v>1.2842598999999999E-4</v>
      </c>
    </row>
    <row r="118" spans="1:23" x14ac:dyDescent="0.3">
      <c r="A118" s="17" t="s">
        <v>110</v>
      </c>
      <c r="C118" s="3">
        <v>56</v>
      </c>
      <c r="E118" s="21">
        <f t="shared" si="2"/>
        <v>56</v>
      </c>
      <c r="F118" s="3">
        <v>6.3582700000000001</v>
      </c>
      <c r="G118" s="16">
        <v>2844.33</v>
      </c>
      <c r="H118" s="18">
        <v>447344000</v>
      </c>
      <c r="I118" s="18">
        <v>9859.26</v>
      </c>
      <c r="J118" s="3">
        <v>7.3433188999999996E-2</v>
      </c>
      <c r="K118" s="3">
        <v>7.8600944999999999E-4</v>
      </c>
      <c r="L118" s="18">
        <v>8.2669932999999996E-6</v>
      </c>
      <c r="M118" s="18">
        <v>1.1548214000000001E-7</v>
      </c>
      <c r="N118" s="18">
        <v>8.8946622000000007E-6</v>
      </c>
      <c r="O118" s="18">
        <v>7.6523139999999997E-7</v>
      </c>
      <c r="P118" s="3">
        <v>8.4948284999999991E-3</v>
      </c>
      <c r="Q118" s="3">
        <v>1.6445640999999999E-4</v>
      </c>
      <c r="R118" s="3">
        <v>1.2511152999999999</v>
      </c>
      <c r="S118" s="3">
        <v>1.2224352000000001E-2</v>
      </c>
      <c r="T118" s="18">
        <v>2.2755998999999998E-8</v>
      </c>
      <c r="U118" s="18">
        <v>4.9771736999999998E-10</v>
      </c>
      <c r="V118" s="3">
        <v>1.9561245999999998E-3</v>
      </c>
      <c r="W118" s="3">
        <v>1.4800397000000001E-4</v>
      </c>
    </row>
    <row r="119" spans="1:23" x14ac:dyDescent="0.3">
      <c r="A119" s="17" t="s">
        <v>110</v>
      </c>
      <c r="C119" s="3">
        <v>60</v>
      </c>
      <c r="E119" s="21">
        <f t="shared" si="2"/>
        <v>60</v>
      </c>
      <c r="F119" s="3">
        <v>6.3582700000000001</v>
      </c>
      <c r="G119" s="16">
        <v>2921.44</v>
      </c>
      <c r="H119" s="18">
        <v>459470000</v>
      </c>
      <c r="I119" s="18">
        <v>8133.29</v>
      </c>
      <c r="J119" s="3">
        <v>7.041335E-2</v>
      </c>
      <c r="K119" s="3">
        <v>6.9669312000000003E-4</v>
      </c>
      <c r="L119" s="18">
        <v>7.9083005999999998E-6</v>
      </c>
      <c r="M119" s="18">
        <v>1.1235999E-7</v>
      </c>
      <c r="N119" s="18">
        <v>9.6786797999999998E-6</v>
      </c>
      <c r="O119" s="18">
        <v>7.1330114999999995E-7</v>
      </c>
      <c r="P119" s="3">
        <v>7.6783347E-3</v>
      </c>
      <c r="Q119" s="3">
        <v>1.4134213E-4</v>
      </c>
      <c r="R119" s="3">
        <v>1.2921863</v>
      </c>
      <c r="S119" s="3">
        <v>1.1695097E-2</v>
      </c>
      <c r="T119" s="18">
        <v>2.5129106E-8</v>
      </c>
      <c r="U119" s="18">
        <v>5.3925946999999997E-10</v>
      </c>
      <c r="V119" s="3">
        <v>1.6088774E-3</v>
      </c>
      <c r="W119" s="3">
        <v>1.5077018000000001E-4</v>
      </c>
    </row>
    <row r="120" spans="1:23" x14ac:dyDescent="0.3">
      <c r="A120" s="17" t="s">
        <v>110</v>
      </c>
      <c r="C120" s="3">
        <v>64</v>
      </c>
      <c r="E120" s="21">
        <f t="shared" si="2"/>
        <v>64</v>
      </c>
      <c r="F120" s="3">
        <v>6.3582700000000001</v>
      </c>
      <c r="G120" s="16">
        <v>2971.84</v>
      </c>
      <c r="H120" s="18">
        <v>467398000</v>
      </c>
      <c r="I120" s="18">
        <v>9767.4</v>
      </c>
      <c r="J120" s="3">
        <v>6.7461530000000006E-2</v>
      </c>
      <c r="K120" s="3">
        <v>7.6547099999999999E-4</v>
      </c>
      <c r="L120" s="18">
        <v>8.1756889000000003E-6</v>
      </c>
      <c r="M120" s="18">
        <v>1.2058861000000001E-7</v>
      </c>
      <c r="N120" s="18">
        <v>4.6862856999999997E-6</v>
      </c>
      <c r="O120" s="18">
        <v>8.6323125000000002E-7</v>
      </c>
      <c r="P120" s="3">
        <v>6.2478033999999998E-3</v>
      </c>
      <c r="Q120" s="3">
        <v>1.3452612999999999E-4</v>
      </c>
      <c r="R120" s="3">
        <v>0.43675394000000001</v>
      </c>
      <c r="S120" s="3">
        <v>1.3837268999999999E-2</v>
      </c>
      <c r="T120" s="18">
        <v>2.7908261000000001E-8</v>
      </c>
      <c r="U120" s="18">
        <v>7.1103916000000004E-10</v>
      </c>
      <c r="V120" s="3">
        <v>1.2052954E-3</v>
      </c>
      <c r="W120" s="3">
        <v>1.4823810000000001E-4</v>
      </c>
    </row>
    <row r="121" spans="1:23" x14ac:dyDescent="0.3">
      <c r="A121" s="17" t="s">
        <v>110</v>
      </c>
      <c r="C121" s="3">
        <v>68</v>
      </c>
      <c r="E121" s="21">
        <f t="shared" si="2"/>
        <v>68</v>
      </c>
      <c r="F121" s="3">
        <v>6.3582700000000001</v>
      </c>
      <c r="G121" s="16">
        <v>2985.9</v>
      </c>
      <c r="H121" s="18">
        <v>469608000</v>
      </c>
      <c r="I121" s="18">
        <v>8353.1299999999992</v>
      </c>
      <c r="J121" s="3">
        <v>6.7948587000000005E-2</v>
      </c>
      <c r="K121" s="3">
        <v>6.9116450000000003E-4</v>
      </c>
      <c r="L121" s="18">
        <v>8.2055619999999992E-6</v>
      </c>
      <c r="M121" s="18">
        <v>1.1422807E-7</v>
      </c>
      <c r="N121" s="18">
        <v>8.2231598000000002E-6</v>
      </c>
      <c r="O121" s="18">
        <v>7.2941494000000004E-7</v>
      </c>
      <c r="P121" s="3">
        <v>5.8455594999999999E-3</v>
      </c>
      <c r="Q121" s="3">
        <v>1.2301693000000001E-4</v>
      </c>
      <c r="R121" s="3">
        <v>1.8681578000000001</v>
      </c>
      <c r="S121" s="3">
        <v>1.3616801E-2</v>
      </c>
      <c r="T121" s="18">
        <v>2.8758599000000001E-8</v>
      </c>
      <c r="U121" s="18">
        <v>7.3264932000000002E-10</v>
      </c>
      <c r="V121" s="3">
        <v>1.3088920999999999E-3</v>
      </c>
      <c r="W121" s="3">
        <v>1.3986327E-4</v>
      </c>
    </row>
    <row r="122" spans="1:23" x14ac:dyDescent="0.3">
      <c r="A122" s="17" t="s">
        <v>110</v>
      </c>
      <c r="C122" s="3">
        <v>72</v>
      </c>
      <c r="E122" s="21">
        <f t="shared" si="2"/>
        <v>72</v>
      </c>
      <c r="F122" s="3">
        <v>6.3582700000000001</v>
      </c>
      <c r="G122" s="16">
        <v>2977.04</v>
      </c>
      <c r="H122" s="18">
        <v>468216000</v>
      </c>
      <c r="I122" s="18">
        <v>9592.66</v>
      </c>
      <c r="J122" s="3">
        <v>6.3788401999999994E-2</v>
      </c>
      <c r="K122" s="3">
        <v>6.8756033000000002E-4</v>
      </c>
      <c r="L122" s="18">
        <v>8.3359411999999996E-6</v>
      </c>
      <c r="M122" s="18">
        <v>1.1722883E-7</v>
      </c>
      <c r="N122" s="18">
        <v>9.0538765000000006E-6</v>
      </c>
      <c r="O122" s="18">
        <v>7.6282688999999995E-7</v>
      </c>
      <c r="P122" s="3">
        <v>5.0336473000000001E-3</v>
      </c>
      <c r="Q122" s="3">
        <v>1.1684008000000001E-4</v>
      </c>
      <c r="R122" s="3">
        <v>0.70642163999999996</v>
      </c>
      <c r="S122" s="3">
        <v>1.4878588999999999E-2</v>
      </c>
      <c r="T122" s="18">
        <v>2.9082759999999999E-8</v>
      </c>
      <c r="U122" s="18">
        <v>8.0776926000000001E-10</v>
      </c>
      <c r="V122" s="3">
        <v>1.6002588999999999E-3</v>
      </c>
      <c r="W122" s="3">
        <v>1.2885811E-4</v>
      </c>
    </row>
    <row r="123" spans="1:23" x14ac:dyDescent="0.3">
      <c r="A123" s="17" t="s">
        <v>110</v>
      </c>
      <c r="C123" s="3">
        <v>76</v>
      </c>
      <c r="E123" s="21">
        <f t="shared" si="2"/>
        <v>76</v>
      </c>
      <c r="F123" s="3">
        <v>6.3582700000000001</v>
      </c>
      <c r="G123" s="16">
        <v>2934.94</v>
      </c>
      <c r="H123" s="18">
        <v>461595000</v>
      </c>
      <c r="I123" s="18">
        <v>15020.2</v>
      </c>
      <c r="J123" s="3">
        <v>6.8667292000000005E-2</v>
      </c>
      <c r="K123" s="3">
        <v>7.4382571000000002E-4</v>
      </c>
      <c r="L123" s="18">
        <v>8.5758191000000004E-6</v>
      </c>
      <c r="M123" s="18">
        <v>1.2050179999999999E-7</v>
      </c>
      <c r="N123" s="18">
        <v>1.1480402E-5</v>
      </c>
      <c r="O123" s="18">
        <v>7.2415868000000002E-7</v>
      </c>
      <c r="P123" s="3">
        <v>4.5178824000000001E-3</v>
      </c>
      <c r="Q123" s="3">
        <v>1.3641523999999999E-4</v>
      </c>
      <c r="R123" s="3">
        <v>2.0454951000000001</v>
      </c>
      <c r="S123" s="3">
        <v>1.9357302999999999E-2</v>
      </c>
      <c r="T123" s="18">
        <v>2.6615398000000002E-8</v>
      </c>
      <c r="U123" s="18">
        <v>9.5752749000000009E-10</v>
      </c>
      <c r="V123" s="3">
        <v>1.4451411999999999E-3</v>
      </c>
      <c r="W123" s="3">
        <v>1.3448822999999999E-4</v>
      </c>
    </row>
    <row r="124" spans="1:23" x14ac:dyDescent="0.3">
      <c r="A124" s="17" t="s">
        <v>110</v>
      </c>
      <c r="C124" s="3">
        <v>80</v>
      </c>
      <c r="E124" s="21">
        <f t="shared" si="2"/>
        <v>80</v>
      </c>
      <c r="F124" s="3">
        <v>6.3582700000000001</v>
      </c>
      <c r="G124" s="16">
        <v>2882.74</v>
      </c>
      <c r="H124" s="18">
        <v>453385000</v>
      </c>
      <c r="I124" s="18">
        <v>34799.1</v>
      </c>
      <c r="J124" s="3">
        <v>6.7330145999999994E-2</v>
      </c>
      <c r="K124" s="3">
        <v>7.5857343999999999E-4</v>
      </c>
      <c r="L124" s="18">
        <v>8.0034206999999996E-6</v>
      </c>
      <c r="M124" s="18">
        <v>1.2318072000000001E-7</v>
      </c>
      <c r="N124" s="18">
        <v>6.5889582999999999E-6</v>
      </c>
      <c r="O124" s="18">
        <v>8.4379423000000001E-7</v>
      </c>
      <c r="P124" s="3">
        <v>3.3596692000000001E-3</v>
      </c>
      <c r="Q124" s="3">
        <v>1.5157049000000001E-4</v>
      </c>
      <c r="R124" s="3">
        <v>0.91257938999999999</v>
      </c>
      <c r="S124" s="3">
        <v>2.8444401000000001E-2</v>
      </c>
      <c r="T124" s="18">
        <v>2.5030464999999999E-8</v>
      </c>
      <c r="U124" s="18">
        <v>1.3041896999999999E-9</v>
      </c>
      <c r="V124" s="3">
        <v>1.26077E-3</v>
      </c>
      <c r="W124" s="3">
        <v>1.5612212999999999E-4</v>
      </c>
    </row>
    <row r="125" spans="1:23" x14ac:dyDescent="0.3">
      <c r="A125" s="17" t="s">
        <v>110</v>
      </c>
      <c r="C125" s="3">
        <v>84</v>
      </c>
      <c r="E125" s="21">
        <f t="shared" si="2"/>
        <v>84</v>
      </c>
      <c r="F125" s="3">
        <v>6.3582700000000001</v>
      </c>
      <c r="G125" s="16">
        <v>3415.9</v>
      </c>
      <c r="H125" s="18">
        <v>537237000</v>
      </c>
      <c r="I125" s="18">
        <v>44274.7</v>
      </c>
      <c r="J125" s="3">
        <v>6.8731955999999997E-2</v>
      </c>
      <c r="K125" s="3">
        <v>7.6422236000000003E-4</v>
      </c>
      <c r="L125" s="18">
        <v>8.0699565E-6</v>
      </c>
      <c r="M125" s="18">
        <v>1.3013244E-7</v>
      </c>
      <c r="N125" s="18">
        <v>1.0173332000000001E-5</v>
      </c>
      <c r="O125" s="18">
        <v>7.7888919000000003E-7</v>
      </c>
      <c r="P125" s="3">
        <v>2.6431606000000001E-3</v>
      </c>
      <c r="Q125" s="3">
        <v>1.3925459999999999E-4</v>
      </c>
      <c r="R125" s="3">
        <v>-9.8175731000000002E-2</v>
      </c>
      <c r="S125" s="3">
        <v>3.4686084999999998E-2</v>
      </c>
      <c r="T125" s="18">
        <v>2.8908945E-8</v>
      </c>
      <c r="U125" s="18">
        <v>1.8715209E-9</v>
      </c>
      <c r="V125" s="3">
        <v>1.6034784999999999E-3</v>
      </c>
      <c r="W125" s="3">
        <v>1.6590375E-4</v>
      </c>
    </row>
    <row r="126" spans="1:23" x14ac:dyDescent="0.3">
      <c r="A126" s="17" t="s">
        <v>110</v>
      </c>
      <c r="C126" s="3">
        <v>88</v>
      </c>
      <c r="E126" s="21">
        <f t="shared" si="2"/>
        <v>88</v>
      </c>
      <c r="F126" s="3">
        <v>6.3582700000000001</v>
      </c>
      <c r="G126" s="16">
        <v>3444.88</v>
      </c>
      <c r="H126" s="18">
        <v>541796000</v>
      </c>
      <c r="I126" s="18">
        <v>24190.799999999999</v>
      </c>
      <c r="J126" s="3">
        <v>6.789125E-2</v>
      </c>
      <c r="K126" s="3">
        <v>7.5016294999999996E-4</v>
      </c>
      <c r="L126" s="18">
        <v>8.0111176999999997E-6</v>
      </c>
      <c r="M126" s="18">
        <v>1.3161197E-7</v>
      </c>
      <c r="N126" s="18">
        <v>1.1106996E-5</v>
      </c>
      <c r="O126" s="18">
        <v>7.6585349E-7</v>
      </c>
      <c r="P126" s="3">
        <v>4.1707467999999998E-3</v>
      </c>
      <c r="Q126" s="3">
        <v>1.5602992999999999E-4</v>
      </c>
      <c r="R126" s="3">
        <v>0.15859235999999999</v>
      </c>
      <c r="S126" s="3">
        <v>2.4679870999999999E-2</v>
      </c>
      <c r="T126" s="18">
        <v>2.4844044999999998E-8</v>
      </c>
      <c r="U126" s="18">
        <v>1.1194208999999999E-9</v>
      </c>
      <c r="V126" s="3">
        <v>1.7198769E-3</v>
      </c>
      <c r="W126" s="3">
        <v>1.6775859999999999E-4</v>
      </c>
    </row>
    <row r="127" spans="1:23" x14ac:dyDescent="0.3">
      <c r="A127" s="17" t="s">
        <v>110</v>
      </c>
      <c r="C127" s="3">
        <v>92</v>
      </c>
      <c r="E127" s="21">
        <f t="shared" si="2"/>
        <v>92</v>
      </c>
      <c r="F127" s="3">
        <v>6.3582700000000001</v>
      </c>
      <c r="G127" s="16">
        <v>3462.63</v>
      </c>
      <c r="H127" s="18">
        <v>544587000</v>
      </c>
      <c r="I127" s="18">
        <v>27935.9</v>
      </c>
      <c r="J127" s="3">
        <v>6.8716525000000001E-2</v>
      </c>
      <c r="K127" s="3">
        <v>7.9267672999999998E-4</v>
      </c>
      <c r="L127" s="18">
        <v>8.4990354999999999E-6</v>
      </c>
      <c r="M127" s="18">
        <v>1.2856588E-7</v>
      </c>
      <c r="N127" s="18">
        <v>9.4584729000000005E-6</v>
      </c>
      <c r="O127" s="18">
        <v>7.9644408999999996E-7</v>
      </c>
      <c r="P127" s="3">
        <v>4.1136562000000003E-3</v>
      </c>
      <c r="Q127" s="3">
        <v>1.5361437000000001E-4</v>
      </c>
      <c r="R127" s="3">
        <v>-0.85096742000000003</v>
      </c>
      <c r="S127" s="3">
        <v>2.4539682E-2</v>
      </c>
      <c r="T127" s="18">
        <v>2.4872753000000001E-8</v>
      </c>
      <c r="U127" s="18">
        <v>1.1074786E-9</v>
      </c>
      <c r="V127" s="3">
        <v>1.6028974E-3</v>
      </c>
      <c r="W127" s="3">
        <v>1.4817475999999999E-4</v>
      </c>
    </row>
    <row r="128" spans="1:23" x14ac:dyDescent="0.3">
      <c r="A128" s="17" t="s">
        <v>110</v>
      </c>
      <c r="C128" s="3">
        <v>94</v>
      </c>
      <c r="E128" s="21">
        <f t="shared" si="2"/>
        <v>94</v>
      </c>
      <c r="F128" s="3">
        <v>6.3582700000000001</v>
      </c>
      <c r="G128" s="16">
        <v>3503.28</v>
      </c>
      <c r="H128" s="18">
        <v>550980000</v>
      </c>
      <c r="I128" s="18">
        <v>31403.4</v>
      </c>
      <c r="J128" s="3">
        <v>5.5464041999999998E-2</v>
      </c>
      <c r="K128" s="3">
        <v>7.3381138999999997E-4</v>
      </c>
      <c r="L128" s="18">
        <v>7.7994736999999995E-6</v>
      </c>
      <c r="M128" s="18">
        <v>1.4975776000000001E-7</v>
      </c>
      <c r="N128" s="18">
        <v>1.6322721E-6</v>
      </c>
      <c r="O128" s="18">
        <v>1.0609005E-6</v>
      </c>
      <c r="P128" s="3">
        <v>3.3820877E-3</v>
      </c>
      <c r="Q128" s="3">
        <v>1.4358259000000001E-4</v>
      </c>
      <c r="R128" s="3">
        <v>-1.0324656999999999</v>
      </c>
      <c r="S128" s="3">
        <v>2.7984035000000001E-2</v>
      </c>
      <c r="T128" s="18">
        <v>2.6868811E-8</v>
      </c>
      <c r="U128" s="18">
        <v>1.3794261000000001E-9</v>
      </c>
      <c r="V128" s="3">
        <v>1.1191354E-3</v>
      </c>
      <c r="W128" s="3">
        <v>1.7089553000000001E-4</v>
      </c>
    </row>
    <row r="129" spans="1:23" x14ac:dyDescent="0.3">
      <c r="A129" s="17" t="s">
        <v>110</v>
      </c>
      <c r="C129" s="3">
        <v>98</v>
      </c>
      <c r="E129" s="21">
        <f t="shared" si="2"/>
        <v>98</v>
      </c>
      <c r="F129" s="3">
        <v>6.3582700000000001</v>
      </c>
      <c r="G129" s="16">
        <v>3503.22</v>
      </c>
      <c r="H129" s="18">
        <v>550971000</v>
      </c>
      <c r="I129" s="18">
        <v>17828.3</v>
      </c>
      <c r="J129" s="3">
        <v>7.0074376999999993E-2</v>
      </c>
      <c r="K129" s="3">
        <v>9.6430406000000001E-4</v>
      </c>
      <c r="L129" s="18">
        <v>7.9695969999999992E-6</v>
      </c>
      <c r="M129" s="18">
        <v>1.4226057000000001E-7</v>
      </c>
      <c r="N129" s="18">
        <v>1.0546613000000001E-5</v>
      </c>
      <c r="O129" s="18">
        <v>9.9997661000000002E-7</v>
      </c>
      <c r="P129" s="3">
        <v>4.9276668000000001E-3</v>
      </c>
      <c r="Q129" s="3">
        <v>1.7437869E-4</v>
      </c>
      <c r="R129" s="3">
        <v>1.4384579</v>
      </c>
      <c r="S129" s="3">
        <v>2.2292889999999999E-2</v>
      </c>
      <c r="T129" s="18">
        <v>2.5455585E-8</v>
      </c>
      <c r="U129" s="18">
        <v>1.0031961E-9</v>
      </c>
      <c r="V129" s="3">
        <v>1.312777E-3</v>
      </c>
      <c r="W129" s="3">
        <v>1.8031813E-4</v>
      </c>
    </row>
    <row r="130" spans="1:23" x14ac:dyDescent="0.3">
      <c r="A130" s="17" t="s">
        <v>110</v>
      </c>
      <c r="C130" s="3">
        <v>102</v>
      </c>
      <c r="E130" s="21">
        <f t="shared" si="2"/>
        <v>102</v>
      </c>
      <c r="F130" s="3">
        <v>6.3582700000000001</v>
      </c>
      <c r="G130" s="16">
        <v>3525.03</v>
      </c>
      <c r="H130" s="18">
        <v>554401000</v>
      </c>
      <c r="I130" s="18">
        <v>32642.2</v>
      </c>
      <c r="J130" s="3">
        <v>6.8491329000000004E-2</v>
      </c>
      <c r="K130" s="3">
        <v>8.8661242E-4</v>
      </c>
      <c r="L130" s="18">
        <v>7.8879037000000006E-6</v>
      </c>
      <c r="M130" s="18">
        <v>1.3557939999999999E-7</v>
      </c>
      <c r="N130" s="18">
        <v>8.5542059999999999E-6</v>
      </c>
      <c r="O130" s="18">
        <v>9.6746582999999998E-7</v>
      </c>
      <c r="P130" s="3">
        <v>3.0127203000000001E-3</v>
      </c>
      <c r="Q130" s="3">
        <v>1.4750605000000001E-4</v>
      </c>
      <c r="R130" s="3">
        <v>2.1613207000000001</v>
      </c>
      <c r="S130" s="3">
        <v>3.1141292000000001E-2</v>
      </c>
      <c r="T130" s="18">
        <v>2.8705319E-8</v>
      </c>
      <c r="U130" s="18">
        <v>1.624281E-9</v>
      </c>
      <c r="V130" s="3">
        <v>1.2621652000000001E-3</v>
      </c>
      <c r="W130" s="3">
        <v>1.7416441E-4</v>
      </c>
    </row>
    <row r="131" spans="1:23" x14ac:dyDescent="0.3">
      <c r="A131" s="17" t="s">
        <v>110</v>
      </c>
      <c r="C131" s="3">
        <v>106</v>
      </c>
      <c r="E131" s="21">
        <f t="shared" si="2"/>
        <v>106</v>
      </c>
      <c r="F131" s="3">
        <v>6.3582700000000001</v>
      </c>
      <c r="G131" s="16">
        <v>3566.99</v>
      </c>
      <c r="H131" s="18">
        <v>561001000</v>
      </c>
      <c r="I131" s="18">
        <v>34740.5</v>
      </c>
      <c r="J131" s="3">
        <v>7.1624486000000001E-2</v>
      </c>
      <c r="K131" s="3">
        <v>9.2232516999999996E-4</v>
      </c>
      <c r="L131" s="18">
        <v>8.5502840999999996E-6</v>
      </c>
      <c r="M131" s="18">
        <v>1.4865881000000001E-7</v>
      </c>
      <c r="N131" s="18">
        <v>1.3845658E-5</v>
      </c>
      <c r="O131" s="18">
        <v>8.2701619999999998E-7</v>
      </c>
      <c r="P131" s="3">
        <v>3.609733E-3</v>
      </c>
      <c r="Q131" s="3">
        <v>1.6331648999999999E-4</v>
      </c>
      <c r="R131" s="3">
        <v>-0.91199414000000001</v>
      </c>
      <c r="S131" s="3">
        <v>2.9940159000000001E-2</v>
      </c>
      <c r="T131" s="18">
        <v>2.8009104E-8</v>
      </c>
      <c r="U131" s="18">
        <v>1.5528811000000001E-9</v>
      </c>
      <c r="V131" s="3">
        <v>1.5575222000000001E-3</v>
      </c>
      <c r="W131" s="3">
        <v>1.7333891000000001E-4</v>
      </c>
    </row>
    <row r="132" spans="1:23" x14ac:dyDescent="0.3">
      <c r="A132" s="17" t="s">
        <v>110</v>
      </c>
      <c r="C132" s="3">
        <v>110</v>
      </c>
      <c r="E132" s="21">
        <f t="shared" si="2"/>
        <v>110</v>
      </c>
      <c r="F132" s="3">
        <v>6.3582700000000001</v>
      </c>
      <c r="G132" s="16">
        <v>2910.02</v>
      </c>
      <c r="H132" s="18">
        <v>457674000</v>
      </c>
      <c r="I132" s="18">
        <v>35976.800000000003</v>
      </c>
      <c r="J132" s="3">
        <v>6.9853375999999995E-2</v>
      </c>
      <c r="K132" s="3">
        <v>7.7080767000000001E-4</v>
      </c>
      <c r="L132" s="18">
        <v>7.8448021000000003E-6</v>
      </c>
      <c r="M132" s="18">
        <v>1.2733831000000001E-7</v>
      </c>
      <c r="N132" s="18">
        <v>6.4728824999999999E-6</v>
      </c>
      <c r="O132" s="18">
        <v>8.2936812999999996E-7</v>
      </c>
      <c r="P132" s="3">
        <v>5.7172114E-3</v>
      </c>
      <c r="Q132" s="3">
        <v>1.9656205E-4</v>
      </c>
      <c r="R132" s="3">
        <v>2.5297537000000001</v>
      </c>
      <c r="S132" s="3">
        <v>2.1827025E-2</v>
      </c>
      <c r="T132" s="18">
        <v>2.0049667000000001E-8</v>
      </c>
      <c r="U132" s="18">
        <v>7.7749234999999999E-10</v>
      </c>
      <c r="V132" s="3">
        <v>1.7907457999999999E-3</v>
      </c>
      <c r="W132" s="3">
        <v>1.7666196999999999E-4</v>
      </c>
    </row>
    <row r="133" spans="1:23" x14ac:dyDescent="0.3">
      <c r="A133" s="17" t="s">
        <v>110</v>
      </c>
      <c r="C133" s="3">
        <v>114</v>
      </c>
      <c r="E133" s="21">
        <f t="shared" si="2"/>
        <v>114</v>
      </c>
      <c r="F133" s="3">
        <v>6.3582700000000001</v>
      </c>
      <c r="G133" s="16">
        <v>2983.39</v>
      </c>
      <c r="H133" s="18">
        <v>469214000</v>
      </c>
      <c r="I133" s="18">
        <v>21149.1</v>
      </c>
      <c r="J133" s="3">
        <v>7.2844832999999998E-2</v>
      </c>
      <c r="K133" s="3">
        <v>7.6229909999999995E-4</v>
      </c>
      <c r="L133" s="18">
        <v>8.1712408999999995E-6</v>
      </c>
      <c r="M133" s="18">
        <v>1.1917180000000001E-7</v>
      </c>
      <c r="N133" s="18">
        <v>1.0329544E-5</v>
      </c>
      <c r="O133" s="18">
        <v>7.3027479000000005E-7</v>
      </c>
      <c r="P133" s="3">
        <v>4.0989169000000001E-3</v>
      </c>
      <c r="Q133" s="3">
        <v>1.4396634999999999E-4</v>
      </c>
      <c r="R133" s="3">
        <v>1.7221222</v>
      </c>
      <c r="S133" s="3">
        <v>2.2565285000000001E-2</v>
      </c>
      <c r="T133" s="18">
        <v>2.6955491E-8</v>
      </c>
      <c r="U133" s="18">
        <v>1.131372E-9</v>
      </c>
      <c r="V133" s="3">
        <v>1.4727633000000001E-3</v>
      </c>
      <c r="W133" s="3">
        <v>1.5599082000000001E-4</v>
      </c>
    </row>
    <row r="134" spans="1:23" x14ac:dyDescent="0.3">
      <c r="A134" s="17" t="s">
        <v>110</v>
      </c>
      <c r="C134" s="3">
        <v>118</v>
      </c>
      <c r="E134" s="21">
        <f t="shared" si="2"/>
        <v>118</v>
      </c>
      <c r="F134" s="3">
        <v>6.3582700000000001</v>
      </c>
      <c r="G134" s="16">
        <v>2990.8</v>
      </c>
      <c r="H134" s="18">
        <v>470379000</v>
      </c>
      <c r="I134" s="18">
        <v>12361</v>
      </c>
      <c r="J134" s="3">
        <v>5.8097399000000001E-2</v>
      </c>
      <c r="K134" s="3">
        <v>6.2426460999999997E-4</v>
      </c>
      <c r="L134" s="18">
        <v>7.5561336000000003E-6</v>
      </c>
      <c r="M134" s="18">
        <v>1.2209349000000001E-7</v>
      </c>
      <c r="N134" s="18">
        <v>5.4999754E-7</v>
      </c>
      <c r="O134" s="18">
        <v>8.9095079999999996E-7</v>
      </c>
      <c r="P134" s="3">
        <v>6.9587542000000002E-3</v>
      </c>
      <c r="Q134" s="3">
        <v>1.4010138000000001E-4</v>
      </c>
      <c r="R134" s="3">
        <v>1.4139155000000001</v>
      </c>
      <c r="S134" s="3">
        <v>1.285325E-2</v>
      </c>
      <c r="T134" s="18">
        <v>2.3668770000000001E-8</v>
      </c>
      <c r="U134" s="18">
        <v>5.5360728E-10</v>
      </c>
      <c r="V134" s="3">
        <v>1.0096257999999999E-3</v>
      </c>
      <c r="W134" s="3">
        <v>1.5496056999999999E-4</v>
      </c>
    </row>
    <row r="135" spans="1:23" x14ac:dyDescent="0.3">
      <c r="A135" s="17" t="s">
        <v>110</v>
      </c>
      <c r="C135" s="3">
        <v>122</v>
      </c>
      <c r="E135" s="21">
        <f t="shared" si="2"/>
        <v>122</v>
      </c>
      <c r="F135" s="3">
        <v>6.3582700000000001</v>
      </c>
      <c r="G135" s="16">
        <v>3051.54</v>
      </c>
      <c r="H135" s="18">
        <v>479933000</v>
      </c>
      <c r="I135" s="18">
        <v>7984.17</v>
      </c>
      <c r="J135" s="3">
        <v>6.1375119999999998E-2</v>
      </c>
      <c r="K135" s="3">
        <v>6.9474876000000002E-4</v>
      </c>
      <c r="L135" s="18">
        <v>7.8364095999999993E-6</v>
      </c>
      <c r="M135" s="18">
        <v>1.2473515E-7</v>
      </c>
      <c r="N135" s="18">
        <v>2.4830650000000001E-6</v>
      </c>
      <c r="O135" s="18">
        <v>9.0119401999999996E-7</v>
      </c>
      <c r="P135" s="3">
        <v>7.6078480000000004E-3</v>
      </c>
      <c r="Q135" s="3">
        <v>1.3658480999999999E-4</v>
      </c>
      <c r="R135" s="3">
        <v>0.34612078000000002</v>
      </c>
      <c r="S135" s="3">
        <v>1.1469161E-2</v>
      </c>
      <c r="T135" s="18">
        <v>2.6244931999999999E-8</v>
      </c>
      <c r="U135" s="18">
        <v>5.5480049E-10</v>
      </c>
      <c r="V135" s="3">
        <v>7.5858477000000004E-4</v>
      </c>
      <c r="W135" s="3">
        <v>1.5396969000000001E-4</v>
      </c>
    </row>
    <row r="136" spans="1:23" x14ac:dyDescent="0.3">
      <c r="A136" s="17" t="s">
        <v>110</v>
      </c>
      <c r="C136" s="3">
        <v>126</v>
      </c>
      <c r="E136" s="21">
        <f t="shared" si="2"/>
        <v>126</v>
      </c>
      <c r="F136" s="3">
        <v>6.3582700000000001</v>
      </c>
      <c r="G136" s="16">
        <v>3072.55</v>
      </c>
      <c r="H136" s="18">
        <v>483237000</v>
      </c>
      <c r="I136" s="18">
        <v>5391.25</v>
      </c>
      <c r="J136" s="3">
        <v>7.1776009000000002E-2</v>
      </c>
      <c r="K136" s="3">
        <v>6.7130947E-4</v>
      </c>
      <c r="L136" s="18">
        <v>8.1999184999999998E-6</v>
      </c>
      <c r="M136" s="18">
        <v>1.0828746E-7</v>
      </c>
      <c r="N136" s="18">
        <v>1.1382553999999999E-5</v>
      </c>
      <c r="O136" s="18">
        <v>6.3929216E-7</v>
      </c>
      <c r="P136" s="3">
        <v>7.7442042000000003E-3</v>
      </c>
      <c r="Q136" s="3">
        <v>1.2253146E-4</v>
      </c>
      <c r="R136" s="3">
        <v>1.8059786</v>
      </c>
      <c r="S136" s="3">
        <v>1.0280427999999999E-2</v>
      </c>
      <c r="T136" s="18">
        <v>2.8336541E-8</v>
      </c>
      <c r="U136" s="18">
        <v>5.4513635000000002E-10</v>
      </c>
      <c r="V136" s="3">
        <v>1.4577492E-3</v>
      </c>
      <c r="W136" s="3">
        <v>1.3858514E-4</v>
      </c>
    </row>
    <row r="137" spans="1:23" x14ac:dyDescent="0.3">
      <c r="A137" s="17" t="s">
        <v>110</v>
      </c>
      <c r="C137" s="3">
        <v>130</v>
      </c>
      <c r="E137" s="21">
        <f t="shared" si="2"/>
        <v>130</v>
      </c>
      <c r="F137" s="3">
        <v>6.3582700000000001</v>
      </c>
      <c r="G137" s="16">
        <v>3074.09</v>
      </c>
      <c r="H137" s="18">
        <v>483478000</v>
      </c>
      <c r="I137" s="18">
        <v>4477.43</v>
      </c>
      <c r="J137" s="3">
        <v>7.1112897999999994E-2</v>
      </c>
      <c r="K137" s="3">
        <v>7.0766201999999999E-4</v>
      </c>
      <c r="L137" s="18">
        <v>7.8714251000000006E-6</v>
      </c>
      <c r="M137" s="18">
        <v>1.125353E-7</v>
      </c>
      <c r="N137" s="18">
        <v>8.2539034000000003E-6</v>
      </c>
      <c r="O137" s="18">
        <v>7.3329574000000004E-7</v>
      </c>
      <c r="P137" s="3">
        <v>8.2248330000000008E-3</v>
      </c>
      <c r="Q137" s="3">
        <v>1.2320066999999999E-4</v>
      </c>
      <c r="R137" s="3">
        <v>0.23610122</v>
      </c>
      <c r="S137" s="3">
        <v>9.6448825999999998E-3</v>
      </c>
      <c r="T137" s="18">
        <v>3.0210822000000001E-8</v>
      </c>
      <c r="U137" s="18">
        <v>5.4708257999999995E-10</v>
      </c>
      <c r="V137" s="3">
        <v>1.4505598E-3</v>
      </c>
      <c r="W137" s="3">
        <v>1.5499460999999999E-4</v>
      </c>
    </row>
    <row r="138" spans="1:23" x14ac:dyDescent="0.3">
      <c r="A138" s="17" t="s">
        <v>111</v>
      </c>
      <c r="C138" s="3">
        <v>-4</v>
      </c>
      <c r="D138" s="3">
        <v>332</v>
      </c>
      <c r="E138" s="21">
        <f>C138+4</f>
        <v>0</v>
      </c>
      <c r="F138" s="3">
        <v>6.3747100000000003</v>
      </c>
      <c r="G138" s="16">
        <v>2941.46</v>
      </c>
      <c r="H138" s="18">
        <v>461427000</v>
      </c>
      <c r="I138" s="18">
        <v>31967.8</v>
      </c>
      <c r="J138" s="3">
        <v>7.1848105999999995E-2</v>
      </c>
      <c r="K138" s="3">
        <v>5.4276366999999996E-4</v>
      </c>
      <c r="L138" s="18">
        <v>5.5504163999999996E-6</v>
      </c>
      <c r="M138" s="18">
        <v>1.1208279E-7</v>
      </c>
      <c r="N138" s="18">
        <v>4.6461684000000001E-8</v>
      </c>
      <c r="O138" s="18">
        <v>7.9175051999999996E-7</v>
      </c>
      <c r="P138" s="3">
        <v>2.5775702E-3</v>
      </c>
      <c r="Q138" s="3">
        <v>1.3080753999999999E-4</v>
      </c>
      <c r="R138" s="3">
        <v>1.050805</v>
      </c>
      <c r="S138" s="3">
        <v>3.2811561000000003E-2</v>
      </c>
      <c r="T138" s="18">
        <v>3.0884854000000001E-8</v>
      </c>
      <c r="U138" s="18">
        <v>1.8951272999999998E-9</v>
      </c>
      <c r="V138" s="3">
        <v>-2.9856587999999998E-3</v>
      </c>
      <c r="W138" s="3" t="s">
        <v>51</v>
      </c>
    </row>
    <row r="139" spans="1:23" x14ac:dyDescent="0.3">
      <c r="A139" s="17" t="s">
        <v>111</v>
      </c>
      <c r="C139" s="10">
        <v>0</v>
      </c>
      <c r="D139" s="3">
        <v>336</v>
      </c>
      <c r="E139" s="21">
        <f t="shared" ref="E139:E186" si="3">C139+4</f>
        <v>4</v>
      </c>
      <c r="F139" s="3">
        <v>6.3747100000000003</v>
      </c>
      <c r="G139" s="16">
        <v>2989.97</v>
      </c>
      <c r="H139" s="18">
        <v>469036000</v>
      </c>
      <c r="I139" s="18">
        <v>22959</v>
      </c>
      <c r="J139" s="3">
        <v>6.5886803999999993E-2</v>
      </c>
      <c r="K139" s="18">
        <v>9.1151611000000007E-5</v>
      </c>
      <c r="L139" s="18">
        <v>5.9700567999999998E-6</v>
      </c>
      <c r="M139" s="18">
        <v>5.3325025000000001E-8</v>
      </c>
      <c r="N139" s="18">
        <v>1.4883622000000001E-9</v>
      </c>
      <c r="O139" s="3" t="s">
        <v>31</v>
      </c>
      <c r="P139" s="3">
        <v>3.6093064000000002E-3</v>
      </c>
      <c r="Q139" s="3">
        <v>1.3451792E-4</v>
      </c>
      <c r="R139" s="3">
        <v>9.1680620000000004E-2</v>
      </c>
      <c r="S139" s="3">
        <v>2.3994957000000001E-2</v>
      </c>
      <c r="T139" s="18">
        <v>2.7338228E-8</v>
      </c>
      <c r="U139" s="18">
        <v>1.1997349000000001E-9</v>
      </c>
      <c r="V139" s="3">
        <v>-1.5919864E-3</v>
      </c>
      <c r="W139" s="3" t="s">
        <v>52</v>
      </c>
    </row>
    <row r="140" spans="1:23" x14ac:dyDescent="0.3">
      <c r="A140" s="17" t="s">
        <v>111</v>
      </c>
      <c r="C140" s="10">
        <v>4</v>
      </c>
      <c r="D140" s="3">
        <v>340</v>
      </c>
      <c r="E140" s="21">
        <f t="shared" si="3"/>
        <v>8</v>
      </c>
      <c r="F140" s="3">
        <v>6.3747100000000003</v>
      </c>
      <c r="G140" s="16">
        <v>2982.85</v>
      </c>
      <c r="H140" s="18">
        <v>467920000</v>
      </c>
      <c r="I140" s="18">
        <v>14809.9</v>
      </c>
      <c r="J140" s="3">
        <v>9.3542534999999996E-2</v>
      </c>
      <c r="K140" s="3">
        <v>1.9496554E-4</v>
      </c>
      <c r="L140" s="18">
        <v>8.2001465000000002E-6</v>
      </c>
      <c r="M140" s="18">
        <v>5.8144312999999998E-8</v>
      </c>
      <c r="N140" s="18">
        <v>2.9261970999999998E-11</v>
      </c>
      <c r="O140" s="3" t="s">
        <v>31</v>
      </c>
      <c r="P140" s="3">
        <v>6.9170719999999998E-3</v>
      </c>
      <c r="Q140" s="3">
        <v>3.3151665999999998E-4</v>
      </c>
      <c r="R140" s="3">
        <v>0.82643471000000002</v>
      </c>
      <c r="S140" s="3">
        <v>2.1943711000000001E-2</v>
      </c>
      <c r="T140" s="18">
        <v>3.2453754999999999E-8</v>
      </c>
      <c r="U140" s="18">
        <v>1.0912434000000001E-9</v>
      </c>
      <c r="V140" s="3">
        <v>1.5286471E-3</v>
      </c>
      <c r="W140" s="3" t="s">
        <v>53</v>
      </c>
    </row>
    <row r="141" spans="1:23" x14ac:dyDescent="0.3">
      <c r="A141" s="17" t="s">
        <v>111</v>
      </c>
      <c r="C141" s="10">
        <v>8</v>
      </c>
      <c r="D141" s="3">
        <v>344</v>
      </c>
      <c r="E141" s="21">
        <f t="shared" si="3"/>
        <v>12</v>
      </c>
      <c r="F141" s="3">
        <v>6.3747100000000003</v>
      </c>
      <c r="G141" s="16">
        <v>2956.57</v>
      </c>
      <c r="H141" s="18">
        <v>463796000</v>
      </c>
      <c r="I141" s="18">
        <v>28868</v>
      </c>
      <c r="J141" s="3">
        <v>7.1368588999999996E-2</v>
      </c>
      <c r="K141" s="3">
        <v>5.3248612000000005E-4</v>
      </c>
      <c r="L141" s="18">
        <v>5.4307754000000003E-6</v>
      </c>
      <c r="M141" s="18">
        <v>1.0802754000000001E-7</v>
      </c>
      <c r="N141" s="18">
        <v>6.5043178999999996E-7</v>
      </c>
      <c r="O141" s="18">
        <v>7.9584992E-7</v>
      </c>
      <c r="P141" s="3">
        <v>2.0721953999999999E-3</v>
      </c>
      <c r="Q141" s="3">
        <v>1.0275564000000001E-4</v>
      </c>
      <c r="R141" s="3">
        <v>3.0916823999999998</v>
      </c>
      <c r="S141" s="3">
        <v>3.1860214999999997E-2</v>
      </c>
      <c r="T141" s="18">
        <v>3.9516241999999999E-8</v>
      </c>
      <c r="U141" s="18">
        <v>2.4205529E-9</v>
      </c>
      <c r="V141" s="3">
        <v>-2.6150101000000001E-3</v>
      </c>
      <c r="W141" s="3" t="s">
        <v>54</v>
      </c>
    </row>
    <row r="142" spans="1:23" x14ac:dyDescent="0.3">
      <c r="A142" s="17" t="s">
        <v>111</v>
      </c>
      <c r="C142" s="10">
        <v>12</v>
      </c>
      <c r="D142" s="3">
        <v>348</v>
      </c>
      <c r="E142" s="21">
        <f t="shared" si="3"/>
        <v>16</v>
      </c>
      <c r="F142" s="3">
        <v>6.3747100000000003</v>
      </c>
      <c r="G142" s="16">
        <v>2894.84</v>
      </c>
      <c r="H142" s="18">
        <v>454113000</v>
      </c>
      <c r="I142" s="18">
        <v>35874.400000000001</v>
      </c>
      <c r="J142" s="3">
        <v>6.0033823E-2</v>
      </c>
      <c r="K142" s="18">
        <v>7.4762108000000002E-5</v>
      </c>
      <c r="L142" s="18">
        <v>6.5237443000000001E-6</v>
      </c>
      <c r="M142" s="18">
        <v>5.4057902000000002E-8</v>
      </c>
      <c r="N142" s="18">
        <v>2.9933333999999998E-14</v>
      </c>
      <c r="O142" s="3" t="s">
        <v>31</v>
      </c>
      <c r="P142" s="3">
        <v>2.3591088999999998E-3</v>
      </c>
      <c r="Q142" s="3">
        <v>1.0770361E-4</v>
      </c>
      <c r="R142" s="3">
        <v>7.7934244E-2</v>
      </c>
      <c r="S142" s="3">
        <v>2.9256305999999999E-2</v>
      </c>
      <c r="T142" s="18">
        <v>3.2808864000000002E-8</v>
      </c>
      <c r="U142" s="18">
        <v>1.8078019999999999E-9</v>
      </c>
      <c r="V142" s="3">
        <v>-6.8685888E-4</v>
      </c>
      <c r="W142" s="3" t="s">
        <v>55</v>
      </c>
    </row>
    <row r="143" spans="1:23" x14ac:dyDescent="0.3">
      <c r="A143" s="17" t="s">
        <v>111</v>
      </c>
      <c r="C143" s="10">
        <v>16</v>
      </c>
      <c r="D143" s="3">
        <v>352</v>
      </c>
      <c r="E143" s="21">
        <f t="shared" si="3"/>
        <v>20</v>
      </c>
      <c r="F143" s="3">
        <v>6.3747100000000003</v>
      </c>
      <c r="G143" s="16">
        <v>2757.5</v>
      </c>
      <c r="H143" s="18">
        <v>432569000</v>
      </c>
      <c r="I143" s="18">
        <v>375132</v>
      </c>
      <c r="J143" s="3">
        <v>6.4337085000000002E-2</v>
      </c>
      <c r="K143" s="18">
        <v>8.7578961999999999E-5</v>
      </c>
      <c r="L143" s="18">
        <v>6.0160943E-6</v>
      </c>
      <c r="M143" s="18">
        <v>5.3667894999999998E-8</v>
      </c>
      <c r="N143" s="18">
        <v>5.3038971000000002E-9</v>
      </c>
      <c r="O143" s="3" t="s">
        <v>31</v>
      </c>
      <c r="P143" s="3">
        <v>4.1559326000000004E-3</v>
      </c>
      <c r="Q143" s="3">
        <v>2.7973422E-4</v>
      </c>
      <c r="R143" s="3">
        <v>1.6623697</v>
      </c>
      <c r="S143" s="3">
        <v>7.0051949000000002E-2</v>
      </c>
      <c r="T143" s="18">
        <v>9.1126873999999999E-9</v>
      </c>
      <c r="U143" s="3" t="s">
        <v>31</v>
      </c>
      <c r="V143" s="3">
        <v>-1.1164399E-3</v>
      </c>
      <c r="W143" s="3" t="s">
        <v>56</v>
      </c>
    </row>
    <row r="144" spans="1:23" x14ac:dyDescent="0.3">
      <c r="A144" s="17" t="s">
        <v>111</v>
      </c>
      <c r="C144" s="10">
        <v>20</v>
      </c>
      <c r="D144" s="3">
        <v>356</v>
      </c>
      <c r="E144" s="21">
        <f t="shared" si="3"/>
        <v>24</v>
      </c>
      <c r="F144" s="3">
        <v>6.3747100000000003</v>
      </c>
      <c r="G144" s="16">
        <v>2811.09</v>
      </c>
      <c r="H144" s="18">
        <v>440976000</v>
      </c>
      <c r="I144" s="18">
        <v>10386.200000000001</v>
      </c>
      <c r="J144" s="3">
        <v>6.0041754000000003E-2</v>
      </c>
      <c r="K144" s="18">
        <v>9.7114453999999994E-5</v>
      </c>
      <c r="L144" s="18">
        <v>5.6746284000000004E-6</v>
      </c>
      <c r="M144" s="18">
        <v>5.6970692999999999E-8</v>
      </c>
      <c r="N144" s="18">
        <v>1.7746474999999999E-10</v>
      </c>
      <c r="O144" s="3" t="s">
        <v>31</v>
      </c>
      <c r="P144" s="3">
        <v>5.5721358999999996E-3</v>
      </c>
      <c r="Q144" s="3">
        <v>1.2264569000000001E-4</v>
      </c>
      <c r="R144" s="3">
        <v>1.4333393000000001</v>
      </c>
      <c r="S144" s="3">
        <v>1.4041352E-2</v>
      </c>
      <c r="T144" s="18">
        <v>2.9363568999999999E-8</v>
      </c>
      <c r="U144" s="18">
        <v>7.7001560000000004E-10</v>
      </c>
      <c r="V144" s="3">
        <v>-1.9592426000000001E-3</v>
      </c>
      <c r="W144" s="3" t="s">
        <v>57</v>
      </c>
    </row>
    <row r="145" spans="1:23" x14ac:dyDescent="0.3">
      <c r="A145" s="17" t="s">
        <v>111</v>
      </c>
      <c r="C145" s="10">
        <v>24</v>
      </c>
      <c r="D145" s="3">
        <v>0</v>
      </c>
      <c r="E145" s="21">
        <f t="shared" si="3"/>
        <v>28</v>
      </c>
      <c r="F145" s="3">
        <v>6.3747100000000003</v>
      </c>
      <c r="G145" s="16">
        <v>2792.37</v>
      </c>
      <c r="H145" s="18">
        <v>438039000</v>
      </c>
      <c r="I145" s="18">
        <v>23794.799999999999</v>
      </c>
      <c r="J145" s="3">
        <v>5.2908748999999998E-2</v>
      </c>
      <c r="K145" s="18">
        <v>7.4965061999999994E-5</v>
      </c>
      <c r="L145" s="18">
        <v>6.2961376999999997E-6</v>
      </c>
      <c r="M145" s="18">
        <v>5.9501813999999999E-8</v>
      </c>
      <c r="N145" s="18">
        <v>1.2580960999999999E-8</v>
      </c>
      <c r="O145" s="3" t="s">
        <v>31</v>
      </c>
      <c r="P145" s="3">
        <v>2.5319752000000002E-3</v>
      </c>
      <c r="Q145" s="3">
        <v>1.0606392E-4</v>
      </c>
      <c r="R145" s="3">
        <v>0.22873265000000001</v>
      </c>
      <c r="S145" s="3">
        <v>2.6749216999999999E-2</v>
      </c>
      <c r="T145" s="18">
        <v>3.2582840000000003E-8</v>
      </c>
      <c r="U145" s="18">
        <v>1.6324520000000001E-9</v>
      </c>
      <c r="V145" s="3">
        <v>-4.5599863999999998E-4</v>
      </c>
      <c r="W145" s="3" t="s">
        <v>58</v>
      </c>
    </row>
    <row r="146" spans="1:23" x14ac:dyDescent="0.3">
      <c r="A146" s="17" t="s">
        <v>111</v>
      </c>
      <c r="C146" s="10">
        <v>28</v>
      </c>
      <c r="D146" s="3">
        <v>4</v>
      </c>
      <c r="E146" s="21">
        <f t="shared" si="3"/>
        <v>32</v>
      </c>
      <c r="F146" s="3">
        <v>6.3747100000000003</v>
      </c>
      <c r="G146" s="16">
        <v>2773.83</v>
      </c>
      <c r="H146" s="18">
        <v>435130000</v>
      </c>
      <c r="I146" s="18">
        <v>15253.1</v>
      </c>
      <c r="J146" s="3">
        <v>4.9528084999999999E-2</v>
      </c>
      <c r="K146" s="3">
        <v>5.1202694999999995E-4</v>
      </c>
      <c r="L146" s="18">
        <v>6.2709114000000002E-6</v>
      </c>
      <c r="M146" s="18">
        <v>1.3147827999999999E-7</v>
      </c>
      <c r="N146" s="18">
        <v>3.4541051000000002E-7</v>
      </c>
      <c r="O146" s="18">
        <v>9.7668978999999992E-7</v>
      </c>
      <c r="P146" s="3">
        <v>3.0873773999999998E-3</v>
      </c>
      <c r="Q146" s="3">
        <v>1.0017586E-4</v>
      </c>
      <c r="R146" s="3">
        <v>1.5416430999999999</v>
      </c>
      <c r="S146" s="3">
        <v>2.0853015999999999E-2</v>
      </c>
      <c r="T146" s="18">
        <v>3.3009826E-8</v>
      </c>
      <c r="U146" s="18">
        <v>1.2971806E-9</v>
      </c>
      <c r="V146" s="3">
        <v>-5.5343104000000001E-4</v>
      </c>
      <c r="W146" s="3" t="s">
        <v>59</v>
      </c>
    </row>
    <row r="147" spans="1:23" x14ac:dyDescent="0.3">
      <c r="A147" s="17" t="s">
        <v>111</v>
      </c>
      <c r="C147" s="10">
        <v>32</v>
      </c>
      <c r="D147" s="3">
        <v>8</v>
      </c>
      <c r="E147" s="21">
        <f t="shared" si="3"/>
        <v>36</v>
      </c>
      <c r="F147" s="3">
        <v>6.3747100000000003</v>
      </c>
      <c r="G147" s="16">
        <v>2760.11</v>
      </c>
      <c r="H147" s="18">
        <v>432978000</v>
      </c>
      <c r="I147" s="18">
        <v>22597.4</v>
      </c>
      <c r="J147" s="3">
        <v>6.4179860000000005E-2</v>
      </c>
      <c r="K147" s="3">
        <v>1.0662486999999999E-4</v>
      </c>
      <c r="L147" s="18">
        <v>7.5580044000000002E-6</v>
      </c>
      <c r="M147" s="18">
        <v>6.1529843999999999E-8</v>
      </c>
      <c r="N147" s="18">
        <v>1.8004305E-13</v>
      </c>
      <c r="O147" s="3" t="s">
        <v>31</v>
      </c>
      <c r="P147" s="3">
        <v>4.9318013999999997E-3</v>
      </c>
      <c r="Q147" s="3">
        <v>2.4302463999999999E-4</v>
      </c>
      <c r="R147" s="3">
        <v>2.3952631000000002</v>
      </c>
      <c r="S147" s="3">
        <v>2.4460631E-2</v>
      </c>
      <c r="T147" s="18">
        <v>2.7864543999999999E-8</v>
      </c>
      <c r="U147" s="18">
        <v>1.0622382999999999E-9</v>
      </c>
      <c r="V147" s="3">
        <v>8.2325634999999998E-4</v>
      </c>
      <c r="W147" s="3" t="s">
        <v>60</v>
      </c>
    </row>
    <row r="148" spans="1:23" x14ac:dyDescent="0.3">
      <c r="A148" s="17" t="s">
        <v>111</v>
      </c>
      <c r="C148" s="10">
        <v>36</v>
      </c>
      <c r="D148" s="3">
        <v>12</v>
      </c>
      <c r="E148" s="21">
        <f t="shared" si="3"/>
        <v>40</v>
      </c>
      <c r="F148" s="3">
        <v>6.3747100000000003</v>
      </c>
      <c r="G148" s="16">
        <v>2773.31</v>
      </c>
      <c r="H148" s="18">
        <v>435048000</v>
      </c>
      <c r="I148" s="18">
        <v>6734.64</v>
      </c>
      <c r="J148" s="3">
        <v>5.6580892000000001E-2</v>
      </c>
      <c r="K148" s="3">
        <v>1.2954983000000001E-4</v>
      </c>
      <c r="L148" s="18">
        <v>6.0148456999999998E-6</v>
      </c>
      <c r="M148" s="18">
        <v>8.8054657999999994E-8</v>
      </c>
      <c r="N148" s="18">
        <v>2.5497647000000001E-12</v>
      </c>
      <c r="O148" s="3" t="s">
        <v>31</v>
      </c>
      <c r="P148" s="18">
        <v>3.5195335999999998E-6</v>
      </c>
      <c r="Q148" s="3">
        <v>1.0144953999999999E-3</v>
      </c>
      <c r="R148" s="3">
        <v>3.7986390000000001</v>
      </c>
      <c r="S148" s="3">
        <v>309.52555999999998</v>
      </c>
      <c r="T148" s="18">
        <v>5.0002345000000004E-9</v>
      </c>
      <c r="U148" s="3" t="s">
        <v>31</v>
      </c>
      <c r="V148" s="3">
        <v>-1.0130403000000001E-3</v>
      </c>
      <c r="W148" s="3" t="s">
        <v>61</v>
      </c>
    </row>
    <row r="149" spans="1:23" x14ac:dyDescent="0.3">
      <c r="A149" s="17" t="s">
        <v>111</v>
      </c>
      <c r="C149" s="10">
        <v>40</v>
      </c>
      <c r="D149" s="3">
        <v>16</v>
      </c>
      <c r="E149" s="21">
        <f t="shared" si="3"/>
        <v>44</v>
      </c>
      <c r="F149" s="3">
        <v>6.3747100000000003</v>
      </c>
      <c r="G149" s="16">
        <v>2791.4</v>
      </c>
      <c r="H149" s="18">
        <v>437886000</v>
      </c>
      <c r="I149" s="18">
        <v>7585.82</v>
      </c>
      <c r="J149" s="3">
        <v>5.6478451999999998E-2</v>
      </c>
      <c r="K149" s="3">
        <v>4.8056808000000002E-4</v>
      </c>
      <c r="L149" s="18">
        <v>5.7759768999999999E-6</v>
      </c>
      <c r="M149" s="18">
        <v>1.1979608E-7</v>
      </c>
      <c r="N149" s="18">
        <v>3.5976310999999998E-6</v>
      </c>
      <c r="O149" s="18">
        <v>8.3156242999999999E-7</v>
      </c>
      <c r="P149" s="3">
        <v>2.7838974000000002E-3</v>
      </c>
      <c r="Q149" s="18">
        <v>8.3586036000000001E-5</v>
      </c>
      <c r="R149" s="3">
        <v>1.3135829999999999</v>
      </c>
      <c r="S149" s="3">
        <v>1.9383344E-2</v>
      </c>
      <c r="T149" s="18">
        <v>4.3563647999999999E-8</v>
      </c>
      <c r="U149" s="18">
        <v>1.6594848E-9</v>
      </c>
      <c r="V149" s="3">
        <v>-1.7233659E-3</v>
      </c>
      <c r="W149" s="3" t="s">
        <v>62</v>
      </c>
    </row>
    <row r="150" spans="1:23" x14ac:dyDescent="0.3">
      <c r="A150" s="17" t="s">
        <v>111</v>
      </c>
      <c r="C150" s="10">
        <v>44</v>
      </c>
      <c r="D150" s="3">
        <v>20</v>
      </c>
      <c r="E150" s="21">
        <f t="shared" si="3"/>
        <v>48</v>
      </c>
      <c r="F150" s="3">
        <v>6.3747100000000003</v>
      </c>
      <c r="G150" s="16">
        <v>2812.66</v>
      </c>
      <c r="H150" s="18">
        <v>441221000</v>
      </c>
      <c r="I150" s="18">
        <v>10944.1</v>
      </c>
      <c r="J150" s="3">
        <v>5.8620493000000003E-2</v>
      </c>
      <c r="K150" s="3">
        <v>4.9064490000000002E-4</v>
      </c>
      <c r="L150" s="18">
        <v>5.9999988E-6</v>
      </c>
      <c r="M150" s="18">
        <v>1.1413283E-7</v>
      </c>
      <c r="N150" s="18">
        <v>4.4070027000000004E-6</v>
      </c>
      <c r="O150" s="18">
        <v>7.8414506000000002E-7</v>
      </c>
      <c r="P150" s="3">
        <v>2.5977139000000001E-3</v>
      </c>
      <c r="Q150" s="18">
        <v>9.0415846000000002E-5</v>
      </c>
      <c r="R150" s="3">
        <v>1.4106538</v>
      </c>
      <c r="S150" s="3">
        <v>2.2467567000000001E-2</v>
      </c>
      <c r="T150" s="18">
        <v>3.8331161000000003E-8</v>
      </c>
      <c r="U150" s="18">
        <v>1.6604572E-9</v>
      </c>
      <c r="V150" s="3">
        <v>-1.7136081E-3</v>
      </c>
      <c r="W150" s="3" t="s">
        <v>63</v>
      </c>
    </row>
    <row r="151" spans="1:23" x14ac:dyDescent="0.3">
      <c r="A151" s="17" t="s">
        <v>111</v>
      </c>
      <c r="C151" s="10">
        <v>48</v>
      </c>
      <c r="D151" s="3">
        <v>24</v>
      </c>
      <c r="E151" s="21">
        <f t="shared" si="3"/>
        <v>52</v>
      </c>
      <c r="F151" s="3">
        <v>6.3747100000000003</v>
      </c>
      <c r="G151" s="16">
        <v>2842.87</v>
      </c>
      <c r="H151" s="18">
        <v>445960000</v>
      </c>
      <c r="I151" s="18">
        <v>36910.5</v>
      </c>
      <c r="J151" s="3">
        <v>5.0443970999999997E-2</v>
      </c>
      <c r="K151" s="18">
        <v>6.4073633E-5</v>
      </c>
      <c r="L151" s="18">
        <v>6.7476130000000001E-6</v>
      </c>
      <c r="M151" s="18">
        <v>5.6890662000000001E-8</v>
      </c>
      <c r="N151" s="18">
        <v>8.1478459000000001E-9</v>
      </c>
      <c r="O151" s="3" t="s">
        <v>31</v>
      </c>
      <c r="P151" s="3">
        <v>2.5320784999999998E-3</v>
      </c>
      <c r="Q151" s="3">
        <v>1.1137727000000001E-4</v>
      </c>
      <c r="R151" s="3">
        <v>0.48382979999999998</v>
      </c>
      <c r="S151" s="3">
        <v>2.8124177E-2</v>
      </c>
      <c r="T151" s="18">
        <v>2.7075942999999999E-8</v>
      </c>
      <c r="U151" s="18">
        <v>1.3851779999999999E-9</v>
      </c>
      <c r="V151" s="3">
        <v>-3.7140369999999999E-4</v>
      </c>
      <c r="W151" s="3" t="s">
        <v>64</v>
      </c>
    </row>
    <row r="152" spans="1:23" x14ac:dyDescent="0.3">
      <c r="A152" s="17" t="s">
        <v>111</v>
      </c>
      <c r="C152" s="10">
        <v>52</v>
      </c>
      <c r="D152" s="3">
        <v>28</v>
      </c>
      <c r="E152" s="21">
        <f t="shared" si="3"/>
        <v>56</v>
      </c>
      <c r="F152" s="3">
        <v>6.3747100000000003</v>
      </c>
      <c r="G152" s="16">
        <v>2966.14</v>
      </c>
      <c r="H152" s="18">
        <v>465298000</v>
      </c>
      <c r="I152" s="18">
        <v>376714</v>
      </c>
      <c r="J152" s="3">
        <v>6.0991199000000003E-2</v>
      </c>
      <c r="K152" s="3">
        <v>5.2422212000000003E-4</v>
      </c>
      <c r="L152" s="18">
        <v>5.8861772999999999E-6</v>
      </c>
      <c r="M152" s="18">
        <v>1.0978462E-7</v>
      </c>
      <c r="N152" s="18">
        <v>2.4156082999999998E-6</v>
      </c>
      <c r="O152" s="18">
        <v>8.4102044E-7</v>
      </c>
      <c r="P152" s="3">
        <v>1.5360886999999999E-3</v>
      </c>
      <c r="Q152" s="3">
        <v>1.5254898999999999E-4</v>
      </c>
      <c r="R152" s="3">
        <v>0.37726073999999998</v>
      </c>
      <c r="S152" s="3">
        <v>0.10158728</v>
      </c>
      <c r="T152" s="18">
        <v>1.3526851E-8</v>
      </c>
      <c r="U152" s="3" t="s">
        <v>31</v>
      </c>
      <c r="V152" s="3">
        <v>-1.8578612E-3</v>
      </c>
      <c r="W152" s="3" t="s">
        <v>65</v>
      </c>
    </row>
    <row r="153" spans="1:23" x14ac:dyDescent="0.3">
      <c r="A153" s="17" t="s">
        <v>111</v>
      </c>
      <c r="C153" s="10">
        <v>56</v>
      </c>
      <c r="D153" s="3">
        <v>32</v>
      </c>
      <c r="E153" s="21">
        <f t="shared" si="3"/>
        <v>60</v>
      </c>
      <c r="F153" s="3">
        <v>6.3747100000000003</v>
      </c>
      <c r="G153" s="16">
        <v>2924.6</v>
      </c>
      <c r="H153" s="18">
        <v>458781000</v>
      </c>
      <c r="I153" s="18">
        <v>13854.2</v>
      </c>
      <c r="J153" s="3">
        <v>5.6802422999999998E-2</v>
      </c>
      <c r="K153" s="18">
        <v>7.7197807000000001E-5</v>
      </c>
      <c r="L153" s="18">
        <v>6.2243720000000001E-6</v>
      </c>
      <c r="M153" s="18">
        <v>5.5474623999999998E-8</v>
      </c>
      <c r="N153" s="18">
        <v>4.5708546E-9</v>
      </c>
      <c r="O153" s="3" t="s">
        <v>31</v>
      </c>
      <c r="P153" s="3">
        <v>2.1911767999999998E-3</v>
      </c>
      <c r="Q153" s="18">
        <v>8.4927368000000002E-5</v>
      </c>
      <c r="R153" s="3">
        <v>1.0060673</v>
      </c>
      <c r="S153" s="3">
        <v>2.5304739E-2</v>
      </c>
      <c r="T153" s="18">
        <v>4.2672108999999998E-8</v>
      </c>
      <c r="U153" s="18">
        <v>2.1076653999999998E-9</v>
      </c>
      <c r="V153" s="3">
        <v>-9.0280351999999996E-4</v>
      </c>
      <c r="W153" s="3" t="s">
        <v>66</v>
      </c>
    </row>
    <row r="154" spans="1:23" x14ac:dyDescent="0.3">
      <c r="A154" s="17" t="s">
        <v>111</v>
      </c>
      <c r="C154" s="10">
        <v>60</v>
      </c>
      <c r="D154" s="3">
        <v>36</v>
      </c>
      <c r="E154" s="21">
        <f t="shared" si="3"/>
        <v>64</v>
      </c>
      <c r="F154" s="3">
        <v>6.3747100000000003</v>
      </c>
      <c r="G154" s="16">
        <v>2950.39</v>
      </c>
      <c r="H154" s="18">
        <v>462827000</v>
      </c>
      <c r="I154" s="18">
        <v>19431.2</v>
      </c>
      <c r="J154" s="3">
        <v>5.6960426000000002E-2</v>
      </c>
      <c r="K154" s="3">
        <v>5.4831849E-4</v>
      </c>
      <c r="L154" s="18">
        <v>6.3114483999999996E-6</v>
      </c>
      <c r="M154" s="18">
        <v>1.2137785E-7</v>
      </c>
      <c r="N154" s="18">
        <v>9.8940542999999996E-8</v>
      </c>
      <c r="O154" s="18">
        <v>9.0725594999999996E-7</v>
      </c>
      <c r="P154" s="3">
        <v>3.2817838000000002E-3</v>
      </c>
      <c r="Q154" s="3">
        <v>1.2247258E-4</v>
      </c>
      <c r="R154" s="3">
        <v>0.18899717999999999</v>
      </c>
      <c r="S154" s="3">
        <v>2.3951935000000001E-2</v>
      </c>
      <c r="T154" s="18">
        <v>2.779129E-8</v>
      </c>
      <c r="U154" s="18">
        <v>1.2192915999999999E-9</v>
      </c>
      <c r="V154" s="3">
        <v>-8.2143294000000002E-4</v>
      </c>
      <c r="W154" s="3" t="s">
        <v>67</v>
      </c>
    </row>
    <row r="155" spans="1:23" x14ac:dyDescent="0.3">
      <c r="A155" s="17" t="s">
        <v>111</v>
      </c>
      <c r="C155" s="10">
        <v>64</v>
      </c>
      <c r="D155" s="3">
        <v>40</v>
      </c>
      <c r="E155" s="21">
        <f t="shared" si="3"/>
        <v>68</v>
      </c>
      <c r="F155" s="3">
        <v>6.3747100000000003</v>
      </c>
      <c r="G155" s="16">
        <v>2976.78</v>
      </c>
      <c r="H155" s="18">
        <v>466968000</v>
      </c>
      <c r="I155" s="18">
        <v>8203.49</v>
      </c>
      <c r="J155" s="3">
        <v>4.6768532000000002E-2</v>
      </c>
      <c r="K155" s="3">
        <v>5.6801028000000005E-4</v>
      </c>
      <c r="L155" s="18">
        <v>6.0339458000000001E-6</v>
      </c>
      <c r="M155" s="18">
        <v>1.4635728E-7</v>
      </c>
      <c r="N155" s="18">
        <v>1.2267176E-7</v>
      </c>
      <c r="O155" s="18">
        <v>1.1955666E-6</v>
      </c>
      <c r="P155" s="3">
        <v>4.3405995000000003E-3</v>
      </c>
      <c r="Q155" s="3">
        <v>1.1423276E-4</v>
      </c>
      <c r="R155" s="3">
        <v>-1.4584788</v>
      </c>
      <c r="S155" s="3">
        <v>1.6364713999999999E-2</v>
      </c>
      <c r="T155" s="18">
        <v>3.0125201000000001E-8</v>
      </c>
      <c r="U155" s="18">
        <v>9.0201709999999996E-10</v>
      </c>
      <c r="V155" s="3">
        <v>-1.248601E-3</v>
      </c>
      <c r="W155" s="3" t="s">
        <v>68</v>
      </c>
    </row>
    <row r="156" spans="1:23" x14ac:dyDescent="0.3">
      <c r="A156" s="17" t="s">
        <v>111</v>
      </c>
      <c r="C156" s="10">
        <v>68</v>
      </c>
      <c r="D156" s="3">
        <v>44</v>
      </c>
      <c r="E156" s="21">
        <f t="shared" si="3"/>
        <v>72</v>
      </c>
      <c r="F156" s="3">
        <v>6.3716999999999997</v>
      </c>
      <c r="G156" s="16">
        <v>2997.11</v>
      </c>
      <c r="H156" s="18">
        <v>470378000</v>
      </c>
      <c r="I156" s="18">
        <v>32618.400000000001</v>
      </c>
      <c r="J156" s="3">
        <v>5.6152408000000001E-2</v>
      </c>
      <c r="K156" s="3">
        <v>6.6278680999999997E-4</v>
      </c>
      <c r="L156" s="18">
        <v>6.3805535999999998E-6</v>
      </c>
      <c r="M156" s="18">
        <v>1.4963457E-7</v>
      </c>
      <c r="N156" s="18">
        <v>8.9996558000000004E-7</v>
      </c>
      <c r="O156" s="18">
        <v>1.0919834E-6</v>
      </c>
      <c r="P156" s="3">
        <v>2.2173487999999999E-3</v>
      </c>
      <c r="Q156" s="3">
        <v>1.3953935999999999E-4</v>
      </c>
      <c r="R156" s="3">
        <v>0.49439466999999998</v>
      </c>
      <c r="S156" s="3">
        <v>4.0790909E-2</v>
      </c>
      <c r="T156" s="18">
        <v>2.9751771E-8</v>
      </c>
      <c r="U156" s="18">
        <v>2.2467641999999999E-9</v>
      </c>
      <c r="V156" s="3">
        <v>-6.8048983999999995E-4</v>
      </c>
      <c r="W156" s="3" t="s">
        <v>69</v>
      </c>
    </row>
    <row r="157" spans="1:23" x14ac:dyDescent="0.3">
      <c r="A157" s="17" t="s">
        <v>111</v>
      </c>
      <c r="C157" s="10">
        <v>72</v>
      </c>
      <c r="D157" s="3">
        <v>48</v>
      </c>
      <c r="E157" s="21">
        <f t="shared" si="3"/>
        <v>76</v>
      </c>
      <c r="F157" s="3">
        <v>6.3716999999999997</v>
      </c>
      <c r="G157" s="16">
        <v>2989.88</v>
      </c>
      <c r="H157" s="18">
        <v>469244000</v>
      </c>
      <c r="I157" s="18">
        <v>20596.099999999999</v>
      </c>
      <c r="J157" s="3">
        <v>6.9301162999999999E-2</v>
      </c>
      <c r="K157" s="3">
        <v>6.9737431000000002E-4</v>
      </c>
      <c r="L157" s="18">
        <v>7.8607561000000006E-6</v>
      </c>
      <c r="M157" s="18">
        <v>1.1195579000000001E-7</v>
      </c>
      <c r="N157" s="18">
        <v>1.0079768E-5</v>
      </c>
      <c r="O157" s="18">
        <v>7.2942472999999998E-7</v>
      </c>
      <c r="P157" s="3">
        <v>2.2644008E-3</v>
      </c>
      <c r="Q157" s="3">
        <v>1.0366676000000001E-4</v>
      </c>
      <c r="R157" s="3">
        <v>0.12163205000000001</v>
      </c>
      <c r="S157" s="3">
        <v>2.9671446000000001E-2</v>
      </c>
      <c r="T157" s="18">
        <v>3.5892027999999997E-8</v>
      </c>
      <c r="U157" s="18">
        <v>2.0272254E-9</v>
      </c>
      <c r="V157" s="3">
        <v>1.232405E-3</v>
      </c>
      <c r="W157" s="3" t="s">
        <v>70</v>
      </c>
    </row>
    <row r="158" spans="1:23" x14ac:dyDescent="0.3">
      <c r="A158" s="17" t="s">
        <v>111</v>
      </c>
      <c r="C158" s="10">
        <v>76</v>
      </c>
      <c r="D158" s="3">
        <v>52</v>
      </c>
      <c r="E158" s="21">
        <f t="shared" si="3"/>
        <v>80</v>
      </c>
      <c r="F158" s="3">
        <v>6.3716999999999997</v>
      </c>
      <c r="G158" s="16">
        <v>2823.99</v>
      </c>
      <c r="H158" s="18">
        <v>443207000</v>
      </c>
      <c r="I158" s="18">
        <v>310188</v>
      </c>
      <c r="J158" s="3">
        <v>6.9571393999999995E-2</v>
      </c>
      <c r="K158" s="3">
        <v>7.9370459000000003E-4</v>
      </c>
      <c r="L158" s="18">
        <v>7.8402462000000006E-6</v>
      </c>
      <c r="M158" s="18">
        <v>1.1676464E-7</v>
      </c>
      <c r="N158" s="18">
        <v>6.1998093999999997E-6</v>
      </c>
      <c r="O158" s="18">
        <v>8.8580041999999999E-7</v>
      </c>
      <c r="P158" s="3">
        <v>2.2860444999999998E-3</v>
      </c>
      <c r="Q158" s="3">
        <v>1.5783588E-4</v>
      </c>
      <c r="R158" s="3">
        <v>0.91335317000000005</v>
      </c>
      <c r="S158" s="3">
        <v>6.7592228000000004E-2</v>
      </c>
      <c r="T158" s="18">
        <v>1.5109915E-8</v>
      </c>
      <c r="U158" s="3" t="s">
        <v>31</v>
      </c>
      <c r="V158" s="3">
        <v>9.0738508000000003E-4</v>
      </c>
      <c r="W158" s="3" t="s">
        <v>71</v>
      </c>
    </row>
    <row r="159" spans="1:23" x14ac:dyDescent="0.3">
      <c r="A159" s="17" t="s">
        <v>111</v>
      </c>
      <c r="C159" s="10">
        <v>80</v>
      </c>
      <c r="D159" s="3">
        <v>56</v>
      </c>
      <c r="E159" s="21">
        <f t="shared" si="3"/>
        <v>84</v>
      </c>
      <c r="F159" s="3">
        <v>6.3716999999999997</v>
      </c>
      <c r="G159" s="16">
        <v>3405.66</v>
      </c>
      <c r="H159" s="18">
        <v>534498000</v>
      </c>
      <c r="I159" s="18">
        <v>151105</v>
      </c>
      <c r="J159" s="3">
        <v>7.4287663000000004E-2</v>
      </c>
      <c r="K159" s="3">
        <v>7.0634596999999996E-4</v>
      </c>
      <c r="L159" s="18">
        <v>7.6448477999999998E-6</v>
      </c>
      <c r="M159" s="18">
        <v>1.1068145E-7</v>
      </c>
      <c r="N159" s="18">
        <v>8.0774222999999999E-6</v>
      </c>
      <c r="O159" s="18">
        <v>7.1285865000000002E-7</v>
      </c>
      <c r="P159" s="3">
        <v>1.3912950999999999E-3</v>
      </c>
      <c r="Q159" s="3">
        <v>1.5036927E-4</v>
      </c>
      <c r="R159" s="3">
        <v>-1.4934174</v>
      </c>
      <c r="S159" s="3">
        <v>6.9903508000000003E-2</v>
      </c>
      <c r="T159" s="18">
        <v>2.4945040999999999E-8</v>
      </c>
      <c r="U159" s="18">
        <v>3.1786183999999998E-9</v>
      </c>
      <c r="V159" s="3">
        <v>5.4516411999999995E-4</v>
      </c>
      <c r="W159" s="3" t="s">
        <v>72</v>
      </c>
    </row>
    <row r="160" spans="1:23" x14ac:dyDescent="0.3">
      <c r="A160" s="17" t="s">
        <v>111</v>
      </c>
      <c r="C160" s="10">
        <v>84</v>
      </c>
      <c r="D160" s="3">
        <v>60</v>
      </c>
      <c r="E160" s="21">
        <f t="shared" si="3"/>
        <v>88</v>
      </c>
      <c r="F160" s="3">
        <v>6.3716999999999997</v>
      </c>
      <c r="G160" s="16">
        <v>3416.92</v>
      </c>
      <c r="H160" s="18">
        <v>536265000</v>
      </c>
      <c r="I160" s="18">
        <v>155787</v>
      </c>
      <c r="J160" s="3">
        <v>6.5924800000000006E-2</v>
      </c>
      <c r="K160" s="3">
        <v>6.6649801999999999E-4</v>
      </c>
      <c r="L160" s="18">
        <v>7.4672309000000001E-6</v>
      </c>
      <c r="M160" s="18">
        <v>1.1275275E-7</v>
      </c>
      <c r="N160" s="18">
        <v>2.1723334999999999E-6</v>
      </c>
      <c r="O160" s="18">
        <v>8.3353236000000001E-7</v>
      </c>
      <c r="P160" s="3">
        <v>1.0816495E-3</v>
      </c>
      <c r="Q160" s="3">
        <v>1.1731258E-4</v>
      </c>
      <c r="R160" s="3">
        <v>-1.9897047999999999</v>
      </c>
      <c r="S160" s="3">
        <v>7.0285820999999998E-2</v>
      </c>
      <c r="T160" s="18">
        <v>3.0926627E-8</v>
      </c>
      <c r="U160" s="18">
        <v>4.0511190000000001E-9</v>
      </c>
      <c r="V160" s="3">
        <v>3.4498302999999998E-4</v>
      </c>
      <c r="W160" s="3" t="s">
        <v>73</v>
      </c>
    </row>
    <row r="161" spans="1:23" x14ac:dyDescent="0.3">
      <c r="A161" s="17" t="s">
        <v>111</v>
      </c>
      <c r="C161" s="10">
        <v>88</v>
      </c>
      <c r="D161" s="3">
        <v>64</v>
      </c>
      <c r="E161" s="21">
        <f t="shared" si="3"/>
        <v>92</v>
      </c>
      <c r="F161" s="3">
        <v>6.3716999999999997</v>
      </c>
      <c r="G161" s="16">
        <v>3446.72</v>
      </c>
      <c r="H161" s="18">
        <v>540942000</v>
      </c>
      <c r="I161" s="18">
        <v>92267.3</v>
      </c>
      <c r="J161" s="3">
        <v>6.6552734000000002E-2</v>
      </c>
      <c r="K161" s="3">
        <v>8.1592499000000005E-4</v>
      </c>
      <c r="L161" s="18">
        <v>7.5638183000000002E-6</v>
      </c>
      <c r="M161" s="18">
        <v>1.2703535E-7</v>
      </c>
      <c r="N161" s="18">
        <v>4.7048890000000004E-6</v>
      </c>
      <c r="O161" s="18">
        <v>9.8948291000000006E-7</v>
      </c>
      <c r="P161" s="3">
        <v>1.6851883999999999E-3</v>
      </c>
      <c r="Q161" s="3">
        <v>1.5123683E-4</v>
      </c>
      <c r="R161" s="3">
        <v>2.0847695000000002</v>
      </c>
      <c r="S161" s="3">
        <v>5.6640523999999998E-2</v>
      </c>
      <c r="T161" s="18">
        <v>2.6303156000000001E-8</v>
      </c>
      <c r="U161" s="18">
        <v>2.6499549999999999E-9</v>
      </c>
      <c r="V161" s="3">
        <v>6.2171400999999995E-4</v>
      </c>
      <c r="W161" s="3" t="s">
        <v>74</v>
      </c>
    </row>
    <row r="162" spans="1:23" x14ac:dyDescent="0.3">
      <c r="A162" s="17" t="s">
        <v>111</v>
      </c>
      <c r="C162" s="10">
        <v>92</v>
      </c>
      <c r="D162" s="3">
        <v>68</v>
      </c>
      <c r="E162" s="21">
        <f t="shared" si="3"/>
        <v>96</v>
      </c>
      <c r="F162" s="3">
        <v>6.3716999999999997</v>
      </c>
      <c r="G162" s="16">
        <v>3479.07</v>
      </c>
      <c r="H162" s="18">
        <v>546019000</v>
      </c>
      <c r="I162" s="18">
        <v>80578.100000000006</v>
      </c>
      <c r="J162" s="3">
        <v>7.2732767000000004E-2</v>
      </c>
      <c r="K162" s="3">
        <v>6.6556104999999997E-4</v>
      </c>
      <c r="L162" s="18">
        <v>7.9777337999999997E-6</v>
      </c>
      <c r="M162" s="18">
        <v>1.0714803E-7</v>
      </c>
      <c r="N162" s="18">
        <v>8.2316769E-6</v>
      </c>
      <c r="O162" s="18">
        <v>6.6246813999999995E-7</v>
      </c>
      <c r="P162" s="3">
        <v>1.2504345999999999E-3</v>
      </c>
      <c r="Q162" s="3">
        <v>1.1298531E-4</v>
      </c>
      <c r="R162" s="3">
        <v>-0.31199664999999999</v>
      </c>
      <c r="S162" s="3">
        <v>5.9591766999999997E-2</v>
      </c>
      <c r="T162" s="18">
        <v>3.2874708999999998E-8</v>
      </c>
      <c r="U162" s="18">
        <v>3.7268291000000002E-9</v>
      </c>
      <c r="V162" s="3">
        <v>1.1590843E-3</v>
      </c>
      <c r="W162" s="3" t="s">
        <v>75</v>
      </c>
    </row>
    <row r="163" spans="1:23" x14ac:dyDescent="0.3">
      <c r="A163" s="17" t="s">
        <v>111</v>
      </c>
      <c r="C163" s="10">
        <v>96</v>
      </c>
      <c r="D163" s="3">
        <v>72</v>
      </c>
      <c r="E163" s="21">
        <f t="shared" si="3"/>
        <v>100</v>
      </c>
      <c r="F163" s="3">
        <v>6.3716999999999997</v>
      </c>
      <c r="G163" s="16">
        <v>3517.28</v>
      </c>
      <c r="H163" s="18">
        <v>552016000</v>
      </c>
      <c r="I163" s="18">
        <v>64663.199999999997</v>
      </c>
      <c r="J163" s="3">
        <v>6.8536334000000004E-2</v>
      </c>
      <c r="K163" s="3">
        <v>8.0008957000000003E-4</v>
      </c>
      <c r="L163" s="18">
        <v>7.3952685999999998E-6</v>
      </c>
      <c r="M163" s="18">
        <v>1.226484E-7</v>
      </c>
      <c r="N163" s="18">
        <v>4.3005834999999998E-6</v>
      </c>
      <c r="O163" s="18">
        <v>9.5850960999999993E-7</v>
      </c>
      <c r="P163" s="3">
        <v>2.5642741000000001E-3</v>
      </c>
      <c r="Q163" s="3">
        <v>1.7488175999999999E-4</v>
      </c>
      <c r="R163" s="3">
        <v>1.4715214999999999</v>
      </c>
      <c r="S163" s="3">
        <v>4.280573E-2</v>
      </c>
      <c r="T163" s="18">
        <v>2.2565335999999998E-8</v>
      </c>
      <c r="U163" s="18">
        <v>1.6617134999999999E-9</v>
      </c>
      <c r="V163" s="3">
        <v>6.9143272000000001E-4</v>
      </c>
      <c r="W163" s="3" t="s">
        <v>76</v>
      </c>
    </row>
    <row r="164" spans="1:23" x14ac:dyDescent="0.3">
      <c r="A164" s="17" t="s">
        <v>111</v>
      </c>
      <c r="C164" s="10">
        <v>100</v>
      </c>
      <c r="D164" s="3">
        <v>76</v>
      </c>
      <c r="E164" s="21">
        <f t="shared" si="3"/>
        <v>104</v>
      </c>
      <c r="F164" s="3">
        <v>6.3716999999999997</v>
      </c>
      <c r="G164" s="16">
        <v>3564.02</v>
      </c>
      <c r="H164" s="18">
        <v>559351000</v>
      </c>
      <c r="I164" s="18">
        <v>52320.3</v>
      </c>
      <c r="J164" s="3">
        <v>7.5066301000000002E-2</v>
      </c>
      <c r="K164" s="3">
        <v>7.6803425999999995E-4</v>
      </c>
      <c r="L164" s="18">
        <v>7.7398833000000002E-6</v>
      </c>
      <c r="M164" s="18">
        <v>1.17837E-7</v>
      </c>
      <c r="N164" s="18">
        <v>9.9571506999999996E-6</v>
      </c>
      <c r="O164" s="18">
        <v>7.4476891999999996E-7</v>
      </c>
      <c r="P164" s="3">
        <v>2.1551952E-3</v>
      </c>
      <c r="Q164" s="3">
        <v>1.4404641000000001E-4</v>
      </c>
      <c r="R164" s="3">
        <v>-2.4830559000000001</v>
      </c>
      <c r="S164" s="3">
        <v>4.3686515000000002E-2</v>
      </c>
      <c r="T164" s="18">
        <v>2.8022177000000001E-8</v>
      </c>
      <c r="U164" s="18">
        <v>2.2494435999999999E-9</v>
      </c>
      <c r="V164" s="3">
        <v>1.0469437000000001E-3</v>
      </c>
      <c r="W164" s="3" t="s">
        <v>77</v>
      </c>
    </row>
    <row r="165" spans="1:23" x14ac:dyDescent="0.3">
      <c r="A165" s="17" t="s">
        <v>111</v>
      </c>
      <c r="C165" s="10">
        <v>104</v>
      </c>
      <c r="D165" s="3">
        <v>80</v>
      </c>
      <c r="E165" s="21">
        <f t="shared" si="3"/>
        <v>108</v>
      </c>
      <c r="F165" s="3">
        <v>6.3716999999999997</v>
      </c>
      <c r="G165" s="16">
        <v>3491.14</v>
      </c>
      <c r="H165" s="18">
        <v>547914000</v>
      </c>
      <c r="I165" s="18">
        <v>535331</v>
      </c>
      <c r="J165" s="3">
        <v>6.5357758000000002E-2</v>
      </c>
      <c r="K165" s="3">
        <v>7.6769361000000001E-4</v>
      </c>
      <c r="L165" s="18">
        <v>7.3399726999999997E-6</v>
      </c>
      <c r="M165" s="18">
        <v>1.2777744E-7</v>
      </c>
      <c r="N165" s="18">
        <v>8.8176706000000002E-7</v>
      </c>
      <c r="O165" s="18">
        <v>9.9914051999999991E-7</v>
      </c>
      <c r="P165" s="3">
        <v>1.7232365999999999E-3</v>
      </c>
      <c r="Q165" s="3">
        <v>1.7628330999999999E-4</v>
      </c>
      <c r="R165" s="3">
        <v>-2.2209758000000002</v>
      </c>
      <c r="S165" s="3">
        <v>0.10345549</v>
      </c>
      <c r="T165" s="18">
        <v>1.4177706E-8</v>
      </c>
      <c r="U165" s="3" t="s">
        <v>31</v>
      </c>
      <c r="V165" s="3">
        <v>8.2012806000000002E-4</v>
      </c>
      <c r="W165" s="3" t="s">
        <v>78</v>
      </c>
    </row>
    <row r="166" spans="1:23" x14ac:dyDescent="0.3">
      <c r="A166" s="17" t="s">
        <v>111</v>
      </c>
      <c r="C166" s="10">
        <v>108</v>
      </c>
      <c r="D166" s="3">
        <v>84</v>
      </c>
      <c r="E166" s="21">
        <f t="shared" si="3"/>
        <v>112</v>
      </c>
      <c r="F166" s="3">
        <v>6.3716999999999997</v>
      </c>
      <c r="G166" s="16">
        <v>3515.03</v>
      </c>
      <c r="H166" s="18">
        <v>551663000</v>
      </c>
      <c r="I166" s="18">
        <v>501650</v>
      </c>
      <c r="J166" s="3">
        <v>6.9346263000000005E-2</v>
      </c>
      <c r="K166" s="3">
        <v>7.6337935000000002E-4</v>
      </c>
      <c r="L166" s="18">
        <v>7.6853460999999999E-6</v>
      </c>
      <c r="M166" s="18">
        <v>1.2047417000000001E-7</v>
      </c>
      <c r="N166" s="18">
        <v>8.7613514999999995E-6</v>
      </c>
      <c r="O166" s="18">
        <v>8.2757622999999999E-7</v>
      </c>
      <c r="P166" s="3">
        <v>1.8645106E-3</v>
      </c>
      <c r="Q166" s="3">
        <v>1.8226266E-4</v>
      </c>
      <c r="R166" s="3">
        <v>-2.4340885999999999</v>
      </c>
      <c r="S166" s="3">
        <v>9.8923659999999997E-2</v>
      </c>
      <c r="T166" s="18">
        <v>1.3222565999999999E-8</v>
      </c>
      <c r="U166" s="3" t="s">
        <v>31</v>
      </c>
      <c r="V166" s="3">
        <v>8.5184519000000005E-4</v>
      </c>
      <c r="W166" s="3" t="s">
        <v>79</v>
      </c>
    </row>
    <row r="167" spans="1:23" x14ac:dyDescent="0.3">
      <c r="A167" s="17" t="s">
        <v>111</v>
      </c>
      <c r="C167" s="10">
        <v>112</v>
      </c>
      <c r="D167" s="3">
        <v>92</v>
      </c>
      <c r="E167" s="21">
        <f t="shared" si="3"/>
        <v>116</v>
      </c>
      <c r="F167" s="3">
        <v>6.3716999999999997</v>
      </c>
      <c r="G167" s="16">
        <v>2916.84</v>
      </c>
      <c r="H167" s="18">
        <v>457780000</v>
      </c>
      <c r="I167" s="18">
        <v>23458.5</v>
      </c>
      <c r="J167" s="3">
        <v>6.7345779999999994E-2</v>
      </c>
      <c r="K167" s="3">
        <v>8.0217628E-4</v>
      </c>
      <c r="L167" s="18">
        <v>7.1819063000000002E-6</v>
      </c>
      <c r="M167" s="18">
        <v>1.2220821E-7</v>
      </c>
      <c r="N167" s="18">
        <v>2.9579020000000001E-6</v>
      </c>
      <c r="O167" s="18">
        <v>1.0178482E-6</v>
      </c>
      <c r="P167" s="3">
        <v>3.3983871000000001E-3</v>
      </c>
      <c r="Q167" s="3">
        <v>1.5454140000000001E-4</v>
      </c>
      <c r="R167" s="3">
        <v>-2.0787862000000001</v>
      </c>
      <c r="S167" s="3">
        <v>2.7570962000000001E-2</v>
      </c>
      <c r="T167" s="18">
        <v>2.6051224999999998E-8</v>
      </c>
      <c r="U167" s="18">
        <v>1.2827464E-9</v>
      </c>
      <c r="V167" s="3">
        <v>2.1148531000000001E-4</v>
      </c>
      <c r="W167" s="3" t="s">
        <v>80</v>
      </c>
    </row>
    <row r="168" spans="1:23" x14ac:dyDescent="0.3">
      <c r="A168" s="17" t="s">
        <v>111</v>
      </c>
      <c r="C168" s="10">
        <v>116</v>
      </c>
      <c r="D168" s="3">
        <v>96</v>
      </c>
      <c r="E168" s="21">
        <f t="shared" si="3"/>
        <v>120</v>
      </c>
      <c r="F168" s="3">
        <v>6.3716999999999997</v>
      </c>
      <c r="G168" s="16">
        <v>2960.38</v>
      </c>
      <c r="H168" s="18">
        <v>464614000</v>
      </c>
      <c r="I168" s="18">
        <v>18328</v>
      </c>
      <c r="J168" s="3">
        <v>5.7490319999999998E-2</v>
      </c>
      <c r="K168" s="18">
        <v>6.3889814999999994E-5</v>
      </c>
      <c r="L168" s="18">
        <v>7.4895854999999997E-6</v>
      </c>
      <c r="M168" s="18">
        <v>5.1726718999999997E-8</v>
      </c>
      <c r="N168" s="18">
        <v>4.0874981999999996E-9</v>
      </c>
      <c r="O168" s="3" t="s">
        <v>31</v>
      </c>
      <c r="P168" s="3">
        <v>3.0779152000000001E-3</v>
      </c>
      <c r="Q168" s="3">
        <v>1.0075717E-4</v>
      </c>
      <c r="R168" s="3">
        <v>0.95143358</v>
      </c>
      <c r="S168" s="3">
        <v>2.1135346999999999E-2</v>
      </c>
      <c r="T168" s="18">
        <v>3.0851660000000001E-8</v>
      </c>
      <c r="U168" s="18">
        <v>1.2239883999999999E-9</v>
      </c>
      <c r="V168" s="3">
        <v>3.9068376000000001E-4</v>
      </c>
      <c r="W168" s="3" t="s">
        <v>81</v>
      </c>
    </row>
    <row r="169" spans="1:23" x14ac:dyDescent="0.3">
      <c r="A169" s="17" t="s">
        <v>111</v>
      </c>
      <c r="C169" s="10">
        <v>120</v>
      </c>
      <c r="D169" s="3">
        <v>100</v>
      </c>
      <c r="E169" s="21">
        <f t="shared" si="3"/>
        <v>124</v>
      </c>
      <c r="F169" s="3">
        <v>6.3716999999999997</v>
      </c>
      <c r="G169" s="16">
        <v>3018.95</v>
      </c>
      <c r="H169" s="18">
        <v>473806000</v>
      </c>
      <c r="I169" s="18">
        <v>15390.5</v>
      </c>
      <c r="J169" s="3">
        <v>6.7889726999999997E-2</v>
      </c>
      <c r="K169" s="3">
        <v>7.7207176000000004E-4</v>
      </c>
      <c r="L169" s="18">
        <v>7.2228694999999998E-6</v>
      </c>
      <c r="M169" s="18">
        <v>1.1601216E-7</v>
      </c>
      <c r="N169" s="18">
        <v>1.4600530999999999E-6</v>
      </c>
      <c r="O169" s="18">
        <v>9.8473927000000001E-7</v>
      </c>
      <c r="P169" s="3">
        <v>5.4044571000000001E-3</v>
      </c>
      <c r="Q169" s="3">
        <v>1.6197358999999999E-4</v>
      </c>
      <c r="R169" s="3">
        <v>-2.7105735000000002</v>
      </c>
      <c r="S169" s="3">
        <v>1.8178798999999999E-2</v>
      </c>
      <c r="T169" s="18">
        <v>2.3788808E-8</v>
      </c>
      <c r="U169" s="18">
        <v>7.5659681999999995E-10</v>
      </c>
      <c r="V169" s="3">
        <v>3.2499835999999998E-4</v>
      </c>
      <c r="W169" s="3" t="s">
        <v>82</v>
      </c>
    </row>
    <row r="170" spans="1:23" x14ac:dyDescent="0.3">
      <c r="A170" s="17" t="s">
        <v>111</v>
      </c>
      <c r="C170" s="10">
        <v>124</v>
      </c>
      <c r="D170" s="3">
        <v>104</v>
      </c>
      <c r="E170" s="21">
        <f t="shared" si="3"/>
        <v>128</v>
      </c>
      <c r="F170" s="3">
        <v>6.3716999999999997</v>
      </c>
      <c r="G170" s="16">
        <v>3057.79</v>
      </c>
      <c r="H170" s="18">
        <v>479902000</v>
      </c>
      <c r="I170" s="18">
        <v>13266.2</v>
      </c>
      <c r="J170" s="3">
        <v>6.5167875E-2</v>
      </c>
      <c r="K170" s="18">
        <v>7.9719420000000003E-5</v>
      </c>
      <c r="L170" s="18">
        <v>7.4875194999999999E-6</v>
      </c>
      <c r="M170" s="18">
        <v>5.6857720000000002E-8</v>
      </c>
      <c r="N170" s="18">
        <v>1.6053713000000001E-10</v>
      </c>
      <c r="O170" s="3" t="s">
        <v>31</v>
      </c>
      <c r="P170" s="3">
        <v>4.8692477E-3</v>
      </c>
      <c r="Q170" s="3">
        <v>1.5541188E-4</v>
      </c>
      <c r="R170" s="3">
        <v>2.5015470999999998</v>
      </c>
      <c r="S170" s="3">
        <v>1.9566186999999999E-2</v>
      </c>
      <c r="T170" s="18">
        <v>2.6420388999999999E-8</v>
      </c>
      <c r="U170" s="18">
        <v>9.1555775E-10</v>
      </c>
      <c r="V170" s="3">
        <v>8.7032608000000005E-4</v>
      </c>
      <c r="W170" s="3" t="s">
        <v>83</v>
      </c>
    </row>
    <row r="171" spans="1:23" x14ac:dyDescent="0.3">
      <c r="A171" s="17" t="s">
        <v>111</v>
      </c>
      <c r="C171" s="10">
        <v>128</v>
      </c>
      <c r="D171" s="3">
        <v>108</v>
      </c>
      <c r="E171" s="21">
        <f t="shared" si="3"/>
        <v>132</v>
      </c>
      <c r="F171" s="3">
        <v>6.3716999999999997</v>
      </c>
      <c r="G171" s="16">
        <v>3083.47</v>
      </c>
      <c r="H171" s="18">
        <v>483931000</v>
      </c>
      <c r="I171" s="18">
        <v>4351.8</v>
      </c>
      <c r="J171" s="3">
        <v>7.4642969000000003E-2</v>
      </c>
      <c r="K171" s="3">
        <v>8.3223274999999995E-4</v>
      </c>
      <c r="L171" s="18">
        <v>7.6796423999999998E-6</v>
      </c>
      <c r="M171" s="18">
        <v>1.1455704E-7</v>
      </c>
      <c r="N171" s="18">
        <v>9.5624228999999998E-6</v>
      </c>
      <c r="O171" s="18">
        <v>8.4327280999999998E-7</v>
      </c>
      <c r="P171" s="3">
        <v>6.4472649999999998E-3</v>
      </c>
      <c r="Q171" s="3">
        <v>1.2541658999999999E-4</v>
      </c>
      <c r="R171" s="3">
        <v>-2.7876500000000002</v>
      </c>
      <c r="S171" s="3">
        <v>1.2065901E-2</v>
      </c>
      <c r="T171" s="18">
        <v>3.2363795999999999E-8</v>
      </c>
      <c r="U171" s="18">
        <v>7.2614097999999996E-10</v>
      </c>
      <c r="V171" s="3">
        <v>5.8030226999999999E-4</v>
      </c>
      <c r="W171" s="3" t="s">
        <v>84</v>
      </c>
    </row>
    <row r="172" spans="1:23" x14ac:dyDescent="0.3">
      <c r="A172" s="17" t="s">
        <v>111</v>
      </c>
      <c r="C172" s="10">
        <v>132</v>
      </c>
      <c r="D172" s="3">
        <v>112</v>
      </c>
      <c r="E172" s="21">
        <f t="shared" si="3"/>
        <v>136</v>
      </c>
      <c r="F172" s="3">
        <v>6.3716999999999997</v>
      </c>
      <c r="G172" s="16">
        <v>3066.68</v>
      </c>
      <c r="H172" s="18">
        <v>481296000</v>
      </c>
      <c r="I172" s="18">
        <v>7867.52</v>
      </c>
      <c r="J172" s="3">
        <v>6.0561755000000002E-2</v>
      </c>
      <c r="K172" s="3">
        <v>7.6217430999999997E-4</v>
      </c>
      <c r="L172" s="18">
        <v>7.6908254000000008E-6</v>
      </c>
      <c r="M172" s="18">
        <v>1.2274762000000001E-7</v>
      </c>
      <c r="N172" s="18">
        <v>1.4867760000000001E-6</v>
      </c>
      <c r="O172" s="18">
        <v>1.0546735000000001E-6</v>
      </c>
      <c r="P172" s="3">
        <v>4.8636269000000001E-3</v>
      </c>
      <c r="Q172" s="3">
        <v>1.1727304E-4</v>
      </c>
      <c r="R172" s="3">
        <v>3.0720676</v>
      </c>
      <c r="S172" s="3">
        <v>1.487048E-2</v>
      </c>
      <c r="T172" s="18">
        <v>3.1178592E-8</v>
      </c>
      <c r="U172" s="18">
        <v>8.5498514999999997E-10</v>
      </c>
      <c r="V172" s="3">
        <v>1.0140771E-3</v>
      </c>
      <c r="W172" s="3" t="s">
        <v>85</v>
      </c>
    </row>
    <row r="173" spans="1:23" x14ac:dyDescent="0.3">
      <c r="A173" s="17" t="s">
        <v>111</v>
      </c>
      <c r="C173" s="10">
        <v>136</v>
      </c>
      <c r="D173" s="3">
        <v>116</v>
      </c>
      <c r="E173" s="21">
        <f t="shared" si="3"/>
        <v>140</v>
      </c>
      <c r="F173" s="3">
        <v>6.3716999999999997</v>
      </c>
      <c r="G173" s="16">
        <v>3037.54</v>
      </c>
      <c r="H173" s="18">
        <v>476723000</v>
      </c>
      <c r="I173" s="18">
        <v>25586.799999999999</v>
      </c>
      <c r="J173" s="3">
        <v>5.2103465000000002E-2</v>
      </c>
      <c r="K173" s="3">
        <v>7.3338508999999999E-4</v>
      </c>
      <c r="L173" s="18">
        <v>7.9366199999999992E-6</v>
      </c>
      <c r="M173" s="18">
        <v>1.3482680999999999E-7</v>
      </c>
      <c r="N173" s="18">
        <v>5.3805049999999999E-6</v>
      </c>
      <c r="O173" s="18">
        <v>1.1134488E-6</v>
      </c>
      <c r="P173" s="3">
        <v>3.0030696999999999E-3</v>
      </c>
      <c r="Q173" s="3">
        <v>1.3735923000000001E-4</v>
      </c>
      <c r="R173" s="3">
        <v>1.8044751999999999</v>
      </c>
      <c r="S173" s="3">
        <v>2.7293995000000001E-2</v>
      </c>
      <c r="T173" s="18">
        <v>2.4210959000000001E-8</v>
      </c>
      <c r="U173" s="18">
        <v>1.1600722E-9</v>
      </c>
      <c r="V173" s="3">
        <v>1.1931311000000001E-3</v>
      </c>
      <c r="W173" s="3" t="s">
        <v>86</v>
      </c>
    </row>
    <row r="174" spans="1:23" x14ac:dyDescent="0.3">
      <c r="A174" s="17" t="s">
        <v>111</v>
      </c>
      <c r="C174" s="10">
        <v>140</v>
      </c>
      <c r="D174" s="3">
        <v>120</v>
      </c>
      <c r="E174" s="21">
        <f t="shared" si="3"/>
        <v>144</v>
      </c>
      <c r="F174" s="3">
        <v>6.3716999999999997</v>
      </c>
      <c r="G174" s="16">
        <v>3003.15</v>
      </c>
      <c r="H174" s="18">
        <v>471326000</v>
      </c>
      <c r="I174" s="18">
        <v>11514.7</v>
      </c>
      <c r="J174" s="3">
        <v>5.2246998000000003E-2</v>
      </c>
      <c r="K174" s="3">
        <v>5.2197789999999995E-4</v>
      </c>
      <c r="L174" s="18">
        <v>8.2793608000000008E-6</v>
      </c>
      <c r="M174" s="18">
        <v>1.1699842E-7</v>
      </c>
      <c r="N174" s="18">
        <v>9.8102893999999996E-6</v>
      </c>
      <c r="O174" s="18">
        <v>6.9230984000000004E-7</v>
      </c>
      <c r="P174" s="3">
        <v>2.4549451000000001E-3</v>
      </c>
      <c r="Q174" s="18">
        <v>8.1171743999999994E-5</v>
      </c>
      <c r="R174" s="3">
        <v>2.6839721999999999</v>
      </c>
      <c r="S174" s="3">
        <v>2.1564733999999999E-2</v>
      </c>
      <c r="T174" s="18">
        <v>3.6088975000000002E-8</v>
      </c>
      <c r="U174" s="18">
        <v>1.5128144E-9</v>
      </c>
      <c r="V174" s="3">
        <v>1.1908856E-3</v>
      </c>
      <c r="W174" s="3" t="s">
        <v>87</v>
      </c>
    </row>
    <row r="175" spans="1:23" x14ac:dyDescent="0.3">
      <c r="A175" s="17" t="s">
        <v>111</v>
      </c>
      <c r="C175" s="10">
        <v>144</v>
      </c>
      <c r="D175" s="3">
        <v>124</v>
      </c>
      <c r="E175" s="21">
        <f t="shared" si="3"/>
        <v>148</v>
      </c>
      <c r="F175" s="3">
        <v>6.3716999999999997</v>
      </c>
      <c r="G175" s="16">
        <v>2777.5</v>
      </c>
      <c r="H175" s="18">
        <v>435912000</v>
      </c>
      <c r="I175" s="18">
        <v>381893</v>
      </c>
      <c r="J175" s="3">
        <v>5.2808162999999998E-2</v>
      </c>
      <c r="K175" s="3">
        <v>6.7076815000000002E-4</v>
      </c>
      <c r="L175" s="18">
        <v>7.8740977999999994E-6</v>
      </c>
      <c r="M175" s="18">
        <v>1.2492172E-7</v>
      </c>
      <c r="N175" s="18">
        <v>2.1474356999999999E-6</v>
      </c>
      <c r="O175" s="18">
        <v>1.0396156E-6</v>
      </c>
      <c r="P175" s="3">
        <v>4.1275508000000001E-3</v>
      </c>
      <c r="Q175" s="3">
        <v>2.6197849E-4</v>
      </c>
      <c r="R175" s="3">
        <v>-1.5882407000000001</v>
      </c>
      <c r="S175" s="3">
        <v>6.5550760999999999E-2</v>
      </c>
      <c r="T175" s="18">
        <v>8.9386864000000008E-9</v>
      </c>
      <c r="U175" s="3" t="s">
        <v>31</v>
      </c>
      <c r="V175" s="3">
        <v>7.0415965E-4</v>
      </c>
      <c r="W175" s="3" t="s">
        <v>88</v>
      </c>
    </row>
    <row r="176" spans="1:23" x14ac:dyDescent="0.3">
      <c r="A176" s="17" t="s">
        <v>111</v>
      </c>
      <c r="C176" s="10">
        <v>148</v>
      </c>
      <c r="D176" s="3">
        <v>128</v>
      </c>
      <c r="E176" s="21">
        <f t="shared" si="3"/>
        <v>152</v>
      </c>
      <c r="F176" s="3">
        <v>6.3716999999999997</v>
      </c>
      <c r="G176" s="16">
        <v>2847.04</v>
      </c>
      <c r="H176" s="18">
        <v>446826000</v>
      </c>
      <c r="I176" s="18">
        <v>21178.7</v>
      </c>
      <c r="J176" s="3">
        <v>5.5969152000000001E-2</v>
      </c>
      <c r="K176" s="3">
        <v>6.0243191E-4</v>
      </c>
      <c r="L176" s="18">
        <v>8.0125300000000003E-6</v>
      </c>
      <c r="M176" s="18">
        <v>1.1610675E-7</v>
      </c>
      <c r="N176" s="18">
        <v>5.4454120999999998E-6</v>
      </c>
      <c r="O176" s="18">
        <v>8.2204223000000001E-7</v>
      </c>
      <c r="P176" s="3">
        <v>3.5823287999999999E-3</v>
      </c>
      <c r="Q176" s="3">
        <v>1.2569419000000001E-4</v>
      </c>
      <c r="R176" s="3">
        <v>0.52522360999999995</v>
      </c>
      <c r="S176" s="3">
        <v>2.1900454999999999E-2</v>
      </c>
      <c r="T176" s="18">
        <v>2.3712171999999999E-8</v>
      </c>
      <c r="U176" s="18">
        <v>9.4134856000000006E-10</v>
      </c>
      <c r="V176" s="3">
        <v>1.039735E-3</v>
      </c>
      <c r="W176" s="3" t="s">
        <v>89</v>
      </c>
    </row>
    <row r="177" spans="1:23" x14ac:dyDescent="0.3">
      <c r="A177" s="17" t="s">
        <v>111</v>
      </c>
      <c r="C177" s="10">
        <v>152</v>
      </c>
      <c r="D177" s="3">
        <v>132</v>
      </c>
      <c r="E177" s="21">
        <f t="shared" si="3"/>
        <v>156</v>
      </c>
      <c r="F177" s="3">
        <v>6.3716999999999997</v>
      </c>
      <c r="G177" s="16">
        <v>2826.72</v>
      </c>
      <c r="H177" s="18">
        <v>443636000</v>
      </c>
      <c r="I177" s="18">
        <v>8927.65</v>
      </c>
      <c r="J177" s="3">
        <v>5.7126691E-2</v>
      </c>
      <c r="K177" s="3">
        <v>6.0267651000000004E-4</v>
      </c>
      <c r="L177" s="18">
        <v>7.5110923000000004E-6</v>
      </c>
      <c r="M177" s="18">
        <v>1.2420032000000001E-7</v>
      </c>
      <c r="N177" s="18">
        <v>4.1130716E-6</v>
      </c>
      <c r="O177" s="18">
        <v>8.4107345999999995E-7</v>
      </c>
      <c r="P177" s="3">
        <v>4.4423496000000002E-3</v>
      </c>
      <c r="Q177" s="3">
        <v>1.0864217000000001E-4</v>
      </c>
      <c r="R177" s="3">
        <v>2.6771446000000001</v>
      </c>
      <c r="S177" s="3">
        <v>1.5719348000000001E-2</v>
      </c>
      <c r="T177" s="18">
        <v>3.1620011999999998E-8</v>
      </c>
      <c r="U177" s="18">
        <v>9.4731784999999993E-10</v>
      </c>
      <c r="V177" s="3">
        <v>-1.096873E-4</v>
      </c>
      <c r="W177" s="3" t="s">
        <v>90</v>
      </c>
    </row>
    <row r="178" spans="1:23" x14ac:dyDescent="0.3">
      <c r="A178" s="17" t="s">
        <v>111</v>
      </c>
      <c r="C178" s="10">
        <v>156</v>
      </c>
      <c r="D178" s="3">
        <v>136</v>
      </c>
      <c r="E178" s="21">
        <f t="shared" si="3"/>
        <v>160</v>
      </c>
      <c r="F178" s="3">
        <v>6.3716999999999997</v>
      </c>
      <c r="G178" s="16">
        <v>2809.13</v>
      </c>
      <c r="H178" s="18">
        <v>440876000</v>
      </c>
      <c r="I178" s="18">
        <v>25240.5</v>
      </c>
      <c r="J178" s="3">
        <v>6.3261659999999997E-2</v>
      </c>
      <c r="K178" s="3">
        <v>5.8244584999999998E-4</v>
      </c>
      <c r="L178" s="18">
        <v>7.4679271999999997E-6</v>
      </c>
      <c r="M178" s="18">
        <v>1.0964264E-7</v>
      </c>
      <c r="N178" s="18">
        <v>5.9045739E-6</v>
      </c>
      <c r="O178" s="18">
        <v>7.2006111999999999E-7</v>
      </c>
      <c r="P178" s="3">
        <v>2.9536553E-3</v>
      </c>
      <c r="Q178" s="3">
        <v>1.1583194999999999E-4</v>
      </c>
      <c r="R178" s="3">
        <v>2.9558989000000002</v>
      </c>
      <c r="S178" s="3">
        <v>2.5123481E-2</v>
      </c>
      <c r="T178" s="18">
        <v>2.8129576000000002E-8</v>
      </c>
      <c r="U178" s="18">
        <v>1.3258186E-9</v>
      </c>
      <c r="V178" s="3">
        <v>1.025815E-3</v>
      </c>
      <c r="W178" s="3" t="s">
        <v>91</v>
      </c>
    </row>
    <row r="179" spans="1:23" x14ac:dyDescent="0.3">
      <c r="A179" s="17" t="s">
        <v>111</v>
      </c>
      <c r="C179" s="10">
        <v>160</v>
      </c>
      <c r="D179" s="3">
        <v>140</v>
      </c>
      <c r="E179" s="21">
        <f t="shared" si="3"/>
        <v>164</v>
      </c>
      <c r="F179" s="3">
        <v>6.3716999999999997</v>
      </c>
      <c r="G179" s="16">
        <v>2805.34</v>
      </c>
      <c r="H179" s="18">
        <v>440281000</v>
      </c>
      <c r="I179" s="18">
        <v>17532.400000000001</v>
      </c>
      <c r="J179" s="3">
        <v>5.6855927000000001E-2</v>
      </c>
      <c r="K179" s="3">
        <v>7.3994906999999999E-4</v>
      </c>
      <c r="L179" s="18">
        <v>6.9217059E-6</v>
      </c>
      <c r="M179" s="18">
        <v>1.5985697E-7</v>
      </c>
      <c r="N179" s="18">
        <v>2.9724485E-7</v>
      </c>
      <c r="O179" s="18">
        <v>1.1427921E-6</v>
      </c>
      <c r="P179" s="18">
        <v>1.2576663999999999E-5</v>
      </c>
      <c r="Q179" s="3">
        <v>8.8538248000000002E-4</v>
      </c>
      <c r="R179" s="3">
        <v>3.4283432999999999</v>
      </c>
      <c r="S179" s="3">
        <v>69.514835000000005</v>
      </c>
      <c r="T179" s="18">
        <v>5.0053884999999997E-9</v>
      </c>
      <c r="U179" s="3" t="s">
        <v>31</v>
      </c>
      <c r="V179" s="3">
        <v>1.0904859E-4</v>
      </c>
      <c r="W179" s="3" t="s">
        <v>92</v>
      </c>
    </row>
    <row r="180" spans="1:23" x14ac:dyDescent="0.3">
      <c r="A180" s="17" t="s">
        <v>111</v>
      </c>
      <c r="C180" s="10">
        <v>164</v>
      </c>
      <c r="D180" s="3">
        <v>144</v>
      </c>
      <c r="E180" s="21">
        <f t="shared" si="3"/>
        <v>168</v>
      </c>
      <c r="F180" s="3">
        <v>6.3716999999999997</v>
      </c>
      <c r="G180" s="16">
        <v>2715.3</v>
      </c>
      <c r="H180" s="18">
        <v>426149000</v>
      </c>
      <c r="I180" s="18">
        <v>242240</v>
      </c>
      <c r="J180" s="3">
        <v>5.4601675000000002E-2</v>
      </c>
      <c r="K180" s="3">
        <v>5.9778540999999997E-4</v>
      </c>
      <c r="L180" s="18">
        <v>7.5481991999999996E-6</v>
      </c>
      <c r="M180" s="18">
        <v>1.2852993000000001E-7</v>
      </c>
      <c r="N180" s="18">
        <v>3.3844979999999999E-6</v>
      </c>
      <c r="O180" s="18">
        <v>8.7708170999999997E-7</v>
      </c>
      <c r="P180" s="3">
        <v>2.2960769000000001E-3</v>
      </c>
      <c r="Q180" s="3">
        <v>1.5059713E-4</v>
      </c>
      <c r="R180" s="3">
        <v>-1.1893146999999999</v>
      </c>
      <c r="S180" s="3">
        <v>6.7365574999999997E-2</v>
      </c>
      <c r="T180" s="18">
        <v>1.3208015E-8</v>
      </c>
      <c r="U180" s="3" t="s">
        <v>31</v>
      </c>
      <c r="V180" s="3">
        <v>6.7493361000000001E-4</v>
      </c>
      <c r="W180" s="3" t="s">
        <v>93</v>
      </c>
    </row>
    <row r="181" spans="1:23" x14ac:dyDescent="0.3">
      <c r="A181" s="17" t="s">
        <v>111</v>
      </c>
      <c r="C181" s="10">
        <v>168</v>
      </c>
      <c r="D181" s="3">
        <v>148</v>
      </c>
      <c r="E181" s="21">
        <f t="shared" si="3"/>
        <v>172</v>
      </c>
      <c r="F181" s="3">
        <v>6.3716999999999997</v>
      </c>
      <c r="G181" s="16">
        <v>2855.48</v>
      </c>
      <c r="H181" s="18">
        <v>448150000</v>
      </c>
      <c r="I181" s="18">
        <v>11943</v>
      </c>
      <c r="J181" s="3">
        <v>6.0610483E-2</v>
      </c>
      <c r="K181" s="3">
        <v>5.9486873999999999E-4</v>
      </c>
      <c r="L181" s="18">
        <v>7.3415339999999996E-6</v>
      </c>
      <c r="M181" s="18">
        <v>1.1443966E-7</v>
      </c>
      <c r="N181" s="18">
        <v>2.8051635999999999E-6</v>
      </c>
      <c r="O181" s="18">
        <v>8.0908033999999995E-7</v>
      </c>
      <c r="P181" s="3">
        <v>4.3578089000000002E-3</v>
      </c>
      <c r="Q181" s="3">
        <v>1.1014199E-4</v>
      </c>
      <c r="R181" s="3">
        <v>1.7923087</v>
      </c>
      <c r="S181" s="3">
        <v>1.6166964999999998E-2</v>
      </c>
      <c r="T181" s="18">
        <v>3.0539198000000003E-8</v>
      </c>
      <c r="U181" s="18">
        <v>9.3241632999999996E-10</v>
      </c>
      <c r="V181" s="3">
        <v>7.9134113000000001E-4</v>
      </c>
      <c r="W181" s="3" t="s">
        <v>94</v>
      </c>
    </row>
    <row r="182" spans="1:23" x14ac:dyDescent="0.3">
      <c r="A182" s="17" t="s">
        <v>111</v>
      </c>
      <c r="C182" s="10">
        <v>172</v>
      </c>
      <c r="D182" s="3">
        <v>152</v>
      </c>
      <c r="E182" s="21">
        <f t="shared" si="3"/>
        <v>176</v>
      </c>
      <c r="F182" s="3">
        <v>6.3716999999999997</v>
      </c>
      <c r="G182" s="16">
        <v>2883.37</v>
      </c>
      <c r="H182" s="18">
        <v>452528000</v>
      </c>
      <c r="I182" s="18">
        <v>9731.24</v>
      </c>
      <c r="J182" s="3">
        <v>6.4477248000000001E-2</v>
      </c>
      <c r="K182" s="3">
        <v>6.7195399000000004E-4</v>
      </c>
      <c r="L182" s="18">
        <v>7.4422609999999999E-6</v>
      </c>
      <c r="M182" s="18">
        <v>1.2387950000000001E-7</v>
      </c>
      <c r="N182" s="18">
        <v>4.4358861000000001E-6</v>
      </c>
      <c r="O182" s="18">
        <v>8.3227535000000001E-7</v>
      </c>
      <c r="P182" s="3">
        <v>5.7848094000000003E-3</v>
      </c>
      <c r="Q182" s="3">
        <v>1.3126016E-4</v>
      </c>
      <c r="R182" s="3">
        <v>2.5517045999999999</v>
      </c>
      <c r="S182" s="3">
        <v>1.4610359E-2</v>
      </c>
      <c r="T182" s="18">
        <v>2.8730582E-8</v>
      </c>
      <c r="U182" s="18">
        <v>7.8763251999999995E-10</v>
      </c>
      <c r="V182" s="3">
        <v>1.0221010999999999E-3</v>
      </c>
      <c r="W182" s="3" t="s">
        <v>95</v>
      </c>
    </row>
    <row r="183" spans="1:23" x14ac:dyDescent="0.3">
      <c r="A183" s="17" t="s">
        <v>111</v>
      </c>
      <c r="C183" s="10">
        <v>176</v>
      </c>
      <c r="D183" s="3">
        <v>156</v>
      </c>
      <c r="E183" s="21">
        <f t="shared" si="3"/>
        <v>180</v>
      </c>
      <c r="F183" s="3">
        <v>6.3716999999999997</v>
      </c>
      <c r="G183" s="16">
        <v>2926.65</v>
      </c>
      <c r="H183" s="18">
        <v>459320000</v>
      </c>
      <c r="I183" s="18">
        <v>7901.1</v>
      </c>
      <c r="J183" s="3">
        <v>6.9137667E-2</v>
      </c>
      <c r="K183" s="3">
        <v>6.9463605999999997E-4</v>
      </c>
      <c r="L183" s="18">
        <v>7.4384902E-6</v>
      </c>
      <c r="M183" s="18">
        <v>1.2013079999999999E-7</v>
      </c>
      <c r="N183" s="18">
        <v>8.3882108000000006E-6</v>
      </c>
      <c r="O183" s="18">
        <v>7.6529528000000003E-7</v>
      </c>
      <c r="P183" s="3">
        <v>6.5233612000000002E-3</v>
      </c>
      <c r="Q183" s="3">
        <v>1.3007631999999999E-4</v>
      </c>
      <c r="R183" s="3">
        <v>1.5587838999999999</v>
      </c>
      <c r="S183" s="3">
        <v>1.2786122E-2</v>
      </c>
      <c r="T183" s="18">
        <v>2.985926E-8</v>
      </c>
      <c r="U183" s="18">
        <v>7.1908835000000004E-10</v>
      </c>
      <c r="V183" s="3">
        <v>9.8789492000000002E-4</v>
      </c>
      <c r="W183" s="3" t="s">
        <v>96</v>
      </c>
    </row>
    <row r="184" spans="1:23" x14ac:dyDescent="0.3">
      <c r="A184" s="17" t="s">
        <v>111</v>
      </c>
      <c r="C184" s="10">
        <v>180</v>
      </c>
      <c r="D184" s="3">
        <v>160</v>
      </c>
      <c r="E184" s="21">
        <f t="shared" si="3"/>
        <v>184</v>
      </c>
      <c r="F184" s="3">
        <v>6.3716999999999997</v>
      </c>
      <c r="G184" s="16">
        <v>2953.42</v>
      </c>
      <c r="H184" s="18">
        <v>463522000</v>
      </c>
      <c r="I184" s="18">
        <v>8028.48</v>
      </c>
      <c r="J184" s="3">
        <v>6.9839799999999994E-2</v>
      </c>
      <c r="K184" s="3">
        <v>6.5960604999999999E-4</v>
      </c>
      <c r="L184" s="18">
        <v>7.7588338000000008E-6</v>
      </c>
      <c r="M184" s="18">
        <v>1.0964362E-7</v>
      </c>
      <c r="N184" s="18">
        <v>1.0029816000000001E-5</v>
      </c>
      <c r="O184" s="18">
        <v>6.8684414999999999E-7</v>
      </c>
      <c r="P184" s="3">
        <v>5.9425996999999996E-3</v>
      </c>
      <c r="Q184" s="3">
        <v>1.1942348E-4</v>
      </c>
      <c r="R184" s="3">
        <v>1.1551309999999999</v>
      </c>
      <c r="S184" s="3">
        <v>1.2883906000000001E-2</v>
      </c>
      <c r="T184" s="18">
        <v>2.9436811E-8</v>
      </c>
      <c r="U184" s="18">
        <v>7.1105000999999998E-10</v>
      </c>
      <c r="V184" s="3">
        <v>1.2452702E-3</v>
      </c>
      <c r="W184" s="3" t="s">
        <v>97</v>
      </c>
    </row>
    <row r="185" spans="1:23" x14ac:dyDescent="0.3">
      <c r="A185" s="17" t="s">
        <v>111</v>
      </c>
      <c r="C185" s="10">
        <v>184</v>
      </c>
      <c r="D185" s="3">
        <v>164</v>
      </c>
      <c r="E185" s="21">
        <f t="shared" si="3"/>
        <v>188</v>
      </c>
      <c r="F185" s="3">
        <v>6.3716999999999997</v>
      </c>
      <c r="G185" s="16">
        <v>2952.27</v>
      </c>
      <c r="H185" s="18">
        <v>463342000</v>
      </c>
      <c r="I185" s="18">
        <v>6683.34</v>
      </c>
      <c r="J185" s="3">
        <v>7.2833778000000002E-2</v>
      </c>
      <c r="K185" s="3">
        <v>6.3056527000000004E-4</v>
      </c>
      <c r="L185" s="18">
        <v>7.5560588E-6</v>
      </c>
      <c r="M185" s="18">
        <v>1.0709947E-7</v>
      </c>
      <c r="N185" s="18">
        <v>1.3507484E-5</v>
      </c>
      <c r="O185" s="18">
        <v>6.0625052E-7</v>
      </c>
      <c r="P185" s="3">
        <v>6.1173814999999996E-3</v>
      </c>
      <c r="Q185" s="3">
        <v>1.2118415999999999E-4</v>
      </c>
      <c r="R185" s="3">
        <v>2.2466170999999999</v>
      </c>
      <c r="S185" s="3">
        <v>1.2774848E-2</v>
      </c>
      <c r="T185" s="18">
        <v>2.9102913000000001E-8</v>
      </c>
      <c r="U185" s="18">
        <v>7.0010087000000004E-10</v>
      </c>
      <c r="V185" s="3">
        <v>9.4652386000000004E-4</v>
      </c>
      <c r="W185" s="3" t="s">
        <v>98</v>
      </c>
    </row>
    <row r="186" spans="1:23" x14ac:dyDescent="0.3">
      <c r="A186" s="17" t="s">
        <v>111</v>
      </c>
      <c r="C186" s="10">
        <v>188</v>
      </c>
      <c r="D186" s="3">
        <v>168</v>
      </c>
      <c r="E186" s="21">
        <f t="shared" si="3"/>
        <v>192</v>
      </c>
      <c r="F186" s="3">
        <v>6.3716999999999997</v>
      </c>
      <c r="G186" s="16">
        <v>2971.34</v>
      </c>
      <c r="H186" s="18">
        <v>466334000</v>
      </c>
      <c r="I186" s="18">
        <v>5191.13</v>
      </c>
      <c r="J186" s="3">
        <v>6.8150561999999998E-2</v>
      </c>
      <c r="K186" s="3">
        <v>6.6673457999999995E-4</v>
      </c>
      <c r="L186" s="18">
        <v>7.7495030000000008E-6</v>
      </c>
      <c r="M186" s="18">
        <v>1.1509603E-7</v>
      </c>
      <c r="N186" s="18">
        <v>1.2256505000000001E-5</v>
      </c>
      <c r="O186" s="18">
        <v>6.9046635000000001E-7</v>
      </c>
      <c r="P186" s="3">
        <v>7.7838550999999997E-3</v>
      </c>
      <c r="Q186" s="3">
        <v>1.1889308999999999E-4</v>
      </c>
      <c r="R186" s="3">
        <v>1.0529010999999999</v>
      </c>
      <c r="S186" s="3">
        <v>9.8113043000000004E-3</v>
      </c>
      <c r="T186" s="18">
        <v>2.9988671000000002E-8</v>
      </c>
      <c r="U186" s="18">
        <v>5.5261205000000005E-10</v>
      </c>
      <c r="V186" s="3">
        <v>1.4910187E-3</v>
      </c>
      <c r="W186" s="3" t="s">
        <v>99</v>
      </c>
    </row>
    <row r="187" spans="1:23" x14ac:dyDescent="0.3">
      <c r="A187" s="17" t="s">
        <v>112</v>
      </c>
      <c r="C187" s="3">
        <v>-4</v>
      </c>
      <c r="E187">
        <f>C187+8</f>
        <v>4</v>
      </c>
      <c r="F187" s="3">
        <v>6.3916300000000001</v>
      </c>
      <c r="G187" s="16">
        <v>2912.63</v>
      </c>
      <c r="H187" s="18">
        <v>455695000</v>
      </c>
      <c r="I187" s="18">
        <v>15171.9</v>
      </c>
      <c r="J187" s="3">
        <v>6.4395870999999993E-2</v>
      </c>
      <c r="K187" s="18">
        <v>9.3543416999999996E-5</v>
      </c>
      <c r="L187" s="18">
        <v>6.3280061999999999E-6</v>
      </c>
      <c r="M187" s="18">
        <v>6.0310939999999997E-8</v>
      </c>
      <c r="N187" s="18">
        <v>1.3516509E-8</v>
      </c>
      <c r="O187" s="3" t="s">
        <v>31</v>
      </c>
      <c r="P187" s="3">
        <v>4.8798438999999999E-3</v>
      </c>
      <c r="Q187" s="3">
        <v>1.3757352999999999E-4</v>
      </c>
      <c r="R187" s="3">
        <v>1.2715394</v>
      </c>
      <c r="S187" s="3">
        <v>1.8206057000000001E-2</v>
      </c>
      <c r="T187" s="18">
        <v>2.9182776999999999E-8</v>
      </c>
      <c r="U187" s="18">
        <v>9.8596256E-10</v>
      </c>
      <c r="V187" s="3">
        <v>-5.7152240000000001E-4</v>
      </c>
      <c r="W187" s="3">
        <v>1.4957830999999999E-4</v>
      </c>
    </row>
    <row r="188" spans="1:23" x14ac:dyDescent="0.3">
      <c r="A188" s="17" t="s">
        <v>112</v>
      </c>
      <c r="C188" s="3">
        <v>0</v>
      </c>
      <c r="E188">
        <f t="shared" ref="E188:E235" si="4">C188+8</f>
        <v>8</v>
      </c>
      <c r="F188" s="3">
        <v>6.3916300000000001</v>
      </c>
      <c r="G188" s="16">
        <v>2918.54</v>
      </c>
      <c r="H188" s="18">
        <v>456619000</v>
      </c>
      <c r="I188" s="18">
        <v>8013.65</v>
      </c>
      <c r="J188" s="3">
        <v>6.7707664000000001E-2</v>
      </c>
      <c r="K188" s="3">
        <v>1.0572402999999999E-4</v>
      </c>
      <c r="L188" s="18">
        <v>5.9761465999999999E-6</v>
      </c>
      <c r="M188" s="18">
        <v>5.9617039000000006E-8</v>
      </c>
      <c r="N188" s="18">
        <v>6.0372689000000002E-9</v>
      </c>
      <c r="O188" s="3" t="s">
        <v>31</v>
      </c>
      <c r="P188" s="3">
        <v>7.0321326000000002E-3</v>
      </c>
      <c r="Q188" s="3">
        <v>1.4070156000000001E-4</v>
      </c>
      <c r="R188" s="3">
        <v>1.1328841999999999</v>
      </c>
      <c r="S188" s="3">
        <v>1.2895047E-2</v>
      </c>
      <c r="T188" s="18">
        <v>2.9826280000000002E-8</v>
      </c>
      <c r="U188" s="18">
        <v>7.1726159999999995E-10</v>
      </c>
      <c r="V188" s="3">
        <v>-1.4169399E-3</v>
      </c>
      <c r="W188" s="3">
        <v>1.7029953E-4</v>
      </c>
    </row>
    <row r="189" spans="1:23" x14ac:dyDescent="0.3">
      <c r="A189" s="17" t="s">
        <v>112</v>
      </c>
      <c r="C189" s="3">
        <v>4</v>
      </c>
      <c r="E189">
        <f t="shared" si="4"/>
        <v>12</v>
      </c>
      <c r="F189" s="3">
        <v>6.3916300000000001</v>
      </c>
      <c r="G189" s="16">
        <v>2883.85</v>
      </c>
      <c r="H189" s="18">
        <v>451191000</v>
      </c>
      <c r="I189" s="18">
        <v>7186.27</v>
      </c>
      <c r="J189" s="3">
        <v>6.4948354E-2</v>
      </c>
      <c r="K189" s="3">
        <v>7.3105559000000001E-4</v>
      </c>
      <c r="L189" s="18">
        <v>6.4707756000000004E-6</v>
      </c>
      <c r="M189" s="18">
        <v>1.4228754999999999E-7</v>
      </c>
      <c r="N189" s="18">
        <v>3.1649782999999998E-6</v>
      </c>
      <c r="O189" s="18">
        <v>1.0145233E-6</v>
      </c>
      <c r="P189" s="3">
        <v>5.2691144000000002E-3</v>
      </c>
      <c r="Q189" s="3">
        <v>1.4172197000000001E-4</v>
      </c>
      <c r="R189" s="3">
        <v>1.1232368E-2</v>
      </c>
      <c r="S189" s="3">
        <v>1.7071003000000001E-2</v>
      </c>
      <c r="T189" s="18">
        <v>3.2176259000000003E-8</v>
      </c>
      <c r="U189" s="18">
        <v>1.0370190999999999E-9</v>
      </c>
      <c r="V189" s="3">
        <v>-6.2690192000000003E-4</v>
      </c>
      <c r="W189" s="3">
        <v>2.6229600000000002E-4</v>
      </c>
    </row>
    <row r="190" spans="1:23" x14ac:dyDescent="0.3">
      <c r="A190" s="17" t="s">
        <v>112</v>
      </c>
      <c r="C190" s="3">
        <v>8</v>
      </c>
      <c r="E190">
        <f t="shared" si="4"/>
        <v>16</v>
      </c>
      <c r="F190" s="3">
        <v>6.3916300000000001</v>
      </c>
      <c r="G190" s="16">
        <v>2833.31</v>
      </c>
      <c r="H190" s="18">
        <v>443284000</v>
      </c>
      <c r="I190" s="18">
        <v>9187.4500000000007</v>
      </c>
      <c r="J190" s="3">
        <v>6.5893090000000001E-2</v>
      </c>
      <c r="K190" s="3">
        <v>6.2212181999999998E-4</v>
      </c>
      <c r="L190" s="18">
        <v>6.1667863999999998E-6</v>
      </c>
      <c r="M190" s="18">
        <v>1.2857138E-7</v>
      </c>
      <c r="N190" s="18">
        <v>8.5867548999999996E-7</v>
      </c>
      <c r="O190" s="18">
        <v>9.0218028999999999E-7</v>
      </c>
      <c r="P190" s="3">
        <v>5.6574751E-3</v>
      </c>
      <c r="Q190" s="3">
        <v>1.3176927000000001E-4</v>
      </c>
      <c r="R190" s="3">
        <v>1.9014173000000001</v>
      </c>
      <c r="S190" s="3">
        <v>1.4938473000000001E-2</v>
      </c>
      <c r="T190" s="18">
        <v>3.1911219999999998E-8</v>
      </c>
      <c r="U190" s="18">
        <v>9.0286648999999998E-10</v>
      </c>
      <c r="V190" s="3">
        <v>-1.0009127999999999E-3</v>
      </c>
      <c r="W190" s="3">
        <v>2.6729082999999999E-4</v>
      </c>
    </row>
    <row r="191" spans="1:23" x14ac:dyDescent="0.3">
      <c r="A191" s="17" t="s">
        <v>112</v>
      </c>
      <c r="C191" s="3">
        <v>12</v>
      </c>
      <c r="E191">
        <f t="shared" si="4"/>
        <v>20</v>
      </c>
      <c r="F191" s="3">
        <v>6.3916300000000001</v>
      </c>
      <c r="G191" s="16">
        <v>2782.36</v>
      </c>
      <c r="H191" s="18">
        <v>435314000</v>
      </c>
      <c r="I191" s="18">
        <v>23182.9</v>
      </c>
      <c r="J191" s="3">
        <v>5.4504240000000002E-2</v>
      </c>
      <c r="K191" s="18">
        <v>8.1848411000000004E-5</v>
      </c>
      <c r="L191" s="18">
        <v>6.4668063000000001E-6</v>
      </c>
      <c r="M191" s="18">
        <v>6.4335008000000003E-8</v>
      </c>
      <c r="N191" s="18">
        <v>1.0192354E-10</v>
      </c>
      <c r="O191" s="3" t="s">
        <v>31</v>
      </c>
      <c r="P191" s="3">
        <v>3.3843727999999999E-3</v>
      </c>
      <c r="Q191" s="3">
        <v>1.2723043999999999E-4</v>
      </c>
      <c r="R191" s="3">
        <v>1.5835092</v>
      </c>
      <c r="S191" s="3">
        <v>2.3994345E-2</v>
      </c>
      <c r="T191" s="18">
        <v>2.8718101999999999E-8</v>
      </c>
      <c r="U191" s="18">
        <v>1.2783710999999999E-9</v>
      </c>
      <c r="V191" s="3">
        <v>-3.6266769000000001E-4</v>
      </c>
      <c r="W191" s="3">
        <v>1.3017749999999999E-4</v>
      </c>
    </row>
    <row r="192" spans="1:23" x14ac:dyDescent="0.3">
      <c r="A192" s="17" t="s">
        <v>112</v>
      </c>
      <c r="C192" s="3">
        <v>16</v>
      </c>
      <c r="E192">
        <f t="shared" si="4"/>
        <v>24</v>
      </c>
      <c r="F192" s="3">
        <v>6.3916300000000001</v>
      </c>
      <c r="G192" s="16">
        <v>2739.77</v>
      </c>
      <c r="H192" s="18">
        <v>428650000</v>
      </c>
      <c r="I192" s="18">
        <v>11277.2</v>
      </c>
      <c r="J192" s="3">
        <v>7.1325009999999994E-2</v>
      </c>
      <c r="K192" s="3">
        <v>6.7032210000000003E-4</v>
      </c>
      <c r="L192" s="18">
        <v>6.2637844000000002E-6</v>
      </c>
      <c r="M192" s="18">
        <v>1.2055345E-7</v>
      </c>
      <c r="N192" s="18">
        <v>1.6865526000000001E-6</v>
      </c>
      <c r="O192" s="18">
        <v>8.8375140000000001E-7</v>
      </c>
      <c r="P192" s="3">
        <v>6.8745307999999996E-3</v>
      </c>
      <c r="Q192" s="3">
        <v>1.4557711999999999E-4</v>
      </c>
      <c r="R192" s="3">
        <v>0.99071580999999997</v>
      </c>
      <c r="S192" s="3">
        <v>1.3406568000000001E-2</v>
      </c>
      <c r="T192" s="18">
        <v>2.8619592E-8</v>
      </c>
      <c r="U192" s="18">
        <v>7.0731381000000003E-10</v>
      </c>
      <c r="V192" s="3">
        <v>-1.2496877E-3</v>
      </c>
      <c r="W192" s="3">
        <v>2.5965480000000001E-4</v>
      </c>
    </row>
    <row r="193" spans="1:23" x14ac:dyDescent="0.3">
      <c r="A193" s="17" t="s">
        <v>112</v>
      </c>
      <c r="C193" s="3">
        <v>20</v>
      </c>
      <c r="E193">
        <f t="shared" si="4"/>
        <v>28</v>
      </c>
      <c r="F193" s="3">
        <v>6.3916300000000001</v>
      </c>
      <c r="G193" s="16">
        <v>2705.83</v>
      </c>
      <c r="H193" s="18">
        <v>423339000</v>
      </c>
      <c r="I193" s="18">
        <v>8269.7900000000009</v>
      </c>
      <c r="J193" s="3">
        <v>6.4533511000000002E-2</v>
      </c>
      <c r="K193" s="3">
        <v>5.9580023000000001E-4</v>
      </c>
      <c r="L193" s="18">
        <v>6.170006E-6</v>
      </c>
      <c r="M193" s="18">
        <v>1.2416131000000001E-7</v>
      </c>
      <c r="N193" s="18">
        <v>8.7515743999999999E-7</v>
      </c>
      <c r="O193" s="18">
        <v>8.8328504000000002E-7</v>
      </c>
      <c r="P193" s="3">
        <v>6.3723080999999997E-3</v>
      </c>
      <c r="Q193" s="3">
        <v>1.2354725000000001E-4</v>
      </c>
      <c r="R193" s="3">
        <v>2.5927335999999999</v>
      </c>
      <c r="S193" s="3">
        <v>1.2445081E-2</v>
      </c>
      <c r="T193" s="18">
        <v>3.2049514000000003E-8</v>
      </c>
      <c r="U193" s="18">
        <v>7.5206337000000001E-10</v>
      </c>
      <c r="V193" s="3">
        <v>-1.1920297000000001E-3</v>
      </c>
      <c r="W193" s="3">
        <v>2.5182113999999998E-4</v>
      </c>
    </row>
    <row r="194" spans="1:23" x14ac:dyDescent="0.3">
      <c r="A194" s="17" t="s">
        <v>112</v>
      </c>
      <c r="C194" s="3">
        <v>24</v>
      </c>
      <c r="E194">
        <f t="shared" si="4"/>
        <v>32</v>
      </c>
      <c r="F194" s="3">
        <v>6.3916300000000001</v>
      </c>
      <c r="G194" s="16">
        <v>2674.53</v>
      </c>
      <c r="H194" s="18">
        <v>418443000</v>
      </c>
      <c r="I194" s="18">
        <v>12149.5</v>
      </c>
      <c r="J194" s="3">
        <v>6.3344041000000004E-2</v>
      </c>
      <c r="K194" s="18">
        <v>9.2169402999999994E-5</v>
      </c>
      <c r="L194" s="18">
        <v>6.5068912999999997E-6</v>
      </c>
      <c r="M194" s="18">
        <v>6.4144235000000001E-8</v>
      </c>
      <c r="N194" s="18">
        <v>8.2857113999999997E-10</v>
      </c>
      <c r="O194" s="3" t="s">
        <v>31</v>
      </c>
      <c r="P194" s="3">
        <v>4.8261331000000003E-3</v>
      </c>
      <c r="Q194" s="3">
        <v>1.4455062999999999E-4</v>
      </c>
      <c r="R194" s="3">
        <v>-0.50168482000000003</v>
      </c>
      <c r="S194" s="3">
        <v>1.8694992000000001E-2</v>
      </c>
      <c r="T194" s="18">
        <v>3.0812369E-8</v>
      </c>
      <c r="U194" s="18">
        <v>1.0692901E-9</v>
      </c>
      <c r="V194" s="3">
        <v>-4.6794308000000002E-4</v>
      </c>
      <c r="W194" s="3">
        <v>1.4773402999999999E-4</v>
      </c>
    </row>
    <row r="195" spans="1:23" x14ac:dyDescent="0.3">
      <c r="A195" s="17" t="s">
        <v>112</v>
      </c>
      <c r="C195" s="3">
        <v>28</v>
      </c>
      <c r="E195">
        <f t="shared" si="4"/>
        <v>36</v>
      </c>
      <c r="F195" s="3">
        <v>6.3916300000000001</v>
      </c>
      <c r="G195" s="16">
        <v>2649.28</v>
      </c>
      <c r="H195" s="18">
        <v>414492000</v>
      </c>
      <c r="I195" s="18">
        <v>12192.7</v>
      </c>
      <c r="J195" s="3">
        <v>6.3312155999999994E-2</v>
      </c>
      <c r="K195" s="18">
        <v>9.1057839999999997E-5</v>
      </c>
      <c r="L195" s="18">
        <v>6.6340655000000004E-6</v>
      </c>
      <c r="M195" s="18">
        <v>6.3348503999999994E-8</v>
      </c>
      <c r="N195" s="18">
        <v>6.0482569999999998E-9</v>
      </c>
      <c r="O195" s="3" t="s">
        <v>31</v>
      </c>
      <c r="P195" s="3">
        <v>5.7108927000000002E-3</v>
      </c>
      <c r="Q195" s="3">
        <v>1.3657592000000001E-4</v>
      </c>
      <c r="R195" s="3">
        <v>2.8704402999999998</v>
      </c>
      <c r="S195" s="3">
        <v>1.5382951000000001E-2</v>
      </c>
      <c r="T195" s="18">
        <v>3.0660101E-8</v>
      </c>
      <c r="U195" s="18">
        <v>8.8037833999999996E-10</v>
      </c>
      <c r="V195" s="3">
        <v>-6.0530401000000005E-4</v>
      </c>
      <c r="W195" s="3">
        <v>1.4309663999999999E-4</v>
      </c>
    </row>
    <row r="196" spans="1:23" x14ac:dyDescent="0.3">
      <c r="A196" s="17" t="s">
        <v>112</v>
      </c>
      <c r="C196" s="3">
        <v>32</v>
      </c>
      <c r="E196">
        <f t="shared" si="4"/>
        <v>40</v>
      </c>
      <c r="F196" s="3">
        <v>6.3916300000000001</v>
      </c>
      <c r="G196" s="16">
        <v>2668.04</v>
      </c>
      <c r="H196" s="18">
        <v>417427000</v>
      </c>
      <c r="I196" s="18">
        <v>11740.9</v>
      </c>
      <c r="J196" s="3">
        <v>6.8402544999999995E-2</v>
      </c>
      <c r="K196" s="3">
        <v>6.3575809000000001E-4</v>
      </c>
      <c r="L196" s="18">
        <v>5.9360050999999999E-6</v>
      </c>
      <c r="M196" s="18">
        <v>1.2791374E-7</v>
      </c>
      <c r="N196" s="18">
        <v>2.7549965E-7</v>
      </c>
      <c r="O196" s="18">
        <v>9.2395886999999995E-7</v>
      </c>
      <c r="P196" s="3">
        <v>4.8399795999999997E-3</v>
      </c>
      <c r="Q196" s="3">
        <v>1.3663725999999999E-4</v>
      </c>
      <c r="R196" s="3">
        <v>2.5355875000000001</v>
      </c>
      <c r="S196" s="3">
        <v>1.8127066000000001E-2</v>
      </c>
      <c r="T196" s="18">
        <v>3.1691003999999997E-8</v>
      </c>
      <c r="U196" s="18">
        <v>1.0760398999999999E-9</v>
      </c>
      <c r="V196" s="3">
        <v>-1.8922793000000001E-3</v>
      </c>
      <c r="W196" s="3">
        <v>2.9362078E-4</v>
      </c>
    </row>
    <row r="197" spans="1:23" x14ac:dyDescent="0.3">
      <c r="A197" s="17" t="s">
        <v>112</v>
      </c>
      <c r="C197" s="3">
        <v>36</v>
      </c>
      <c r="E197">
        <f t="shared" si="4"/>
        <v>44</v>
      </c>
      <c r="F197" s="3">
        <v>6.3916300000000001</v>
      </c>
      <c r="G197" s="16">
        <v>2673.74</v>
      </c>
      <c r="H197" s="18">
        <v>418319000</v>
      </c>
      <c r="I197" s="18">
        <v>9579.4599999999991</v>
      </c>
      <c r="J197" s="3">
        <v>7.4247806E-2</v>
      </c>
      <c r="K197" s="3">
        <v>1.1488445E-4</v>
      </c>
      <c r="L197" s="18">
        <v>6.2028703999999997E-6</v>
      </c>
      <c r="M197" s="18">
        <v>6.2971249000000005E-8</v>
      </c>
      <c r="N197" s="18">
        <v>6.3770014E-14</v>
      </c>
      <c r="O197" s="3" t="s">
        <v>31</v>
      </c>
      <c r="P197" s="3">
        <v>7.8557469999999997E-3</v>
      </c>
      <c r="Q197" s="3">
        <v>1.7192118E-4</v>
      </c>
      <c r="R197" s="3">
        <v>2.5520991999999998</v>
      </c>
      <c r="S197" s="3">
        <v>1.4073453E-2</v>
      </c>
      <c r="T197" s="18">
        <v>2.8067640000000001E-8</v>
      </c>
      <c r="U197" s="18">
        <v>7.2452892000000003E-10</v>
      </c>
      <c r="V197" s="3">
        <v>-1.654134E-3</v>
      </c>
      <c r="W197" s="3">
        <v>1.8564572000000001E-4</v>
      </c>
    </row>
    <row r="198" spans="1:23" x14ac:dyDescent="0.3">
      <c r="A198" s="17" t="s">
        <v>112</v>
      </c>
      <c r="C198" s="3">
        <v>40</v>
      </c>
      <c r="E198">
        <f t="shared" si="4"/>
        <v>48</v>
      </c>
      <c r="F198" s="3">
        <v>6.3916300000000001</v>
      </c>
      <c r="G198" s="16">
        <v>2703.25</v>
      </c>
      <c r="H198" s="18">
        <v>422936000</v>
      </c>
      <c r="I198" s="18">
        <v>8933.26</v>
      </c>
      <c r="J198" s="3">
        <v>6.8395593000000005E-2</v>
      </c>
      <c r="K198" s="3">
        <v>7.3865841999999995E-4</v>
      </c>
      <c r="L198" s="18">
        <v>6.4919812000000003E-6</v>
      </c>
      <c r="M198" s="18">
        <v>1.3486646000000001E-7</v>
      </c>
      <c r="N198" s="18">
        <v>2.0168610000000002E-8</v>
      </c>
      <c r="O198" s="18">
        <v>1.0058484999999999E-6</v>
      </c>
      <c r="P198" s="3">
        <v>6.9458104999999999E-3</v>
      </c>
      <c r="Q198" s="3">
        <v>1.5080869E-4</v>
      </c>
      <c r="R198" s="3">
        <v>2.2390838</v>
      </c>
      <c r="S198" s="3">
        <v>1.3994177999999999E-2</v>
      </c>
      <c r="T198" s="18">
        <v>2.9596272E-8</v>
      </c>
      <c r="U198" s="18">
        <v>7.6317491000000002E-10</v>
      </c>
      <c r="V198" s="3">
        <v>-9.5435769000000003E-4</v>
      </c>
      <c r="W198" s="3">
        <v>2.6457733999999999E-4</v>
      </c>
    </row>
    <row r="199" spans="1:23" x14ac:dyDescent="0.3">
      <c r="A199" s="17" t="s">
        <v>112</v>
      </c>
      <c r="C199" s="3">
        <v>44</v>
      </c>
      <c r="E199">
        <f t="shared" si="4"/>
        <v>52</v>
      </c>
      <c r="F199" s="3">
        <v>6.3916300000000001</v>
      </c>
      <c r="G199" s="16">
        <v>2738.57</v>
      </c>
      <c r="H199" s="18">
        <v>428463000</v>
      </c>
      <c r="I199" s="18">
        <v>13907.1</v>
      </c>
      <c r="J199" s="3">
        <v>7.2592988999999997E-2</v>
      </c>
      <c r="K199" s="3">
        <v>7.1184481999999997E-4</v>
      </c>
      <c r="L199" s="18">
        <v>6.3735894999999999E-6</v>
      </c>
      <c r="M199" s="18">
        <v>1.3033270999999999E-7</v>
      </c>
      <c r="N199" s="18">
        <v>1.600372E-6</v>
      </c>
      <c r="O199" s="18">
        <v>9.0530892E-7</v>
      </c>
      <c r="P199" s="3">
        <v>5.7978166999999997E-3</v>
      </c>
      <c r="Q199" s="3">
        <v>1.6390862000000001E-4</v>
      </c>
      <c r="R199" s="3">
        <v>2.7963355999999999</v>
      </c>
      <c r="S199" s="3">
        <v>1.7993968999999999E-2</v>
      </c>
      <c r="T199" s="18">
        <v>2.7899366999999998E-8</v>
      </c>
      <c r="U199" s="18">
        <v>9.3711142E-10</v>
      </c>
      <c r="V199" s="3">
        <v>-1.1684229E-3</v>
      </c>
      <c r="W199" s="3">
        <v>2.8120339000000001E-4</v>
      </c>
    </row>
    <row r="200" spans="1:23" x14ac:dyDescent="0.3">
      <c r="A200" s="17" t="s">
        <v>112</v>
      </c>
      <c r="C200" s="3">
        <v>48</v>
      </c>
      <c r="E200">
        <f t="shared" si="4"/>
        <v>56</v>
      </c>
      <c r="F200" s="3">
        <v>6.3916300000000001</v>
      </c>
      <c r="G200" s="16">
        <v>2714.81</v>
      </c>
      <c r="H200" s="18">
        <v>424744000</v>
      </c>
      <c r="I200" s="18">
        <v>15732.8</v>
      </c>
      <c r="J200" s="3">
        <v>7.4251498999999999E-2</v>
      </c>
      <c r="K200" s="3">
        <v>7.2132993999999998E-4</v>
      </c>
      <c r="L200" s="18">
        <v>6.2706348999999997E-6</v>
      </c>
      <c r="M200" s="18">
        <v>1.2711519000000001E-7</v>
      </c>
      <c r="N200" s="18">
        <v>2.3897032999999999E-6</v>
      </c>
      <c r="O200" s="18">
        <v>9.0379518999999995E-7</v>
      </c>
      <c r="P200" s="3">
        <v>5.4596072999999997E-3</v>
      </c>
      <c r="Q200" s="3">
        <v>1.7624559999999999E-4</v>
      </c>
      <c r="R200" s="3">
        <v>1.9940503999999999</v>
      </c>
      <c r="S200" s="3">
        <v>2.0442090999999999E-2</v>
      </c>
      <c r="T200" s="18">
        <v>2.5482665E-8</v>
      </c>
      <c r="U200" s="18">
        <v>9.4655196000000005E-10</v>
      </c>
      <c r="V200" s="3">
        <v>-1.3717859E-3</v>
      </c>
      <c r="W200" s="3">
        <v>2.8490717999999997E-4</v>
      </c>
    </row>
    <row r="201" spans="1:23" x14ac:dyDescent="0.3">
      <c r="A201" s="17" t="s">
        <v>112</v>
      </c>
      <c r="C201" s="3">
        <v>52</v>
      </c>
      <c r="E201">
        <f t="shared" si="4"/>
        <v>60</v>
      </c>
      <c r="F201" s="3">
        <v>6.3916300000000001</v>
      </c>
      <c r="G201" s="16">
        <v>2797.16</v>
      </c>
      <c r="H201" s="18">
        <v>437629000</v>
      </c>
      <c r="I201" s="18">
        <v>16900.400000000001</v>
      </c>
      <c r="J201" s="3">
        <v>6.0219723000000003E-2</v>
      </c>
      <c r="K201" s="3">
        <v>6.3842426999999996E-4</v>
      </c>
      <c r="L201" s="18">
        <v>6.2894061999999999E-6</v>
      </c>
      <c r="M201" s="18">
        <v>1.3685181000000001E-7</v>
      </c>
      <c r="N201" s="18">
        <v>1.6876708999999999E-8</v>
      </c>
      <c r="O201" s="18">
        <v>1.0089344E-6</v>
      </c>
      <c r="P201" s="3">
        <v>6.1785994E-3</v>
      </c>
      <c r="Q201" s="3">
        <v>1.8520223000000001E-4</v>
      </c>
      <c r="R201" s="3">
        <v>1.0485827000000001</v>
      </c>
      <c r="S201" s="3">
        <v>1.866371E-2</v>
      </c>
      <c r="T201" s="18">
        <v>2.1175134999999999E-8</v>
      </c>
      <c r="U201" s="18">
        <v>6.9713879999999996E-10</v>
      </c>
      <c r="V201" s="3">
        <v>-1.3937621E-3</v>
      </c>
      <c r="W201" s="3">
        <v>2.5003967E-4</v>
      </c>
    </row>
    <row r="202" spans="1:23" x14ac:dyDescent="0.3">
      <c r="A202" s="17" t="s">
        <v>112</v>
      </c>
      <c r="C202" s="3">
        <v>56</v>
      </c>
      <c r="E202">
        <f t="shared" si="4"/>
        <v>64</v>
      </c>
      <c r="F202" s="3">
        <v>6.3916300000000001</v>
      </c>
      <c r="G202" s="16">
        <v>2874.37</v>
      </c>
      <c r="H202" s="18">
        <v>449708000</v>
      </c>
      <c r="I202" s="18">
        <v>12314.4</v>
      </c>
      <c r="J202" s="3">
        <v>7.3042058000000007E-2</v>
      </c>
      <c r="K202" s="3">
        <v>7.0167853999999997E-4</v>
      </c>
      <c r="L202" s="18">
        <v>6.5825613000000001E-6</v>
      </c>
      <c r="M202" s="18">
        <v>1.2794662E-7</v>
      </c>
      <c r="N202" s="18">
        <v>4.4227897999999997E-6</v>
      </c>
      <c r="O202" s="18">
        <v>8.3665732999999998E-7</v>
      </c>
      <c r="P202" s="3">
        <v>5.3906075999999997E-3</v>
      </c>
      <c r="Q202" s="3">
        <v>1.5788158999999999E-4</v>
      </c>
      <c r="R202" s="3">
        <v>2.6166241000000001</v>
      </c>
      <c r="S202" s="3">
        <v>1.8809877999999999E-2</v>
      </c>
      <c r="T202" s="18">
        <v>2.8171841000000001E-8</v>
      </c>
      <c r="U202" s="18">
        <v>9.9285542000000009E-10</v>
      </c>
      <c r="V202" s="3">
        <v>-4.5999384999999998E-4</v>
      </c>
      <c r="W202" s="3">
        <v>2.6042908999999998E-4</v>
      </c>
    </row>
    <row r="203" spans="1:23" x14ac:dyDescent="0.3">
      <c r="A203" s="17" t="s">
        <v>112</v>
      </c>
      <c r="C203" s="3">
        <v>60</v>
      </c>
      <c r="E203">
        <f t="shared" si="4"/>
        <v>68</v>
      </c>
      <c r="F203" s="3">
        <v>6.3916300000000001</v>
      </c>
      <c r="G203" s="16">
        <v>2915.04</v>
      </c>
      <c r="H203" s="18">
        <v>456072000</v>
      </c>
      <c r="I203" s="18">
        <v>9303.68</v>
      </c>
      <c r="J203" s="3">
        <v>7.2990340000000001E-2</v>
      </c>
      <c r="K203" s="3">
        <v>7.4904154E-4</v>
      </c>
      <c r="L203" s="18">
        <v>6.8023151000000002E-6</v>
      </c>
      <c r="M203" s="18">
        <v>1.3091533999999999E-7</v>
      </c>
      <c r="N203" s="18">
        <v>2.4505399999999999E-6</v>
      </c>
      <c r="O203" s="18">
        <v>8.9410692999999998E-7</v>
      </c>
      <c r="P203" s="3">
        <v>8.7669566000000004E-3</v>
      </c>
      <c r="Q203" s="3">
        <v>1.7251939999999999E-4</v>
      </c>
      <c r="R203" s="3">
        <v>2.1434525</v>
      </c>
      <c r="S203" s="3">
        <v>1.261319E-2</v>
      </c>
      <c r="T203" s="18">
        <v>2.6026345999999999E-8</v>
      </c>
      <c r="U203" s="18">
        <v>6.0620417E-10</v>
      </c>
      <c r="V203" s="3">
        <v>-6.5423225000000001E-4</v>
      </c>
      <c r="W203" s="3">
        <v>2.5319223000000001E-4</v>
      </c>
    </row>
    <row r="204" spans="1:23" x14ac:dyDescent="0.3">
      <c r="A204" s="17" t="s">
        <v>112</v>
      </c>
      <c r="C204" s="3">
        <v>64</v>
      </c>
      <c r="E204">
        <f t="shared" si="4"/>
        <v>72</v>
      </c>
      <c r="F204" s="3">
        <v>6.3916300000000001</v>
      </c>
      <c r="G204" s="16">
        <v>2938.32</v>
      </c>
      <c r="H204" s="18">
        <v>459713000</v>
      </c>
      <c r="I204" s="18">
        <v>8638.77</v>
      </c>
      <c r="J204" s="3">
        <v>6.9656181999999997E-2</v>
      </c>
      <c r="K204" s="3">
        <v>6.0542824999999995E-4</v>
      </c>
      <c r="L204" s="18">
        <v>6.3412616000000002E-6</v>
      </c>
      <c r="M204" s="18">
        <v>1.1905528E-7</v>
      </c>
      <c r="N204" s="18">
        <v>4.0514665000000001E-6</v>
      </c>
      <c r="O204" s="18">
        <v>7.8315136000000003E-7</v>
      </c>
      <c r="P204" s="3">
        <v>4.5425973999999999E-3</v>
      </c>
      <c r="Q204" s="3">
        <v>1.1812071E-4</v>
      </c>
      <c r="R204" s="3">
        <v>1.9067399</v>
      </c>
      <c r="S204" s="3">
        <v>1.6835297999999999E-2</v>
      </c>
      <c r="T204" s="18">
        <v>3.5119397999999999E-8</v>
      </c>
      <c r="U204" s="18">
        <v>1.1365871E-9</v>
      </c>
      <c r="V204" s="3">
        <v>-1.0523847E-3</v>
      </c>
      <c r="W204" s="3">
        <v>2.4693086E-4</v>
      </c>
    </row>
    <row r="205" spans="1:23" x14ac:dyDescent="0.3">
      <c r="A205" s="17" t="s">
        <v>112</v>
      </c>
      <c r="C205" s="3">
        <v>68</v>
      </c>
      <c r="E205">
        <f t="shared" si="4"/>
        <v>76</v>
      </c>
      <c r="F205" s="3">
        <v>6.3916300000000001</v>
      </c>
      <c r="G205" s="16">
        <v>2897.89</v>
      </c>
      <c r="H205" s="18">
        <v>453389000</v>
      </c>
      <c r="I205" s="18">
        <v>10033.4</v>
      </c>
      <c r="J205" s="3">
        <v>7.2577220999999997E-2</v>
      </c>
      <c r="K205" s="3">
        <v>7.4543473000000002E-4</v>
      </c>
      <c r="L205" s="18">
        <v>6.7095401000000001E-6</v>
      </c>
      <c r="M205" s="18">
        <v>1.3461280999999999E-7</v>
      </c>
      <c r="N205" s="18">
        <v>5.8720069999999998E-6</v>
      </c>
      <c r="O205" s="18">
        <v>8.6843290000000004E-7</v>
      </c>
      <c r="P205" s="3">
        <v>4.9124709000000003E-3</v>
      </c>
      <c r="Q205" s="3">
        <v>1.4616238999999999E-4</v>
      </c>
      <c r="R205" s="3">
        <v>2.2925081999999999</v>
      </c>
      <c r="S205" s="3">
        <v>1.9238376000000001E-2</v>
      </c>
      <c r="T205" s="18">
        <v>3.2292217999999999E-8</v>
      </c>
      <c r="U205" s="18">
        <v>1.1805968000000001E-9</v>
      </c>
      <c r="V205" s="3">
        <v>-6.1693041999999997E-4</v>
      </c>
      <c r="W205" s="3">
        <v>2.6102956000000001E-4</v>
      </c>
    </row>
    <row r="206" spans="1:23" x14ac:dyDescent="0.3">
      <c r="A206" s="17" t="s">
        <v>112</v>
      </c>
      <c r="C206" s="3">
        <v>72</v>
      </c>
      <c r="E206">
        <f t="shared" si="4"/>
        <v>80</v>
      </c>
      <c r="F206" s="3">
        <v>6.3916300000000001</v>
      </c>
      <c r="G206" s="16">
        <v>2775.79</v>
      </c>
      <c r="H206" s="18">
        <v>434285000</v>
      </c>
      <c r="I206" s="18">
        <v>240875</v>
      </c>
      <c r="J206" s="3">
        <v>6.8019120000000002E-2</v>
      </c>
      <c r="K206" s="3">
        <v>8.0247399E-4</v>
      </c>
      <c r="L206" s="18">
        <v>6.9112870999999996E-6</v>
      </c>
      <c r="M206" s="18">
        <v>1.3571992E-7</v>
      </c>
      <c r="N206" s="18">
        <v>3.9994060999999997E-8</v>
      </c>
      <c r="O206" s="18">
        <v>1.0556598999999999E-6</v>
      </c>
      <c r="P206" s="3">
        <v>3.0625266000000001E-3</v>
      </c>
      <c r="Q206" s="3">
        <v>1.7063749999999999E-4</v>
      </c>
      <c r="R206" s="3">
        <v>0.7957398</v>
      </c>
      <c r="S206" s="3">
        <v>5.6416860999999999E-2</v>
      </c>
      <c r="T206" s="18">
        <v>1.5953402E-8</v>
      </c>
      <c r="U206" s="3" t="s">
        <v>31</v>
      </c>
      <c r="V206" s="3">
        <v>-5.4907695000000001E-4</v>
      </c>
      <c r="W206" s="3">
        <v>2.3445003E-4</v>
      </c>
    </row>
    <row r="207" spans="1:23" x14ac:dyDescent="0.3">
      <c r="A207" s="17" t="s">
        <v>112</v>
      </c>
      <c r="C207" s="3">
        <v>76</v>
      </c>
      <c r="E207">
        <f t="shared" si="4"/>
        <v>84</v>
      </c>
      <c r="F207" s="3">
        <v>6.3916300000000001</v>
      </c>
      <c r="G207" s="16">
        <v>3325.78</v>
      </c>
      <c r="H207" s="18">
        <v>520334000</v>
      </c>
      <c r="I207" s="18">
        <v>80299.600000000006</v>
      </c>
      <c r="J207" s="3">
        <v>6.7749088999999998E-2</v>
      </c>
      <c r="K207" s="3">
        <v>7.1572159000000003E-4</v>
      </c>
      <c r="L207" s="18">
        <v>6.6163798000000003E-6</v>
      </c>
      <c r="M207" s="18">
        <v>1.3814563999999999E-7</v>
      </c>
      <c r="N207" s="18">
        <v>1.5705423999999999E-6</v>
      </c>
      <c r="O207" s="18">
        <v>9.4603617000000005E-7</v>
      </c>
      <c r="P207" s="3">
        <v>1.6732025999999999E-3</v>
      </c>
      <c r="Q207" s="3">
        <v>1.5561077E-4</v>
      </c>
      <c r="R207" s="3">
        <v>3.1981979000000001E-2</v>
      </c>
      <c r="S207" s="3">
        <v>6.1221211999999997E-2</v>
      </c>
      <c r="T207" s="18">
        <v>2.8703015E-8</v>
      </c>
      <c r="U207" s="18">
        <v>3.2516064999999998E-9</v>
      </c>
      <c r="V207" s="3">
        <v>-1.0958408999999999E-3</v>
      </c>
      <c r="W207" s="3">
        <v>2.6170885E-4</v>
      </c>
    </row>
    <row r="208" spans="1:23" x14ac:dyDescent="0.3">
      <c r="A208" s="17" t="s">
        <v>112</v>
      </c>
      <c r="C208" s="3">
        <v>80</v>
      </c>
      <c r="E208">
        <f t="shared" si="4"/>
        <v>88</v>
      </c>
      <c r="F208" s="3">
        <v>6.3916300000000001</v>
      </c>
      <c r="G208" s="16">
        <v>3332.4</v>
      </c>
      <c r="H208" s="18">
        <v>521369000</v>
      </c>
      <c r="I208" s="18">
        <v>99709.2</v>
      </c>
      <c r="J208" s="3">
        <v>6.8541585000000002E-2</v>
      </c>
      <c r="K208" s="3">
        <v>1.1326887999999999E-4</v>
      </c>
      <c r="L208" s="18">
        <v>6.4076783000000001E-6</v>
      </c>
      <c r="M208" s="18">
        <v>6.9051447999999998E-8</v>
      </c>
      <c r="N208" s="18">
        <v>4.5834911999999998E-9</v>
      </c>
      <c r="O208" s="3" t="s">
        <v>31</v>
      </c>
      <c r="P208" s="3">
        <v>2.6813240000000001E-3</v>
      </c>
      <c r="Q208" s="3">
        <v>2.032537E-4</v>
      </c>
      <c r="R208" s="3">
        <v>-2.1604669999999999E-2</v>
      </c>
      <c r="S208" s="3">
        <v>4.9647249999999997E-2</v>
      </c>
      <c r="T208" s="18">
        <v>2.2595309000000001E-8</v>
      </c>
      <c r="U208" s="18">
        <v>1.9926834E-9</v>
      </c>
      <c r="V208" s="3">
        <v>-1.2409977E-3</v>
      </c>
      <c r="W208" s="3">
        <v>1.7940217E-4</v>
      </c>
    </row>
    <row r="209" spans="1:23" x14ac:dyDescent="0.3">
      <c r="A209" s="17" t="s">
        <v>112</v>
      </c>
      <c r="C209" s="3">
        <v>84</v>
      </c>
      <c r="E209">
        <f t="shared" si="4"/>
        <v>92</v>
      </c>
      <c r="F209" s="3">
        <v>6.3916300000000001</v>
      </c>
      <c r="G209" s="16">
        <v>3212.53</v>
      </c>
      <c r="H209" s="18">
        <v>502615000</v>
      </c>
      <c r="I209" s="18">
        <v>416739</v>
      </c>
      <c r="J209" s="3">
        <v>6.7348063E-2</v>
      </c>
      <c r="K209" s="3">
        <v>7.2033543000000002E-4</v>
      </c>
      <c r="L209" s="18">
        <v>6.7519385E-6</v>
      </c>
      <c r="M209" s="18">
        <v>1.3519497000000001E-7</v>
      </c>
      <c r="N209" s="18">
        <v>2.9788920000000002E-6</v>
      </c>
      <c r="O209" s="18">
        <v>9.3220195999999996E-7</v>
      </c>
      <c r="P209" s="3">
        <v>2.1019738999999999E-3</v>
      </c>
      <c r="Q209" s="3">
        <v>2.1847024E-4</v>
      </c>
      <c r="R209" s="3">
        <v>1.3110725999999999</v>
      </c>
      <c r="S209" s="3">
        <v>0.10246231</v>
      </c>
      <c r="T209" s="18">
        <v>1.2402175E-8</v>
      </c>
      <c r="U209" s="3" t="s">
        <v>31</v>
      </c>
      <c r="V209" s="3">
        <v>-6.1218399000000003E-4</v>
      </c>
      <c r="W209" s="3">
        <v>2.4242470999999999E-4</v>
      </c>
    </row>
    <row r="210" spans="1:23" x14ac:dyDescent="0.3">
      <c r="A210" s="17" t="s">
        <v>112</v>
      </c>
      <c r="C210" s="3">
        <v>88</v>
      </c>
      <c r="E210">
        <f t="shared" si="4"/>
        <v>96</v>
      </c>
      <c r="F210" s="3">
        <v>6.3916300000000001</v>
      </c>
      <c r="G210" s="16">
        <v>3401.34</v>
      </c>
      <c r="H210" s="18">
        <v>532156000</v>
      </c>
      <c r="I210" s="18">
        <v>67993.600000000006</v>
      </c>
      <c r="J210" s="3">
        <v>6.7589756000000001E-2</v>
      </c>
      <c r="K210" s="3">
        <v>1.0058897999999999E-4</v>
      </c>
      <c r="L210" s="18">
        <v>6.9877553000000003E-6</v>
      </c>
      <c r="M210" s="18">
        <v>6.7869870999999994E-8</v>
      </c>
      <c r="N210" s="18">
        <v>2.8083457E-9</v>
      </c>
      <c r="O210" s="3" t="s">
        <v>31</v>
      </c>
      <c r="P210" s="3">
        <v>3.4883788000000002E-3</v>
      </c>
      <c r="Q210" s="3">
        <v>2.0138174000000001E-4</v>
      </c>
      <c r="R210" s="3">
        <v>-0.83364262</v>
      </c>
      <c r="S210" s="3">
        <v>3.7662243999999998E-2</v>
      </c>
      <c r="T210" s="18">
        <v>2.2000954000000001E-8</v>
      </c>
      <c r="U210" s="18">
        <v>1.4626945E-9</v>
      </c>
      <c r="V210" s="3">
        <v>-6.2596894999999997E-4</v>
      </c>
      <c r="W210" s="3">
        <v>1.5105083999999999E-4</v>
      </c>
    </row>
    <row r="211" spans="1:23" x14ac:dyDescent="0.3">
      <c r="A211" s="17" t="s">
        <v>112</v>
      </c>
      <c r="C211" s="3">
        <v>92</v>
      </c>
      <c r="E211">
        <f t="shared" si="4"/>
        <v>100</v>
      </c>
      <c r="F211" s="3">
        <v>6.3916300000000001</v>
      </c>
      <c r="G211" s="16">
        <v>3463.72</v>
      </c>
      <c r="H211" s="18">
        <v>541915000</v>
      </c>
      <c r="I211" s="18">
        <v>41034.300000000003</v>
      </c>
      <c r="J211" s="3">
        <v>6.9706979000000002E-2</v>
      </c>
      <c r="K211" s="3">
        <v>1.3507600000000001E-4</v>
      </c>
      <c r="L211" s="18">
        <v>6.4985543999999997E-6</v>
      </c>
      <c r="M211" s="18">
        <v>8.532567E-8</v>
      </c>
      <c r="N211" s="18">
        <v>1.3309027000000001E-9</v>
      </c>
      <c r="O211" s="3" t="s">
        <v>31</v>
      </c>
      <c r="P211" s="18">
        <v>7.6916680000000004E-8</v>
      </c>
      <c r="Q211" s="3">
        <v>1.4527623999999999E-3</v>
      </c>
      <c r="R211" s="3">
        <v>5.9164737000000001</v>
      </c>
      <c r="S211" s="3">
        <v>19997.256000000001</v>
      </c>
      <c r="T211" s="18">
        <v>5.1601023999999999E-9</v>
      </c>
      <c r="U211" s="3" t="s">
        <v>31</v>
      </c>
      <c r="V211" s="3">
        <v>-1.5612887999999999E-3</v>
      </c>
      <c r="W211" s="3">
        <v>2.1788212999999999E-4</v>
      </c>
    </row>
    <row r="212" spans="1:23" x14ac:dyDescent="0.3">
      <c r="A212" s="17" t="s">
        <v>112</v>
      </c>
      <c r="C212" s="3">
        <v>96</v>
      </c>
      <c r="E212">
        <f t="shared" si="4"/>
        <v>104</v>
      </c>
      <c r="F212" s="3">
        <v>6.3916300000000001</v>
      </c>
      <c r="G212" s="16">
        <v>3482.44</v>
      </c>
      <c r="H212" s="18">
        <v>544843000</v>
      </c>
      <c r="I212" s="18">
        <v>136380</v>
      </c>
      <c r="J212" s="3">
        <v>6.3515483999999997E-2</v>
      </c>
      <c r="K212" s="18">
        <v>9.3031338000000002E-5</v>
      </c>
      <c r="L212" s="18">
        <v>6.8006415999999999E-6</v>
      </c>
      <c r="M212" s="18">
        <v>6.5371068999999996E-8</v>
      </c>
      <c r="N212" s="18">
        <v>2.8649802000000001E-10</v>
      </c>
      <c r="O212" s="3" t="s">
        <v>31</v>
      </c>
      <c r="P212" s="3">
        <v>2.4588623000000001E-3</v>
      </c>
      <c r="Q212" s="3">
        <v>1.9357831999999999E-4</v>
      </c>
      <c r="R212" s="3">
        <v>-1.5019933999999999</v>
      </c>
      <c r="S212" s="3">
        <v>5.1305489000000003E-2</v>
      </c>
      <c r="T212" s="18">
        <v>2.0677351E-8</v>
      </c>
      <c r="U212" s="18">
        <v>1.8490415999999999E-9</v>
      </c>
      <c r="V212" s="3">
        <v>-4.2628795999999998E-4</v>
      </c>
      <c r="W212" s="3">
        <v>1.4281455999999999E-4</v>
      </c>
    </row>
    <row r="213" spans="1:23" x14ac:dyDescent="0.3">
      <c r="A213" s="17" t="s">
        <v>112</v>
      </c>
      <c r="C213" s="3">
        <v>100</v>
      </c>
      <c r="E213">
        <f t="shared" si="4"/>
        <v>108</v>
      </c>
      <c r="F213" s="3">
        <v>6.3916300000000001</v>
      </c>
      <c r="G213" s="16">
        <v>3561.59</v>
      </c>
      <c r="H213" s="18">
        <v>557227000</v>
      </c>
      <c r="I213" s="18">
        <v>36454.5</v>
      </c>
      <c r="J213" s="3">
        <v>7.2436123000000005E-2</v>
      </c>
      <c r="K213" s="3">
        <v>7.6884342999999997E-4</v>
      </c>
      <c r="L213" s="18">
        <v>6.6627350999999996E-6</v>
      </c>
      <c r="M213" s="18">
        <v>1.3731932999999999E-7</v>
      </c>
      <c r="N213" s="18">
        <v>1.9266821E-6</v>
      </c>
      <c r="O213" s="18">
        <v>9.4308447000000001E-7</v>
      </c>
      <c r="P213" s="3">
        <v>2.7901547999999998E-3</v>
      </c>
      <c r="Q213" s="3">
        <v>1.5982687999999999E-4</v>
      </c>
      <c r="R213" s="3">
        <v>-2.0504137999999998</v>
      </c>
      <c r="S213" s="3">
        <v>3.7673235999999999E-2</v>
      </c>
      <c r="T213" s="18">
        <v>2.9837231999999999E-8</v>
      </c>
      <c r="U213" s="18">
        <v>2.0887714E-9</v>
      </c>
      <c r="V213" s="3">
        <v>-9.4658731999999995E-4</v>
      </c>
      <c r="W213" s="3">
        <v>2.7384472000000003E-4</v>
      </c>
    </row>
    <row r="214" spans="1:23" x14ac:dyDescent="0.3">
      <c r="A214" s="17" t="s">
        <v>112</v>
      </c>
      <c r="C214" s="3">
        <v>104</v>
      </c>
      <c r="E214">
        <f t="shared" si="4"/>
        <v>112</v>
      </c>
      <c r="F214" s="3">
        <v>6.3916300000000001</v>
      </c>
      <c r="G214" s="16">
        <v>3541.41</v>
      </c>
      <c r="H214" s="18">
        <v>554070000</v>
      </c>
      <c r="I214" s="18">
        <v>324218</v>
      </c>
      <c r="J214" s="3">
        <v>6.9695113000000003E-2</v>
      </c>
      <c r="K214" s="3">
        <v>1.1864413999999999E-4</v>
      </c>
      <c r="L214" s="18">
        <v>6.6449380000000003E-6</v>
      </c>
      <c r="M214" s="18">
        <v>7.432708E-8</v>
      </c>
      <c r="N214" s="18">
        <v>1.2574815000000001E-8</v>
      </c>
      <c r="O214" s="3" t="s">
        <v>31</v>
      </c>
      <c r="P214" s="3">
        <v>3.3136174000000002E-3</v>
      </c>
      <c r="Q214" s="3">
        <v>2.5095597E-4</v>
      </c>
      <c r="R214" s="3">
        <v>-1.4708863999999999</v>
      </c>
      <c r="S214" s="3">
        <v>4.8677998E-2</v>
      </c>
      <c r="T214" s="18">
        <v>1.9997289E-8</v>
      </c>
      <c r="U214" s="18">
        <v>1.698398E-9</v>
      </c>
      <c r="V214" s="3">
        <v>-9.8811997999999996E-4</v>
      </c>
      <c r="W214" s="3">
        <v>1.8511387000000001E-4</v>
      </c>
    </row>
    <row r="215" spans="1:23" x14ac:dyDescent="0.3">
      <c r="A215" s="17" t="s">
        <v>112</v>
      </c>
      <c r="C215" s="3">
        <v>108</v>
      </c>
      <c r="E215">
        <f t="shared" si="4"/>
        <v>116</v>
      </c>
      <c r="F215" s="3">
        <v>6.3916300000000001</v>
      </c>
      <c r="G215" s="16">
        <v>2933.84</v>
      </c>
      <c r="H215" s="18">
        <v>459013000</v>
      </c>
      <c r="I215" s="18">
        <v>24619.8</v>
      </c>
      <c r="J215" s="3">
        <v>6.6234469000000004E-2</v>
      </c>
      <c r="K215" s="3">
        <v>5.7740709999999998E-4</v>
      </c>
      <c r="L215" s="18">
        <v>6.44535E-6</v>
      </c>
      <c r="M215" s="18">
        <v>1.1644507999999999E-7</v>
      </c>
      <c r="N215" s="18">
        <v>4.1263066999999999E-6</v>
      </c>
      <c r="O215" s="18">
        <v>7.7505968999999999E-7</v>
      </c>
      <c r="P215" s="3">
        <v>2.3677546999999999E-3</v>
      </c>
      <c r="Q215" s="3">
        <v>1.0936844E-4</v>
      </c>
      <c r="R215" s="3">
        <v>1.4248902000000001</v>
      </c>
      <c r="S215" s="3">
        <v>2.9747333000000001E-2</v>
      </c>
      <c r="T215" s="18">
        <v>3.5517241E-8</v>
      </c>
      <c r="U215" s="18">
        <v>2.0370945999999999E-9</v>
      </c>
      <c r="V215" s="3">
        <v>-8.3033597E-4</v>
      </c>
      <c r="W215" s="3">
        <v>2.2238244E-4</v>
      </c>
    </row>
    <row r="216" spans="1:23" x14ac:dyDescent="0.3">
      <c r="A216" s="17" t="s">
        <v>112</v>
      </c>
      <c r="C216" s="3">
        <v>112</v>
      </c>
      <c r="E216">
        <f t="shared" si="4"/>
        <v>120</v>
      </c>
      <c r="F216" s="3">
        <v>6.3916300000000001</v>
      </c>
      <c r="G216" s="16">
        <v>2991.48</v>
      </c>
      <c r="H216" s="18">
        <v>468031000</v>
      </c>
      <c r="I216" s="18">
        <v>17288.599999999999</v>
      </c>
      <c r="J216" s="3">
        <v>6.3474693999999998E-2</v>
      </c>
      <c r="K216" s="3">
        <v>6.6879839000000003E-4</v>
      </c>
      <c r="L216" s="18">
        <v>6.7444514000000003E-6</v>
      </c>
      <c r="M216" s="18">
        <v>1.3358626000000001E-7</v>
      </c>
      <c r="N216" s="18">
        <v>3.6697388999999999E-7</v>
      </c>
      <c r="O216" s="18">
        <v>9.4426781000000002E-7</v>
      </c>
      <c r="P216" s="3">
        <v>3.4518210999999999E-3</v>
      </c>
      <c r="Q216" s="3">
        <v>1.2963914000000001E-4</v>
      </c>
      <c r="R216" s="3">
        <v>1.4056147000000001</v>
      </c>
      <c r="S216" s="3">
        <v>2.4224004E-2</v>
      </c>
      <c r="T216" s="18">
        <v>3.2688577000000003E-8</v>
      </c>
      <c r="U216" s="18">
        <v>1.5099367E-9</v>
      </c>
      <c r="V216" s="3">
        <v>-6.0437869999999995E-4</v>
      </c>
      <c r="W216" s="3">
        <v>2.2983808000000001E-4</v>
      </c>
    </row>
    <row r="217" spans="1:23" x14ac:dyDescent="0.3">
      <c r="A217" s="17" t="s">
        <v>112</v>
      </c>
      <c r="C217" s="3">
        <v>116</v>
      </c>
      <c r="E217">
        <f t="shared" si="4"/>
        <v>124</v>
      </c>
      <c r="F217" s="3">
        <v>6.3916300000000001</v>
      </c>
      <c r="G217" s="16">
        <v>3024.97</v>
      </c>
      <c r="H217" s="18">
        <v>473271000</v>
      </c>
      <c r="I217" s="18">
        <v>8087.9</v>
      </c>
      <c r="J217" s="3">
        <v>6.2929559999999996E-2</v>
      </c>
      <c r="K217" s="3">
        <v>6.5236253999999998E-4</v>
      </c>
      <c r="L217" s="18">
        <v>6.9045613999999997E-6</v>
      </c>
      <c r="M217" s="18">
        <v>1.3160495E-7</v>
      </c>
      <c r="N217" s="18">
        <v>1.8801944E-6</v>
      </c>
      <c r="O217" s="18">
        <v>8.9732602000000002E-7</v>
      </c>
      <c r="P217" s="3">
        <v>5.1697132999999999E-3</v>
      </c>
      <c r="Q217" s="3">
        <v>1.2843739999999999E-4</v>
      </c>
      <c r="R217" s="3">
        <v>1.8375786000000001</v>
      </c>
      <c r="S217" s="3">
        <v>1.6104009999999998E-2</v>
      </c>
      <c r="T217" s="18">
        <v>3.1597275E-8</v>
      </c>
      <c r="U217" s="18">
        <v>9.6682030999999991E-10</v>
      </c>
      <c r="V217" s="3">
        <v>-1.6838547999999999E-4</v>
      </c>
      <c r="W217" s="3">
        <v>2.1473991E-4</v>
      </c>
    </row>
    <row r="218" spans="1:23" x14ac:dyDescent="0.3">
      <c r="A218" s="17" t="s">
        <v>112</v>
      </c>
      <c r="C218" s="3">
        <v>120</v>
      </c>
      <c r="E218">
        <f t="shared" si="4"/>
        <v>128</v>
      </c>
      <c r="F218" s="3">
        <v>6.3916300000000001</v>
      </c>
      <c r="G218" s="16">
        <v>3031.79</v>
      </c>
      <c r="H218" s="18">
        <v>474337000</v>
      </c>
      <c r="I218" s="18">
        <v>6042.34</v>
      </c>
      <c r="J218" s="3">
        <v>6.3691661999999996E-2</v>
      </c>
      <c r="K218" s="3">
        <v>7.1579936000000001E-4</v>
      </c>
      <c r="L218" s="18">
        <v>7.0151266999999998E-6</v>
      </c>
      <c r="M218" s="18">
        <v>1.3909502000000001E-7</v>
      </c>
      <c r="N218" s="18">
        <v>5.1294668999999995E-7</v>
      </c>
      <c r="O218" s="18">
        <v>9.7922102999999993E-7</v>
      </c>
      <c r="P218" s="3">
        <v>8.0518536000000005E-3</v>
      </c>
      <c r="Q218" s="3">
        <v>1.4034784999999999E-4</v>
      </c>
      <c r="R218" s="3">
        <v>1.4256058</v>
      </c>
      <c r="S218" s="3">
        <v>1.1251176E-2</v>
      </c>
      <c r="T218" s="18">
        <v>3.0883044E-8</v>
      </c>
      <c r="U218" s="18">
        <v>6.5824890000000004E-10</v>
      </c>
      <c r="V218" s="3">
        <v>-1.6734593E-4</v>
      </c>
      <c r="W218" s="3">
        <v>2.2433758E-4</v>
      </c>
    </row>
    <row r="219" spans="1:23" x14ac:dyDescent="0.3">
      <c r="A219" s="17" t="s">
        <v>112</v>
      </c>
      <c r="C219" s="3">
        <v>124</v>
      </c>
      <c r="E219">
        <f t="shared" si="4"/>
        <v>132</v>
      </c>
      <c r="F219" s="3">
        <v>6.3916300000000001</v>
      </c>
      <c r="G219" s="16">
        <v>3009.79</v>
      </c>
      <c r="H219" s="18">
        <v>470895000</v>
      </c>
      <c r="I219" s="18">
        <v>7093.27</v>
      </c>
      <c r="J219" s="3">
        <v>6.1852654E-2</v>
      </c>
      <c r="K219" s="3">
        <v>6.3747385999999998E-4</v>
      </c>
      <c r="L219" s="18">
        <v>6.5504525000000003E-6</v>
      </c>
      <c r="M219" s="18">
        <v>1.3426115E-7</v>
      </c>
      <c r="N219" s="18">
        <v>2.5428133E-8</v>
      </c>
      <c r="O219" s="18">
        <v>9.4652448000000003E-7</v>
      </c>
      <c r="P219" s="3">
        <v>6.2807410000000003E-3</v>
      </c>
      <c r="Q219" s="3">
        <v>1.3128502999999999E-4</v>
      </c>
      <c r="R219" s="3">
        <v>1.3685712000000001</v>
      </c>
      <c r="S219" s="3">
        <v>1.3492509E-2</v>
      </c>
      <c r="T219" s="18">
        <v>3.1324417E-8</v>
      </c>
      <c r="U219" s="18">
        <v>8.0047764000000004E-10</v>
      </c>
      <c r="V219" s="3">
        <v>-6.3330977000000004E-4</v>
      </c>
      <c r="W219" s="3">
        <v>2.3764899E-4</v>
      </c>
    </row>
    <row r="220" spans="1:23" x14ac:dyDescent="0.3">
      <c r="A220" s="17" t="s">
        <v>112</v>
      </c>
      <c r="C220" s="3">
        <v>128</v>
      </c>
      <c r="E220">
        <f t="shared" si="4"/>
        <v>136</v>
      </c>
      <c r="F220" s="3">
        <v>6.3916300000000001</v>
      </c>
      <c r="G220" s="16">
        <v>2984.62</v>
      </c>
      <c r="H220" s="18">
        <v>466958000</v>
      </c>
      <c r="I220" s="18">
        <v>3895.45</v>
      </c>
      <c r="J220" s="3">
        <v>6.2840858999999999E-2</v>
      </c>
      <c r="K220" s="3">
        <v>6.9889013999999995E-4</v>
      </c>
      <c r="L220" s="18">
        <v>6.7563129999999997E-6</v>
      </c>
      <c r="M220" s="18">
        <v>1.4115549E-7</v>
      </c>
      <c r="N220" s="18">
        <v>2.2383880999999999E-8</v>
      </c>
      <c r="O220" s="18">
        <v>1.0000728E-6</v>
      </c>
      <c r="P220" s="3">
        <v>9.0342876999999992E-3</v>
      </c>
      <c r="Q220" s="3">
        <v>1.2937851E-4</v>
      </c>
      <c r="R220" s="3">
        <v>1.3283478</v>
      </c>
      <c r="S220" s="3">
        <v>9.2357390999999994E-3</v>
      </c>
      <c r="T220" s="18">
        <v>3.4632932000000001E-8</v>
      </c>
      <c r="U220" s="18">
        <v>6.1520163000000003E-10</v>
      </c>
      <c r="V220" s="3">
        <v>-3.3635958000000001E-4</v>
      </c>
      <c r="W220" s="3">
        <v>2.4052376999999999E-4</v>
      </c>
    </row>
    <row r="221" spans="1:23" x14ac:dyDescent="0.3">
      <c r="A221" s="17" t="s">
        <v>112</v>
      </c>
      <c r="C221" s="3">
        <v>132</v>
      </c>
      <c r="E221">
        <f t="shared" si="4"/>
        <v>140</v>
      </c>
      <c r="F221" s="3">
        <v>6.3916300000000001</v>
      </c>
      <c r="G221" s="16">
        <v>2919.69</v>
      </c>
      <c r="H221" s="18">
        <v>456799000</v>
      </c>
      <c r="I221" s="18">
        <v>17939.8</v>
      </c>
      <c r="J221" s="3">
        <v>6.5518858999999999E-2</v>
      </c>
      <c r="K221" s="3">
        <v>8.6173412000000002E-4</v>
      </c>
      <c r="L221" s="18">
        <v>6.8154161000000004E-6</v>
      </c>
      <c r="M221" s="18">
        <v>1.3908362E-7</v>
      </c>
      <c r="N221" s="18">
        <v>1.5458635E-6</v>
      </c>
      <c r="O221" s="18">
        <v>1.1845587E-6</v>
      </c>
      <c r="P221" s="3">
        <v>3.6042352E-3</v>
      </c>
      <c r="Q221" s="3">
        <v>1.5012728999999999E-4</v>
      </c>
      <c r="R221" s="3">
        <v>0.36212926000000001</v>
      </c>
      <c r="S221" s="3">
        <v>2.541595E-2</v>
      </c>
      <c r="T221" s="18">
        <v>3.0204629999999999E-8</v>
      </c>
      <c r="U221" s="18">
        <v>1.402575E-9</v>
      </c>
      <c r="V221" s="3">
        <v>-6.0706075999999998E-4</v>
      </c>
      <c r="W221" s="3">
        <v>2.2807168000000001E-4</v>
      </c>
    </row>
    <row r="222" spans="1:23" x14ac:dyDescent="0.3">
      <c r="A222" s="17" t="s">
        <v>112</v>
      </c>
      <c r="C222" s="3">
        <v>136</v>
      </c>
      <c r="E222">
        <f t="shared" si="4"/>
        <v>144</v>
      </c>
      <c r="F222" s="3">
        <v>6.3916300000000001</v>
      </c>
      <c r="G222" s="16">
        <v>2903.62</v>
      </c>
      <c r="H222" s="18">
        <v>454285000</v>
      </c>
      <c r="I222" s="18">
        <v>19229.400000000001</v>
      </c>
      <c r="J222" s="3">
        <v>6.1734914000000002E-2</v>
      </c>
      <c r="K222" s="3">
        <v>5.9814920000000004E-4</v>
      </c>
      <c r="L222" s="18">
        <v>6.8398840999999999E-6</v>
      </c>
      <c r="M222" s="18">
        <v>1.2790986000000001E-7</v>
      </c>
      <c r="N222" s="18">
        <v>1.1440692E-5</v>
      </c>
      <c r="O222" s="18">
        <v>7.5434273999999995E-7</v>
      </c>
      <c r="P222" s="3">
        <v>3.9082494000000001E-3</v>
      </c>
      <c r="Q222" s="3">
        <v>1.5291216000000001E-4</v>
      </c>
      <c r="R222" s="3">
        <v>2.2112121999999999</v>
      </c>
      <c r="S222" s="3">
        <v>2.4927181999999999E-2</v>
      </c>
      <c r="T222" s="18">
        <v>2.2961493000000001E-8</v>
      </c>
      <c r="U222" s="18">
        <v>1.0367143E-9</v>
      </c>
      <c r="V222" s="3">
        <v>-7.2304552000000005E-4</v>
      </c>
      <c r="W222" s="3">
        <v>1.9828765000000001E-4</v>
      </c>
    </row>
    <row r="223" spans="1:23" x14ac:dyDescent="0.3">
      <c r="A223" s="17" t="s">
        <v>112</v>
      </c>
      <c r="C223" s="3">
        <v>140</v>
      </c>
      <c r="E223">
        <f t="shared" si="4"/>
        <v>148</v>
      </c>
      <c r="F223" s="3">
        <v>6.3916300000000001</v>
      </c>
      <c r="G223" s="16">
        <v>2815.94</v>
      </c>
      <c r="H223" s="18">
        <v>440567000</v>
      </c>
      <c r="I223" s="18">
        <v>11843.4</v>
      </c>
      <c r="J223" s="3">
        <v>5.5974968999999999E-2</v>
      </c>
      <c r="K223" s="18">
        <v>8.2927953000000001E-5</v>
      </c>
      <c r="L223" s="18">
        <v>7.2625760999999998E-6</v>
      </c>
      <c r="M223" s="18">
        <v>6.9048335999999999E-8</v>
      </c>
      <c r="N223" s="18">
        <v>2.7715980999999999E-14</v>
      </c>
      <c r="O223" s="3" t="s">
        <v>31</v>
      </c>
      <c r="P223" s="3">
        <v>4.3940986000000001E-3</v>
      </c>
      <c r="Q223" s="3">
        <v>1.2312805000000001E-4</v>
      </c>
      <c r="R223" s="3">
        <v>2.4046615</v>
      </c>
      <c r="S223" s="3">
        <v>1.8032164E-2</v>
      </c>
      <c r="T223" s="18">
        <v>3.2762635999999997E-8</v>
      </c>
      <c r="U223" s="18">
        <v>1.1268647E-9</v>
      </c>
      <c r="V223" s="3">
        <v>6.8146555999999995E-4</v>
      </c>
      <c r="W223" s="3">
        <v>1.1944699E-4</v>
      </c>
    </row>
    <row r="224" spans="1:23" x14ac:dyDescent="0.3">
      <c r="A224" s="17" t="s">
        <v>112</v>
      </c>
      <c r="C224" s="3">
        <v>144</v>
      </c>
      <c r="E224">
        <f t="shared" si="4"/>
        <v>152</v>
      </c>
      <c r="F224" s="3">
        <v>6.3916300000000001</v>
      </c>
      <c r="G224" s="16">
        <v>2784.22</v>
      </c>
      <c r="H224" s="18">
        <v>435604000</v>
      </c>
      <c r="I224" s="18">
        <v>16153.3</v>
      </c>
      <c r="J224" s="3">
        <v>6.9232752999999994E-2</v>
      </c>
      <c r="K224" s="3">
        <v>7.0724717000000001E-4</v>
      </c>
      <c r="L224" s="18">
        <v>6.7463601999999999E-6</v>
      </c>
      <c r="M224" s="18">
        <v>1.30565E-7</v>
      </c>
      <c r="N224" s="18">
        <v>7.9404487000000003E-6</v>
      </c>
      <c r="O224" s="18">
        <v>8.4242935000000003E-7</v>
      </c>
      <c r="P224" s="3">
        <v>3.5375421999999999E-3</v>
      </c>
      <c r="Q224" s="3">
        <v>1.3807038000000001E-4</v>
      </c>
      <c r="R224" s="3">
        <v>1.7654593000000001</v>
      </c>
      <c r="S224" s="3">
        <v>2.4838936999999998E-2</v>
      </c>
      <c r="T224" s="18">
        <v>3.1373834E-8</v>
      </c>
      <c r="U224" s="18">
        <v>1.4758467E-9</v>
      </c>
      <c r="V224" s="3">
        <v>-3.2978252999999998E-4</v>
      </c>
      <c r="W224" s="3">
        <v>2.3468615000000001E-4</v>
      </c>
    </row>
    <row r="225" spans="1:23" x14ac:dyDescent="0.3">
      <c r="A225" s="17" t="s">
        <v>112</v>
      </c>
      <c r="C225" s="3">
        <v>148</v>
      </c>
      <c r="E225">
        <f t="shared" si="4"/>
        <v>156</v>
      </c>
      <c r="F225" s="3">
        <v>6.3916300000000001</v>
      </c>
      <c r="G225" s="16">
        <v>2755.88</v>
      </c>
      <c r="H225" s="18">
        <v>431171000</v>
      </c>
      <c r="I225" s="18">
        <v>12403.6</v>
      </c>
      <c r="J225" s="3">
        <v>6.9837380000000004E-2</v>
      </c>
      <c r="K225" s="3">
        <v>6.6098274999999999E-4</v>
      </c>
      <c r="L225" s="18">
        <v>6.4799651999999998E-6</v>
      </c>
      <c r="M225" s="18">
        <v>1.2864563000000001E-7</v>
      </c>
      <c r="N225" s="18">
        <v>7.1030463000000003E-6</v>
      </c>
      <c r="O225" s="18">
        <v>8.0987109999999995E-7</v>
      </c>
      <c r="P225" s="3">
        <v>3.3235766000000002E-3</v>
      </c>
      <c r="Q225" s="3">
        <v>1.2262022E-4</v>
      </c>
      <c r="R225" s="3">
        <v>3.0272420000000002</v>
      </c>
      <c r="S225" s="3">
        <v>2.3785135999999998E-2</v>
      </c>
      <c r="T225" s="18">
        <v>3.6635191000000001E-8</v>
      </c>
      <c r="U225" s="18">
        <v>1.689784E-9</v>
      </c>
      <c r="V225" s="3">
        <v>-8.4896766999999998E-4</v>
      </c>
      <c r="W225" s="3">
        <v>2.5385758999999999E-4</v>
      </c>
    </row>
    <row r="226" spans="1:23" x14ac:dyDescent="0.3">
      <c r="A226" s="17" t="s">
        <v>112</v>
      </c>
      <c r="C226" s="3">
        <v>152</v>
      </c>
      <c r="E226">
        <f t="shared" si="4"/>
        <v>160</v>
      </c>
      <c r="F226" s="3">
        <v>6.3916300000000001</v>
      </c>
      <c r="G226" s="16">
        <v>2727.17</v>
      </c>
      <c r="H226" s="18">
        <v>426679000</v>
      </c>
      <c r="I226" s="18">
        <v>32079.9</v>
      </c>
      <c r="J226" s="3">
        <v>5.8020122E-2</v>
      </c>
      <c r="K226" s="18">
        <v>8.3951677000000002E-5</v>
      </c>
      <c r="L226" s="18">
        <v>7.0869558999999998E-6</v>
      </c>
      <c r="M226" s="18">
        <v>6.7531408999999999E-8</v>
      </c>
      <c r="N226" s="18">
        <v>3.2681368999999998E-10</v>
      </c>
      <c r="O226" s="3" t="s">
        <v>31</v>
      </c>
      <c r="P226" s="3">
        <v>3.3284822999999999E-3</v>
      </c>
      <c r="Q226" s="3">
        <v>1.5318748E-4</v>
      </c>
      <c r="R226" s="3">
        <v>-0.88376787000000001</v>
      </c>
      <c r="S226" s="3">
        <v>2.8654702000000001E-2</v>
      </c>
      <c r="T226" s="18">
        <v>2.7415064999999999E-8</v>
      </c>
      <c r="U226" s="18">
        <v>1.4266076E-9</v>
      </c>
      <c r="V226" s="3">
        <v>5.8820058000000005E-4</v>
      </c>
      <c r="W226" s="3">
        <v>1.2381170000000001E-4</v>
      </c>
    </row>
    <row r="227" spans="1:23" x14ac:dyDescent="0.3">
      <c r="A227" s="17" t="s">
        <v>112</v>
      </c>
      <c r="C227" s="3">
        <v>156</v>
      </c>
      <c r="E227">
        <f t="shared" si="4"/>
        <v>164</v>
      </c>
      <c r="F227" s="3">
        <v>6.3916300000000001</v>
      </c>
      <c r="G227" s="16">
        <v>2734.55</v>
      </c>
      <c r="H227" s="18">
        <v>427834000</v>
      </c>
      <c r="I227" s="18">
        <v>17487.400000000001</v>
      </c>
      <c r="J227" s="3">
        <v>6.9418059000000004E-2</v>
      </c>
      <c r="K227" s="3">
        <v>6.0885327000000003E-4</v>
      </c>
      <c r="L227" s="18">
        <v>6.1700493999999998E-6</v>
      </c>
      <c r="M227" s="18">
        <v>1.2688605000000001E-7</v>
      </c>
      <c r="N227" s="18">
        <v>2.6112282999999998E-6</v>
      </c>
      <c r="O227" s="18">
        <v>8.1682148999999998E-7</v>
      </c>
      <c r="P227" s="3">
        <v>3.1967184E-3</v>
      </c>
      <c r="Q227" s="3">
        <v>1.2538919999999999E-4</v>
      </c>
      <c r="R227" s="3">
        <v>3.0738588999999998</v>
      </c>
      <c r="S227" s="3">
        <v>2.6165082999999999E-2</v>
      </c>
      <c r="T227" s="18">
        <v>3.5255878999999999E-8</v>
      </c>
      <c r="U227" s="18">
        <v>1.7580699999999999E-9</v>
      </c>
      <c r="V227" s="3">
        <v>-1.7066269E-3</v>
      </c>
      <c r="W227" s="3">
        <v>2.7917220999999998E-4</v>
      </c>
    </row>
    <row r="228" spans="1:23" x14ac:dyDescent="0.3">
      <c r="A228" s="17" t="s">
        <v>112</v>
      </c>
      <c r="C228" s="3">
        <v>160</v>
      </c>
      <c r="E228">
        <f t="shared" si="4"/>
        <v>168</v>
      </c>
      <c r="F228" s="3">
        <v>6.3916300000000001</v>
      </c>
      <c r="G228" s="16">
        <v>2746.06</v>
      </c>
      <c r="H228" s="18">
        <v>429633000</v>
      </c>
      <c r="I228" s="18">
        <v>14179.6</v>
      </c>
      <c r="J228" s="3">
        <v>6.7189868E-2</v>
      </c>
      <c r="K228" s="3">
        <v>6.969322E-4</v>
      </c>
      <c r="L228" s="18">
        <v>6.3616899999999997E-6</v>
      </c>
      <c r="M228" s="18">
        <v>1.3513991E-7</v>
      </c>
      <c r="N228" s="18">
        <v>2.9608183E-6</v>
      </c>
      <c r="O228" s="18">
        <v>9.4780169999999998E-7</v>
      </c>
      <c r="P228" s="3">
        <v>3.6586122E-3</v>
      </c>
      <c r="Q228" s="3">
        <v>1.3121779999999999E-4</v>
      </c>
      <c r="R228" s="3">
        <v>1.8529693</v>
      </c>
      <c r="S228" s="3">
        <v>2.2962850999999999E-2</v>
      </c>
      <c r="T228" s="18">
        <v>3.4609009999999999E-8</v>
      </c>
      <c r="U228" s="18">
        <v>1.5161926999999999E-9</v>
      </c>
      <c r="V228" s="3">
        <v>-4.3836278E-4</v>
      </c>
      <c r="W228" s="3">
        <v>2.6705258E-4</v>
      </c>
    </row>
    <row r="229" spans="1:23" x14ac:dyDescent="0.3">
      <c r="A229" s="17" t="s">
        <v>112</v>
      </c>
      <c r="C229" s="3">
        <v>164</v>
      </c>
      <c r="E229">
        <f t="shared" si="4"/>
        <v>172</v>
      </c>
      <c r="F229" s="3">
        <v>6.3916300000000001</v>
      </c>
      <c r="G229" s="16">
        <v>2770.3</v>
      </c>
      <c r="H229" s="18">
        <v>433426000</v>
      </c>
      <c r="I229" s="18">
        <v>11856.2</v>
      </c>
      <c r="J229" s="3">
        <v>6.4610614999999996E-2</v>
      </c>
      <c r="K229" s="3">
        <v>6.2939270999999998E-4</v>
      </c>
      <c r="L229" s="18">
        <v>6.0917594E-6</v>
      </c>
      <c r="M229" s="18">
        <v>1.3478128999999999E-7</v>
      </c>
      <c r="N229" s="18">
        <v>1.2154752E-7</v>
      </c>
      <c r="O229" s="18">
        <v>9.4633362000000003E-7</v>
      </c>
      <c r="P229" s="3">
        <v>3.8344120000000002E-3</v>
      </c>
      <c r="Q229" s="3">
        <v>1.2556123E-4</v>
      </c>
      <c r="R229" s="3">
        <v>2.5547898</v>
      </c>
      <c r="S229" s="3">
        <v>2.1064049000000001E-2</v>
      </c>
      <c r="T229" s="18">
        <v>3.5488581000000003E-8</v>
      </c>
      <c r="U229" s="18">
        <v>1.4391141000000001E-9</v>
      </c>
      <c r="V229" s="3">
        <v>-1.1859124E-3</v>
      </c>
      <c r="W229" s="3">
        <v>2.8198577999999998E-4</v>
      </c>
    </row>
    <row r="230" spans="1:23" x14ac:dyDescent="0.3">
      <c r="A230" s="17" t="s">
        <v>112</v>
      </c>
      <c r="C230" s="3">
        <v>168</v>
      </c>
      <c r="E230">
        <f t="shared" si="4"/>
        <v>176</v>
      </c>
      <c r="F230" s="3">
        <v>6.3916300000000001</v>
      </c>
      <c r="G230" s="16">
        <v>2816.48</v>
      </c>
      <c r="H230" s="18">
        <v>440651000</v>
      </c>
      <c r="I230" s="18">
        <v>30399.7</v>
      </c>
      <c r="J230" s="3">
        <v>6.6324823000000005E-2</v>
      </c>
      <c r="K230" s="18">
        <v>9.1355772999999996E-5</v>
      </c>
      <c r="L230" s="18">
        <v>6.5803735999999997E-6</v>
      </c>
      <c r="M230" s="18">
        <v>6.2264308E-8</v>
      </c>
      <c r="N230" s="18">
        <v>4.1600183999999999E-10</v>
      </c>
      <c r="O230" s="3" t="s">
        <v>31</v>
      </c>
      <c r="P230" s="3">
        <v>2.0086631E-3</v>
      </c>
      <c r="Q230" s="3">
        <v>1.2082226999999999E-4</v>
      </c>
      <c r="R230" s="3">
        <v>1.8051645999999999</v>
      </c>
      <c r="S230" s="3">
        <v>3.7493006000000002E-2</v>
      </c>
      <c r="T230" s="18">
        <v>4.0322512E-8</v>
      </c>
      <c r="U230" s="18">
        <v>2.8981917E-9</v>
      </c>
      <c r="V230" s="3">
        <v>-4.7809270999999998E-4</v>
      </c>
      <c r="W230" s="3">
        <v>1.4582281E-4</v>
      </c>
    </row>
    <row r="231" spans="1:23" x14ac:dyDescent="0.3">
      <c r="A231" s="17" t="s">
        <v>112</v>
      </c>
      <c r="C231" s="3">
        <v>172</v>
      </c>
      <c r="E231">
        <f t="shared" si="4"/>
        <v>180</v>
      </c>
      <c r="F231" s="3">
        <v>6.3916300000000001</v>
      </c>
      <c r="G231" s="16">
        <v>2863.26</v>
      </c>
      <c r="H231" s="18">
        <v>447970000</v>
      </c>
      <c r="I231" s="18">
        <v>23629.200000000001</v>
      </c>
      <c r="J231" s="3">
        <v>6.4270496999999996E-2</v>
      </c>
      <c r="K231" s="3">
        <v>5.7200215E-4</v>
      </c>
      <c r="L231" s="18">
        <v>6.2555873999999999E-6</v>
      </c>
      <c r="M231" s="18">
        <v>1.2186764000000001E-7</v>
      </c>
      <c r="N231" s="18">
        <v>6.2766786999999998E-6</v>
      </c>
      <c r="O231" s="18">
        <v>7.9259903999999995E-7</v>
      </c>
      <c r="P231" s="3">
        <v>2.9477021E-3</v>
      </c>
      <c r="Q231" s="3">
        <v>1.3065453000000001E-4</v>
      </c>
      <c r="R231" s="3">
        <v>1.6050732000000001</v>
      </c>
      <c r="S231" s="3">
        <v>2.8264713E-2</v>
      </c>
      <c r="T231" s="18">
        <v>2.8596725E-8</v>
      </c>
      <c r="U231" s="18">
        <v>1.5095451999999999E-9</v>
      </c>
      <c r="V231" s="3">
        <v>-8.5374642000000001E-4</v>
      </c>
      <c r="W231" s="3">
        <v>2.3492609000000001E-4</v>
      </c>
    </row>
    <row r="232" spans="1:23" x14ac:dyDescent="0.3">
      <c r="A232" s="17" t="s">
        <v>112</v>
      </c>
      <c r="C232" s="3">
        <v>176</v>
      </c>
      <c r="E232">
        <f t="shared" si="4"/>
        <v>184</v>
      </c>
      <c r="F232" s="3">
        <v>6.3916300000000001</v>
      </c>
      <c r="G232" s="16">
        <v>2915.02</v>
      </c>
      <c r="H232" s="18">
        <v>456068000</v>
      </c>
      <c r="I232" s="18">
        <v>5509.63</v>
      </c>
      <c r="J232" s="3">
        <v>5.7395323999999998E-2</v>
      </c>
      <c r="K232" s="3">
        <v>5.9389426000000002E-4</v>
      </c>
      <c r="L232" s="18">
        <v>6.4105016999999997E-6</v>
      </c>
      <c r="M232" s="18">
        <v>1.4364259000000001E-7</v>
      </c>
      <c r="N232" s="18">
        <v>5.6073048000000001E-6</v>
      </c>
      <c r="O232" s="18">
        <v>9.0761617E-7</v>
      </c>
      <c r="P232" s="3">
        <v>7.3063687000000004E-3</v>
      </c>
      <c r="Q232" s="3">
        <v>1.3517824E-4</v>
      </c>
      <c r="R232" s="3">
        <v>2.617032</v>
      </c>
      <c r="S232" s="3">
        <v>1.1930156000000001E-2</v>
      </c>
      <c r="T232" s="18">
        <v>2.8909840000000001E-8</v>
      </c>
      <c r="U232" s="18">
        <v>6.4884975000000001E-10</v>
      </c>
      <c r="V232" s="3">
        <v>-9.3675235000000002E-4</v>
      </c>
      <c r="W232" s="3">
        <v>2.4036019000000001E-4</v>
      </c>
    </row>
    <row r="233" spans="1:23" x14ac:dyDescent="0.3">
      <c r="A233" s="17" t="s">
        <v>112</v>
      </c>
      <c r="C233" s="3">
        <v>180</v>
      </c>
      <c r="E233">
        <f t="shared" si="4"/>
        <v>188</v>
      </c>
      <c r="F233" s="3">
        <v>6.3916300000000001</v>
      </c>
      <c r="G233" s="16">
        <v>2918.5</v>
      </c>
      <c r="H233" s="18">
        <v>456612000</v>
      </c>
      <c r="I233" s="18">
        <v>10952.7</v>
      </c>
      <c r="J233" s="3">
        <v>5.7714972000000003E-2</v>
      </c>
      <c r="K233" s="18">
        <v>9.4356176000000004E-5</v>
      </c>
      <c r="L233" s="18">
        <v>5.9925357000000001E-6</v>
      </c>
      <c r="M233" s="18">
        <v>6.2719651E-8</v>
      </c>
      <c r="N233" s="18">
        <v>1.9995951000000001E-9</v>
      </c>
      <c r="O233" s="3" t="s">
        <v>31</v>
      </c>
      <c r="P233" s="3">
        <v>4.8505941000000002E-3</v>
      </c>
      <c r="Q233" s="3">
        <v>1.3030931000000001E-4</v>
      </c>
      <c r="R233" s="3">
        <v>0.95039406000000004</v>
      </c>
      <c r="S233" s="3">
        <v>1.7196342E-2</v>
      </c>
      <c r="T233" s="18">
        <v>2.8862434E-8</v>
      </c>
      <c r="U233" s="18">
        <v>9.2457485000000004E-10</v>
      </c>
      <c r="V233" s="3">
        <v>-9.3934982E-4</v>
      </c>
      <c r="W233" s="3">
        <v>1.5198332999999999E-4</v>
      </c>
    </row>
    <row r="234" spans="1:23" x14ac:dyDescent="0.3">
      <c r="A234" s="17" t="s">
        <v>112</v>
      </c>
      <c r="C234" s="3">
        <v>184</v>
      </c>
      <c r="E234">
        <f t="shared" si="4"/>
        <v>192</v>
      </c>
      <c r="F234" s="3">
        <v>6.3916300000000001</v>
      </c>
      <c r="G234" s="16">
        <v>2877.57</v>
      </c>
      <c r="H234" s="18">
        <v>450209000</v>
      </c>
      <c r="I234" s="18">
        <v>11218.6</v>
      </c>
      <c r="J234" s="3">
        <v>5.8954757000000003E-2</v>
      </c>
      <c r="K234" s="3">
        <v>5.6647957000000005E-4</v>
      </c>
      <c r="L234" s="18">
        <v>6.1740682999999997E-6</v>
      </c>
      <c r="M234" s="18">
        <v>1.3149255000000001E-7</v>
      </c>
      <c r="N234" s="18">
        <v>1.1339360999999999E-6</v>
      </c>
      <c r="O234" s="18">
        <v>9.1354174000000003E-7</v>
      </c>
      <c r="P234" s="3">
        <v>3.8650246000000001E-3</v>
      </c>
      <c r="Q234" s="3">
        <v>1.1553154E-4</v>
      </c>
      <c r="R234" s="3">
        <v>1.6952864000000001</v>
      </c>
      <c r="S234" s="3">
        <v>1.9207309999999998E-2</v>
      </c>
      <c r="T234" s="18">
        <v>3.3830535999999998E-8</v>
      </c>
      <c r="U234" s="18">
        <v>1.2429489E-9</v>
      </c>
      <c r="V234" s="3">
        <v>-8.2624399E-4</v>
      </c>
      <c r="W234" s="3">
        <v>2.4402321000000001E-4</v>
      </c>
    </row>
    <row r="235" spans="1:23" x14ac:dyDescent="0.3">
      <c r="A235" s="17" t="s">
        <v>112</v>
      </c>
      <c r="C235" s="3">
        <v>188</v>
      </c>
      <c r="E235">
        <f t="shared" si="4"/>
        <v>196</v>
      </c>
      <c r="F235" s="3">
        <v>6.3916300000000001</v>
      </c>
      <c r="G235" s="16">
        <v>2824.06</v>
      </c>
      <c r="H235" s="18">
        <v>441837000</v>
      </c>
      <c r="I235" s="18">
        <v>24366.799999999999</v>
      </c>
      <c r="J235" s="3">
        <v>5.7712263E-2</v>
      </c>
      <c r="K235" s="3">
        <v>5.4704077999999997E-4</v>
      </c>
      <c r="L235" s="18">
        <v>6.2332585999999999E-6</v>
      </c>
      <c r="M235" s="18">
        <v>1.2876035E-7</v>
      </c>
      <c r="N235" s="18">
        <v>1.7881896000000001E-8</v>
      </c>
      <c r="O235" s="18">
        <v>9.0421599999999998E-7</v>
      </c>
      <c r="P235" s="3">
        <v>1.9372233E-3</v>
      </c>
      <c r="Q235" s="18">
        <v>9.4625640999999996E-5</v>
      </c>
      <c r="R235" s="3">
        <v>2.8753810999999998</v>
      </c>
      <c r="S235" s="3">
        <v>3.1913705000000001E-2</v>
      </c>
      <c r="T235" s="18">
        <v>4.1791812000000001E-8</v>
      </c>
      <c r="U235" s="18">
        <v>2.6107347E-9</v>
      </c>
      <c r="V235" s="3">
        <v>-5.6238987000000005E-4</v>
      </c>
      <c r="W235" s="3">
        <v>2.3161743E-4</v>
      </c>
    </row>
    <row r="236" spans="1:23" x14ac:dyDescent="0.3">
      <c r="A236" s="17" t="s">
        <v>113</v>
      </c>
      <c r="C236" s="3">
        <v>-8</v>
      </c>
      <c r="F236" s="3">
        <v>6.3792099999999996</v>
      </c>
      <c r="G236" s="16">
        <v>2801.71</v>
      </c>
      <c r="H236" s="18">
        <v>439193000</v>
      </c>
      <c r="I236" s="18">
        <v>6445.94</v>
      </c>
      <c r="J236" s="3">
        <v>5.2007142999999999E-2</v>
      </c>
      <c r="K236" s="3">
        <v>5.3253440999999997E-4</v>
      </c>
      <c r="L236" s="18">
        <v>6.3053959999999997E-6</v>
      </c>
      <c r="M236" s="18">
        <v>1.3136119999999999E-7</v>
      </c>
      <c r="N236" s="18">
        <v>7.4747818E-6</v>
      </c>
      <c r="O236" s="18">
        <v>8.8592043999999999E-7</v>
      </c>
      <c r="P236" s="3">
        <v>5.0883164E-3</v>
      </c>
      <c r="Q236" s="3">
        <v>1.0377234000000001E-4</v>
      </c>
      <c r="R236" s="3">
        <v>0.98202792999999999</v>
      </c>
      <c r="S236" s="3">
        <v>1.2979821000000001E-2</v>
      </c>
      <c r="T236" s="18">
        <v>3.4013983999999998E-8</v>
      </c>
      <c r="U236" s="18">
        <v>8.4264737999999999E-10</v>
      </c>
      <c r="V236" s="3">
        <v>-1.2118694000000001E-3</v>
      </c>
      <c r="W236" s="3">
        <v>1.9623551999999999E-4</v>
      </c>
    </row>
    <row r="237" spans="1:23" x14ac:dyDescent="0.3">
      <c r="A237" s="17" t="s">
        <v>113</v>
      </c>
      <c r="C237" s="3">
        <v>-4</v>
      </c>
      <c r="F237" s="3">
        <v>6.3792099999999996</v>
      </c>
      <c r="G237" s="16">
        <v>2855.21</v>
      </c>
      <c r="H237" s="18">
        <v>447580000</v>
      </c>
      <c r="I237" s="18">
        <v>5928.26</v>
      </c>
      <c r="J237" s="3">
        <v>5.0831983999999997E-2</v>
      </c>
      <c r="K237" s="3">
        <v>5.1088225000000002E-4</v>
      </c>
      <c r="L237" s="18">
        <v>6.5276462999999998E-6</v>
      </c>
      <c r="M237" s="18">
        <v>1.2651013000000001E-7</v>
      </c>
      <c r="N237" s="18">
        <v>4.2857003000000001E-6</v>
      </c>
      <c r="O237" s="18">
        <v>8.7550135999999998E-7</v>
      </c>
      <c r="P237" s="3">
        <v>5.1233127999999999E-3</v>
      </c>
      <c r="Q237" s="18">
        <v>9.5939767999999998E-5</v>
      </c>
      <c r="R237" s="3">
        <v>1.7974840999999999</v>
      </c>
      <c r="S237" s="3">
        <v>1.2049602E-2</v>
      </c>
      <c r="T237" s="18">
        <v>3.5262275999999997E-8</v>
      </c>
      <c r="U237" s="18">
        <v>8.1646669000000001E-10</v>
      </c>
      <c r="V237" s="3">
        <v>-1.9606920000000001E-4</v>
      </c>
      <c r="W237" s="3">
        <v>1.7751082999999999E-4</v>
      </c>
    </row>
    <row r="238" spans="1:23" x14ac:dyDescent="0.3">
      <c r="A238" s="17" t="s">
        <v>113</v>
      </c>
      <c r="C238" s="3">
        <v>0</v>
      </c>
      <c r="F238" s="3">
        <v>6.3792099999999996</v>
      </c>
      <c r="G238" s="16">
        <v>2902.28</v>
      </c>
      <c r="H238" s="18">
        <v>454959000</v>
      </c>
      <c r="I238" s="18">
        <v>6321.71</v>
      </c>
      <c r="J238" s="3">
        <v>7.1808752000000003E-2</v>
      </c>
      <c r="K238" s="3">
        <v>5.1769757999999997E-4</v>
      </c>
      <c r="L238" s="18">
        <v>5.8369789000000003E-6</v>
      </c>
      <c r="M238" s="18">
        <v>1.0116956E-7</v>
      </c>
      <c r="N238" s="18">
        <v>8.4213356000000006E-6</v>
      </c>
      <c r="O238" s="18">
        <v>6.5866474000000004E-7</v>
      </c>
      <c r="P238" s="3">
        <v>9.2189907000000005E-3</v>
      </c>
      <c r="Q238" s="3">
        <v>1.2681703999999999E-4</v>
      </c>
      <c r="R238" s="3">
        <v>0.81095720000000004</v>
      </c>
      <c r="S238" s="3">
        <v>8.7712342999999998E-3</v>
      </c>
      <c r="T238" s="18">
        <v>2.8441987E-8</v>
      </c>
      <c r="U238" s="18">
        <v>4.6304432E-10</v>
      </c>
      <c r="V238" s="3">
        <v>-1.9249117000000001E-3</v>
      </c>
      <c r="W238" s="3">
        <v>2.3882556E-4</v>
      </c>
    </row>
    <row r="239" spans="1:23" x14ac:dyDescent="0.3">
      <c r="A239" s="17" t="s">
        <v>113</v>
      </c>
      <c r="C239" s="3">
        <v>4</v>
      </c>
      <c r="F239" s="3">
        <v>6.3792099999999996</v>
      </c>
      <c r="G239" s="16">
        <v>2918.79</v>
      </c>
      <c r="H239" s="18">
        <v>457547000</v>
      </c>
      <c r="I239" s="18">
        <v>6187.76</v>
      </c>
      <c r="J239" s="3">
        <v>6.7085768000000004E-2</v>
      </c>
      <c r="K239" s="3">
        <v>4.4671042999999997E-4</v>
      </c>
      <c r="L239" s="18">
        <v>5.5525222999999998E-6</v>
      </c>
      <c r="M239" s="18">
        <v>9.9244176000000002E-8</v>
      </c>
      <c r="N239" s="18">
        <v>6.0962412999999996E-6</v>
      </c>
      <c r="O239" s="18">
        <v>6.5285225000000004E-7</v>
      </c>
      <c r="P239" s="3">
        <v>1.0150724999999999E-2</v>
      </c>
      <c r="Q239" s="3">
        <v>1.2471575999999999E-4</v>
      </c>
      <c r="R239" s="3">
        <v>1.1702486000000001</v>
      </c>
      <c r="S239" s="3">
        <v>7.8249379000000004E-3</v>
      </c>
      <c r="T239" s="18">
        <v>2.6502021000000001E-8</v>
      </c>
      <c r="U239" s="18">
        <v>3.8249758999999999E-10</v>
      </c>
      <c r="V239" s="3">
        <v>-2.8588382999999999E-3</v>
      </c>
      <c r="W239" s="3">
        <v>2.4192939000000001E-4</v>
      </c>
    </row>
    <row r="240" spans="1:23" x14ac:dyDescent="0.3">
      <c r="A240" s="17" t="s">
        <v>113</v>
      </c>
      <c r="C240" s="3">
        <v>8</v>
      </c>
      <c r="F240" s="3">
        <v>6.3792099999999996</v>
      </c>
      <c r="G240" s="16">
        <v>2885.36</v>
      </c>
      <c r="H240" s="18">
        <v>452306000</v>
      </c>
      <c r="I240" s="18">
        <v>6943.17</v>
      </c>
      <c r="J240" s="3">
        <v>5.6410426E-2</v>
      </c>
      <c r="K240" s="3">
        <v>4.870303E-4</v>
      </c>
      <c r="L240" s="18">
        <v>6.1848492000000002E-6</v>
      </c>
      <c r="M240" s="18">
        <v>1.1303752E-7</v>
      </c>
      <c r="N240" s="18">
        <v>4.7329421999999998E-6</v>
      </c>
      <c r="O240" s="18">
        <v>7.8095042999999999E-7</v>
      </c>
      <c r="P240" s="3">
        <v>8.1940533000000003E-3</v>
      </c>
      <c r="Q240" s="3">
        <v>1.2384474000000001E-4</v>
      </c>
      <c r="R240" s="3">
        <v>1.1684254000000001</v>
      </c>
      <c r="S240" s="3">
        <v>9.5884173000000007E-3</v>
      </c>
      <c r="T240" s="18">
        <v>2.5526448E-8</v>
      </c>
      <c r="U240" s="18">
        <v>4.4820241999999999E-10</v>
      </c>
      <c r="V240" s="3">
        <v>-1.7330743999999999E-3</v>
      </c>
      <c r="W240" s="3">
        <v>1.9270383999999999E-4</v>
      </c>
    </row>
    <row r="241" spans="1:23" x14ac:dyDescent="0.3">
      <c r="A241" s="17" t="s">
        <v>113</v>
      </c>
      <c r="C241" s="3">
        <v>12</v>
      </c>
      <c r="F241" s="3">
        <v>6.3792099999999996</v>
      </c>
      <c r="G241" s="16">
        <v>2836.8</v>
      </c>
      <c r="H241" s="18">
        <v>444694000</v>
      </c>
      <c r="I241" s="18">
        <v>7100.36</v>
      </c>
      <c r="J241" s="3">
        <v>6.4121224000000004E-2</v>
      </c>
      <c r="K241" s="3">
        <v>4.8958344000000001E-4</v>
      </c>
      <c r="L241" s="18">
        <v>5.9037952999999996E-6</v>
      </c>
      <c r="M241" s="18">
        <v>1.0454804E-7</v>
      </c>
      <c r="N241" s="18">
        <v>3.9596798999999999E-6</v>
      </c>
      <c r="O241" s="18">
        <v>7.2354355000000005E-7</v>
      </c>
      <c r="P241" s="3">
        <v>8.1377476999999997E-3</v>
      </c>
      <c r="Q241" s="3">
        <v>1.1990055E-4</v>
      </c>
      <c r="R241" s="3">
        <v>1.5282182</v>
      </c>
      <c r="S241" s="3">
        <v>9.3809597999999998E-3</v>
      </c>
      <c r="T241" s="18">
        <v>2.8300236000000001E-8</v>
      </c>
      <c r="U241" s="18">
        <v>4.9404245000000004E-10</v>
      </c>
      <c r="V241" s="3">
        <v>-1.1249440999999999E-3</v>
      </c>
      <c r="W241" s="3">
        <v>2.2066782E-4</v>
      </c>
    </row>
    <row r="242" spans="1:23" x14ac:dyDescent="0.3">
      <c r="A242" s="17" t="s">
        <v>113</v>
      </c>
      <c r="C242" s="3">
        <v>16</v>
      </c>
      <c r="F242" s="3">
        <v>6.3792099999999996</v>
      </c>
      <c r="G242" s="16">
        <v>2788.31</v>
      </c>
      <c r="H242" s="18">
        <v>437093000</v>
      </c>
      <c r="I242" s="18">
        <v>7211.36</v>
      </c>
      <c r="J242" s="3">
        <v>6.1289428E-2</v>
      </c>
      <c r="K242" s="3">
        <v>4.8522989000000002E-4</v>
      </c>
      <c r="L242" s="18">
        <v>5.9670042999999997E-6</v>
      </c>
      <c r="M242" s="18">
        <v>1.099306E-7</v>
      </c>
      <c r="N242" s="18">
        <v>4.8002975000000003E-6</v>
      </c>
      <c r="O242" s="18">
        <v>7.3559123999999998E-7</v>
      </c>
      <c r="P242" s="3">
        <v>7.3020098000000002E-3</v>
      </c>
      <c r="Q242" s="3">
        <v>1.1430136E-4</v>
      </c>
      <c r="R242" s="3">
        <v>2.6548435000000001</v>
      </c>
      <c r="S242" s="3">
        <v>1.0029311000000001E-2</v>
      </c>
      <c r="T242" s="18">
        <v>2.9997405000000001E-8</v>
      </c>
      <c r="U242" s="18">
        <v>5.6711552E-10</v>
      </c>
      <c r="V242" s="3">
        <v>-1.7527509000000001E-3</v>
      </c>
      <c r="W242" s="3">
        <v>2.1812671999999999E-4</v>
      </c>
    </row>
    <row r="243" spans="1:23" x14ac:dyDescent="0.3">
      <c r="A243" s="17" t="s">
        <v>113</v>
      </c>
      <c r="C243" s="3">
        <v>20</v>
      </c>
      <c r="F243" s="3">
        <v>6.3792099999999996</v>
      </c>
      <c r="G243" s="16">
        <v>2746.26</v>
      </c>
      <c r="H243" s="18">
        <v>430501000</v>
      </c>
      <c r="I243" s="18">
        <v>6144.38</v>
      </c>
      <c r="J243" s="3">
        <v>7.5019181000000004E-2</v>
      </c>
      <c r="K243" s="3">
        <v>5.4963731999999998E-4</v>
      </c>
      <c r="L243" s="18">
        <v>5.9979785000000004E-6</v>
      </c>
      <c r="M243" s="18">
        <v>9.8259463000000005E-8</v>
      </c>
      <c r="N243" s="18">
        <v>6.0504132000000002E-6</v>
      </c>
      <c r="O243" s="18">
        <v>6.7099642000000005E-7</v>
      </c>
      <c r="P243" s="3">
        <v>8.5288431000000008E-3</v>
      </c>
      <c r="Q243" s="3">
        <v>1.2232723000000001E-4</v>
      </c>
      <c r="R243" s="3">
        <v>1.9169326</v>
      </c>
      <c r="S243" s="3">
        <v>9.1691907999999992E-3</v>
      </c>
      <c r="T243" s="18">
        <v>3.0522736000000003E-8</v>
      </c>
      <c r="U243" s="18">
        <v>5.2345943999999996E-10</v>
      </c>
      <c r="V243" s="3">
        <v>-1.5168270000000001E-3</v>
      </c>
      <c r="W243" s="3">
        <v>2.3305818E-4</v>
      </c>
    </row>
    <row r="244" spans="1:23" x14ac:dyDescent="0.3">
      <c r="A244" s="17" t="s">
        <v>113</v>
      </c>
      <c r="C244" s="3">
        <v>24</v>
      </c>
      <c r="F244" s="3">
        <v>6.3792099999999996</v>
      </c>
      <c r="G244" s="16">
        <v>2707.68</v>
      </c>
      <c r="H244" s="18">
        <v>424453000</v>
      </c>
      <c r="I244" s="18">
        <v>7723.74</v>
      </c>
      <c r="J244" s="3">
        <v>6.6067204000000004E-2</v>
      </c>
      <c r="K244" s="3">
        <v>5.9418141000000004E-4</v>
      </c>
      <c r="L244" s="18">
        <v>6.3498458999999998E-6</v>
      </c>
      <c r="M244" s="18">
        <v>1.122076E-7</v>
      </c>
      <c r="N244" s="18">
        <v>8.2883649999999994E-6</v>
      </c>
      <c r="O244" s="18">
        <v>7.6966340000000002E-7</v>
      </c>
      <c r="P244" s="3">
        <v>7.0288733999999999E-3</v>
      </c>
      <c r="Q244" s="3">
        <v>1.2387227999999999E-4</v>
      </c>
      <c r="R244" s="3">
        <v>1.1989993000000001</v>
      </c>
      <c r="S244" s="3">
        <v>1.1171365000000001E-2</v>
      </c>
      <c r="T244" s="18">
        <v>2.9854986E-8</v>
      </c>
      <c r="U244" s="18">
        <v>6.1887621000000001E-10</v>
      </c>
      <c r="V244" s="3">
        <v>-1.1414515000000001E-3</v>
      </c>
      <c r="W244" s="3">
        <v>2.0805654000000001E-4</v>
      </c>
    </row>
    <row r="245" spans="1:23" x14ac:dyDescent="0.3">
      <c r="A245" s="17" t="s">
        <v>113</v>
      </c>
      <c r="C245" s="3">
        <v>28</v>
      </c>
      <c r="F245" s="3">
        <v>6.3792099999999996</v>
      </c>
      <c r="G245" s="16">
        <v>2679.1</v>
      </c>
      <c r="H245" s="18">
        <v>419973000</v>
      </c>
      <c r="I245" s="18">
        <v>7638.84</v>
      </c>
      <c r="J245" s="3">
        <v>6.8829916000000005E-2</v>
      </c>
      <c r="K245" s="3">
        <v>5.6075598999999997E-4</v>
      </c>
      <c r="L245" s="18">
        <v>5.9436388000000003E-6</v>
      </c>
      <c r="M245" s="18">
        <v>1.0488949999999999E-7</v>
      </c>
      <c r="N245" s="18">
        <v>5.2442396000000002E-6</v>
      </c>
      <c r="O245" s="18">
        <v>7.6155438999999998E-7</v>
      </c>
      <c r="P245" s="3">
        <v>7.6428731000000001E-3</v>
      </c>
      <c r="Q245" s="3">
        <v>1.2165083000000001E-4</v>
      </c>
      <c r="R245" s="3">
        <v>0.69106906000000001</v>
      </c>
      <c r="S245" s="3">
        <v>1.0044945E-2</v>
      </c>
      <c r="T245" s="18">
        <v>3.0239995E-8</v>
      </c>
      <c r="U245" s="18">
        <v>5.6250867999999997E-10</v>
      </c>
      <c r="V245" s="3">
        <v>-1.5505591E-3</v>
      </c>
      <c r="W245" s="3">
        <v>2.2987455999999999E-4</v>
      </c>
    </row>
    <row r="246" spans="1:23" x14ac:dyDescent="0.3">
      <c r="A246" s="17" t="s">
        <v>113</v>
      </c>
      <c r="C246" s="3">
        <v>32</v>
      </c>
      <c r="F246" s="3">
        <v>6.3792099999999996</v>
      </c>
      <c r="G246" s="16">
        <v>2647.64</v>
      </c>
      <c r="H246" s="18">
        <v>415042000</v>
      </c>
      <c r="I246" s="18">
        <v>9788.2900000000009</v>
      </c>
      <c r="J246" s="3">
        <v>6.1654476999999999E-2</v>
      </c>
      <c r="K246" s="18">
        <v>7.6459744999999999E-5</v>
      </c>
      <c r="L246" s="18">
        <v>6.8681559000000003E-6</v>
      </c>
      <c r="M246" s="18">
        <v>5.5741317999999998E-8</v>
      </c>
      <c r="N246" s="18">
        <v>2.0785113000000001E-9</v>
      </c>
      <c r="O246" s="3" t="s">
        <v>31</v>
      </c>
      <c r="P246" s="3">
        <v>5.9634518999999997E-3</v>
      </c>
      <c r="Q246" s="3">
        <v>1.2091202E-4</v>
      </c>
      <c r="R246" s="3">
        <v>2.0396510999999999</v>
      </c>
      <c r="S246" s="3">
        <v>1.2973500000000001E-2</v>
      </c>
      <c r="T246" s="18">
        <v>3.1429255000000002E-8</v>
      </c>
      <c r="U246" s="18">
        <v>7.6118385000000004E-10</v>
      </c>
      <c r="V246" s="3">
        <v>-3.9632732E-4</v>
      </c>
      <c r="W246" s="3">
        <v>1.1356096E-4</v>
      </c>
    </row>
    <row r="247" spans="1:23" x14ac:dyDescent="0.3">
      <c r="A247" s="17" t="s">
        <v>113</v>
      </c>
      <c r="C247" s="3">
        <v>36</v>
      </c>
      <c r="F247" s="3">
        <v>6.3792099999999996</v>
      </c>
      <c r="G247" s="16">
        <v>2641.63</v>
      </c>
      <c r="H247" s="18">
        <v>414100000</v>
      </c>
      <c r="I247" s="18">
        <v>11211.5</v>
      </c>
      <c r="J247" s="3">
        <v>6.2138818999999998E-2</v>
      </c>
      <c r="K247" s="18">
        <v>7.3644292E-5</v>
      </c>
      <c r="L247" s="18">
        <v>6.9623952999999999E-6</v>
      </c>
      <c r="M247" s="18">
        <v>5.3624983000000003E-8</v>
      </c>
      <c r="N247" s="18">
        <v>2.0470166E-11</v>
      </c>
      <c r="O247" s="3" t="s">
        <v>31</v>
      </c>
      <c r="P247" s="3">
        <v>5.9472222000000003E-3</v>
      </c>
      <c r="Q247" s="3">
        <v>1.2204937E-4</v>
      </c>
      <c r="R247" s="3">
        <v>2.1803446000000002</v>
      </c>
      <c r="S247" s="3">
        <v>1.3141276E-2</v>
      </c>
      <c r="T247" s="18">
        <v>2.9823768000000002E-8</v>
      </c>
      <c r="U247" s="18">
        <v>7.2473065000000004E-10</v>
      </c>
      <c r="V247" s="18">
        <v>-4.0285187000000003E-5</v>
      </c>
      <c r="W247" s="3">
        <v>1.0766176E-4</v>
      </c>
    </row>
    <row r="248" spans="1:23" x14ac:dyDescent="0.3">
      <c r="A248" s="17" t="s">
        <v>113</v>
      </c>
      <c r="C248" s="3">
        <v>40</v>
      </c>
      <c r="F248" s="3">
        <v>6.3792099999999996</v>
      </c>
      <c r="G248" s="16">
        <v>2645.04</v>
      </c>
      <c r="H248" s="18">
        <v>414635000</v>
      </c>
      <c r="I248" s="18">
        <v>11607</v>
      </c>
      <c r="J248" s="3">
        <v>6.4437836999999998E-2</v>
      </c>
      <c r="K248" s="18">
        <v>7.9961635999999995E-5</v>
      </c>
      <c r="L248" s="18">
        <v>6.9944219999999997E-6</v>
      </c>
      <c r="M248" s="18">
        <v>5.6294620999999997E-8</v>
      </c>
      <c r="N248" s="18">
        <v>3.2231751999999998E-11</v>
      </c>
      <c r="O248" s="3" t="s">
        <v>31</v>
      </c>
      <c r="P248" s="3">
        <v>6.3174970999999996E-3</v>
      </c>
      <c r="Q248" s="3">
        <v>1.3774125000000001E-4</v>
      </c>
      <c r="R248" s="3">
        <v>1.8685124</v>
      </c>
      <c r="S248" s="3">
        <v>1.3901098000000001E-2</v>
      </c>
      <c r="T248" s="18">
        <v>2.8702190999999999E-8</v>
      </c>
      <c r="U248" s="18">
        <v>7.3298806000000001E-10</v>
      </c>
      <c r="V248" s="18">
        <v>-5.0307847000000002E-5</v>
      </c>
      <c r="W248" s="3">
        <v>1.1618819000000001E-4</v>
      </c>
    </row>
    <row r="249" spans="1:23" x14ac:dyDescent="0.3">
      <c r="A249" s="17" t="s">
        <v>113</v>
      </c>
      <c r="C249" s="3">
        <v>44</v>
      </c>
      <c r="F249" s="3">
        <v>6.3792099999999996</v>
      </c>
      <c r="G249" s="16">
        <v>2689.64</v>
      </c>
      <c r="H249" s="18">
        <v>421626000</v>
      </c>
      <c r="I249" s="18">
        <v>11512.8</v>
      </c>
      <c r="J249" s="3">
        <v>3.8346937999999997E-2</v>
      </c>
      <c r="K249" s="3">
        <v>5.0774874E-4</v>
      </c>
      <c r="L249" s="18">
        <v>6.7773328999999998E-6</v>
      </c>
      <c r="M249" s="18">
        <v>1.5816324999999999E-7</v>
      </c>
      <c r="N249" s="18">
        <v>6.8907984999999996E-8</v>
      </c>
      <c r="O249" s="18">
        <v>1.1790381999999999E-6</v>
      </c>
      <c r="P249" s="3">
        <v>3.5588146999999998E-3</v>
      </c>
      <c r="Q249" s="18">
        <v>9.5802526000000001E-5</v>
      </c>
      <c r="R249" s="3">
        <v>2.8150710999999999</v>
      </c>
      <c r="S249" s="3">
        <v>1.7228446000000001E-2</v>
      </c>
      <c r="T249" s="18">
        <v>3.3527340999999999E-8</v>
      </c>
      <c r="U249" s="18">
        <v>1.1054229E-9</v>
      </c>
      <c r="V249" s="3">
        <v>-1.9748819E-4</v>
      </c>
      <c r="W249" s="3">
        <v>1.5948302999999999E-4</v>
      </c>
    </row>
    <row r="250" spans="1:23" x14ac:dyDescent="0.3">
      <c r="A250" s="17" t="s">
        <v>113</v>
      </c>
      <c r="C250" s="3">
        <v>48</v>
      </c>
      <c r="F250" s="3">
        <v>6.3792099999999996</v>
      </c>
      <c r="G250" s="16">
        <v>2709.99</v>
      </c>
      <c r="H250" s="18">
        <v>424816000</v>
      </c>
      <c r="I250" s="18">
        <v>9111.58</v>
      </c>
      <c r="J250" s="3">
        <v>5.6308496999999999E-2</v>
      </c>
      <c r="K250" s="3">
        <v>6.1321377999999996E-4</v>
      </c>
      <c r="L250" s="18">
        <v>6.7614883999999998E-6</v>
      </c>
      <c r="M250" s="18">
        <v>1.3142192E-7</v>
      </c>
      <c r="N250" s="18">
        <v>5.8606193000000004E-6</v>
      </c>
      <c r="O250" s="18">
        <v>9.1211807999999996E-7</v>
      </c>
      <c r="P250" s="3">
        <v>5.8277881999999996E-3</v>
      </c>
      <c r="Q250" s="3">
        <v>1.351259E-4</v>
      </c>
      <c r="R250" s="3">
        <v>2.3087569999999999</v>
      </c>
      <c r="S250" s="3">
        <v>1.4686339E-2</v>
      </c>
      <c r="T250" s="18">
        <v>2.7021786E-8</v>
      </c>
      <c r="U250" s="18">
        <v>7.3296422E-10</v>
      </c>
      <c r="V250" s="18">
        <v>-4.6390826000000001E-5</v>
      </c>
      <c r="W250" s="3">
        <v>1.8929217E-4</v>
      </c>
    </row>
    <row r="251" spans="1:23" x14ac:dyDescent="0.3">
      <c r="A251" s="17" t="s">
        <v>113</v>
      </c>
      <c r="C251" s="3">
        <v>52</v>
      </c>
      <c r="F251" s="3">
        <v>6.3792099999999996</v>
      </c>
      <c r="G251" s="16">
        <v>2756.29</v>
      </c>
      <c r="H251" s="18">
        <v>432075000</v>
      </c>
      <c r="I251" s="18">
        <v>7473.89</v>
      </c>
      <c r="J251" s="3">
        <v>5.4169387999999999E-2</v>
      </c>
      <c r="K251" s="3">
        <v>6.3338819999999999E-4</v>
      </c>
      <c r="L251" s="18">
        <v>6.5990911000000004E-6</v>
      </c>
      <c r="M251" s="18">
        <v>1.3994927999999999E-7</v>
      </c>
      <c r="N251" s="18">
        <v>2.5430245E-6</v>
      </c>
      <c r="O251" s="18">
        <v>1.0362532E-6</v>
      </c>
      <c r="P251" s="3">
        <v>6.8430716000000003E-3</v>
      </c>
      <c r="Q251" s="3">
        <v>1.3840173E-4</v>
      </c>
      <c r="R251" s="3">
        <v>1.6617835999999999</v>
      </c>
      <c r="S251" s="3">
        <v>1.2886193000000001E-2</v>
      </c>
      <c r="T251" s="18">
        <v>2.7508374000000001E-8</v>
      </c>
      <c r="U251" s="18">
        <v>6.5092914000000004E-10</v>
      </c>
      <c r="V251" s="3">
        <v>-6.4073438000000001E-4</v>
      </c>
      <c r="W251" s="3">
        <v>2.0489067999999999E-4</v>
      </c>
    </row>
    <row r="252" spans="1:23" x14ac:dyDescent="0.3">
      <c r="A252" s="17" t="s">
        <v>113</v>
      </c>
      <c r="C252" s="3">
        <v>56</v>
      </c>
      <c r="F252" s="3">
        <v>6.3792099999999996</v>
      </c>
      <c r="G252" s="16">
        <v>2606.7800000000002</v>
      </c>
      <c r="H252" s="18">
        <v>408637000</v>
      </c>
      <c r="I252" s="18">
        <v>137023</v>
      </c>
      <c r="J252" s="3">
        <v>6.6373657000000003E-2</v>
      </c>
      <c r="K252" s="3">
        <v>8.0101387000000004E-4</v>
      </c>
      <c r="L252" s="18">
        <v>6.3976061000000001E-6</v>
      </c>
      <c r="M252" s="18">
        <v>1.4754740000000001E-7</v>
      </c>
      <c r="N252" s="18">
        <v>2.4413111999999998E-6</v>
      </c>
      <c r="O252" s="18">
        <v>1.0952013E-6</v>
      </c>
      <c r="P252" s="3">
        <v>3.5449840000000002E-3</v>
      </c>
      <c r="Q252" s="3">
        <v>2.0164588000000001E-4</v>
      </c>
      <c r="R252" s="3">
        <v>2.5481840999999998</v>
      </c>
      <c r="S252" s="3">
        <v>3.5750355999999997E-2</v>
      </c>
      <c r="T252" s="18">
        <v>2.4195001E-8</v>
      </c>
      <c r="U252" s="18">
        <v>1.5577069E-9</v>
      </c>
      <c r="V252" s="3">
        <v>-9.9512948000000001E-4</v>
      </c>
      <c r="W252" s="3">
        <v>2.7951602000000003E-4</v>
      </c>
    </row>
    <row r="253" spans="1:23" x14ac:dyDescent="0.3">
      <c r="A253" s="17" t="s">
        <v>113</v>
      </c>
      <c r="C253" s="3">
        <v>60</v>
      </c>
      <c r="F253" s="3">
        <v>6.3792099999999996</v>
      </c>
      <c r="G253" s="16">
        <v>2626.14</v>
      </c>
      <c r="H253" s="18">
        <v>411671000</v>
      </c>
      <c r="I253" s="18">
        <v>14177.1</v>
      </c>
      <c r="J253" s="3">
        <v>6.1022568999999999E-2</v>
      </c>
      <c r="K253" s="3">
        <v>6.3711827E-4</v>
      </c>
      <c r="L253" s="18">
        <v>6.8268621999999999E-6</v>
      </c>
      <c r="M253" s="18">
        <v>1.2482195000000001E-7</v>
      </c>
      <c r="N253" s="18">
        <v>3.9405202000000002E-6</v>
      </c>
      <c r="O253" s="18">
        <v>8.8790902000000001E-7</v>
      </c>
      <c r="P253" s="3">
        <v>5.1925108999999999E-3</v>
      </c>
      <c r="Q253" s="3">
        <v>1.4153317999999999E-4</v>
      </c>
      <c r="R253" s="3">
        <v>-3.1491419999999999</v>
      </c>
      <c r="S253" s="3">
        <v>1.7224133999999999E-2</v>
      </c>
      <c r="T253" s="18">
        <v>2.6719300999999999E-8</v>
      </c>
      <c r="U253" s="18">
        <v>8.5178053000000001E-10</v>
      </c>
      <c r="V253" s="3">
        <v>-1.1400161E-4</v>
      </c>
      <c r="W253" s="3">
        <v>1.9366220999999999E-4</v>
      </c>
    </row>
    <row r="254" spans="1:23" x14ac:dyDescent="0.3">
      <c r="A254" s="17" t="s">
        <v>113</v>
      </c>
      <c r="C254" s="3">
        <v>64</v>
      </c>
      <c r="F254" s="3">
        <v>6.3792099999999996</v>
      </c>
      <c r="G254" s="16">
        <v>2909.63</v>
      </c>
      <c r="H254" s="18">
        <v>456112000</v>
      </c>
      <c r="I254" s="18">
        <v>5074.79</v>
      </c>
      <c r="J254" s="3">
        <v>5.7252807000000003E-2</v>
      </c>
      <c r="K254" s="3">
        <v>5.4278704000000004E-4</v>
      </c>
      <c r="L254" s="18">
        <v>6.8218035000000001E-6</v>
      </c>
      <c r="M254" s="18">
        <v>1.2386745E-7</v>
      </c>
      <c r="N254" s="18">
        <v>4.8524149999999997E-6</v>
      </c>
      <c r="O254" s="18">
        <v>7.8657088999999998E-7</v>
      </c>
      <c r="P254" s="3">
        <v>6.3631173999999999E-3</v>
      </c>
      <c r="Q254" s="3">
        <v>1.1041516E-4</v>
      </c>
      <c r="R254" s="3">
        <v>2.9631363999999998</v>
      </c>
      <c r="S254" s="3">
        <v>1.1545420000000001E-2</v>
      </c>
      <c r="T254" s="18">
        <v>3.2559588000000003E-8</v>
      </c>
      <c r="U254" s="18">
        <v>7.1447502999999999E-10</v>
      </c>
      <c r="V254" s="3">
        <v>-1.6488829E-4</v>
      </c>
      <c r="W254" s="3">
        <v>1.8430167E-4</v>
      </c>
    </row>
    <row r="255" spans="1:23" x14ac:dyDescent="0.3">
      <c r="A255" s="17" t="s">
        <v>113</v>
      </c>
      <c r="C255" s="3">
        <v>68</v>
      </c>
      <c r="F255" s="3">
        <v>6.3792099999999996</v>
      </c>
      <c r="G255" s="16">
        <v>2938.93</v>
      </c>
      <c r="H255" s="18">
        <v>460704000</v>
      </c>
      <c r="I255" s="18">
        <v>4122.3</v>
      </c>
      <c r="J255" s="3">
        <v>6.2539899999999995E-2</v>
      </c>
      <c r="K255" s="3">
        <v>6.2787274999999995E-4</v>
      </c>
      <c r="L255" s="18">
        <v>6.6851176000000001E-6</v>
      </c>
      <c r="M255" s="18">
        <v>1.2153646999999999E-7</v>
      </c>
      <c r="N255" s="18">
        <v>2.9074227000000001E-6</v>
      </c>
      <c r="O255" s="18">
        <v>8.7579628E-7</v>
      </c>
      <c r="P255" s="3">
        <v>6.4074657999999996E-3</v>
      </c>
      <c r="Q255" s="3">
        <v>1.0827047E-4</v>
      </c>
      <c r="R255" s="3">
        <v>0.99945691000000003</v>
      </c>
      <c r="S255" s="3">
        <v>1.0963696E-2</v>
      </c>
      <c r="T255" s="18">
        <v>3.7205436999999998E-8</v>
      </c>
      <c r="U255" s="18">
        <v>7.8274645999999996E-10</v>
      </c>
      <c r="V255" s="3">
        <v>-6.0256149000000004E-4</v>
      </c>
      <c r="W255" s="3">
        <v>2.0162718E-4</v>
      </c>
    </row>
    <row r="256" spans="1:23" x14ac:dyDescent="0.3">
      <c r="A256" s="17" t="s">
        <v>113</v>
      </c>
      <c r="C256" s="3">
        <v>72</v>
      </c>
      <c r="F256" s="3">
        <v>6.3792099999999996</v>
      </c>
      <c r="G256" s="16">
        <v>2927.01</v>
      </c>
      <c r="H256" s="18">
        <v>458836000</v>
      </c>
      <c r="I256" s="18">
        <v>3507.21</v>
      </c>
      <c r="J256" s="3">
        <v>6.3298784999999996E-2</v>
      </c>
      <c r="K256" s="3">
        <v>7.1112471000000003E-4</v>
      </c>
      <c r="L256" s="18">
        <v>7.0724885999999998E-6</v>
      </c>
      <c r="M256" s="18">
        <v>1.3162748000000001E-7</v>
      </c>
      <c r="N256" s="18">
        <v>7.543391E-6</v>
      </c>
      <c r="O256" s="18">
        <v>8.9451469E-7</v>
      </c>
      <c r="P256" s="3">
        <v>6.5861143999999998E-3</v>
      </c>
      <c r="Q256" s="3">
        <v>1.1345068E-4</v>
      </c>
      <c r="R256" s="3">
        <v>0.37876452999999999</v>
      </c>
      <c r="S256" s="3">
        <v>1.1063277999999999E-2</v>
      </c>
      <c r="T256" s="18">
        <v>3.8422012000000002E-8</v>
      </c>
      <c r="U256" s="18">
        <v>8.2351600000000003E-10</v>
      </c>
      <c r="V256" s="3">
        <v>-2.229752E-4</v>
      </c>
      <c r="W256" s="3">
        <v>1.9450395E-4</v>
      </c>
    </row>
    <row r="257" spans="1:23" x14ac:dyDescent="0.3">
      <c r="A257" s="17" t="s">
        <v>113</v>
      </c>
      <c r="C257" s="3">
        <v>76</v>
      </c>
      <c r="F257" s="3">
        <v>6.3792099999999996</v>
      </c>
      <c r="G257" s="16">
        <v>2882.75</v>
      </c>
      <c r="H257" s="18">
        <v>451898000</v>
      </c>
      <c r="I257" s="18">
        <v>5127.29</v>
      </c>
      <c r="J257" s="3">
        <v>6.0036091E-2</v>
      </c>
      <c r="K257" s="3">
        <v>6.0831467000000002E-4</v>
      </c>
      <c r="L257" s="18">
        <v>6.6276470000000001E-6</v>
      </c>
      <c r="M257" s="18">
        <v>1.2741851999999999E-7</v>
      </c>
      <c r="N257" s="18">
        <v>6.6682176000000003E-6</v>
      </c>
      <c r="O257" s="18">
        <v>8.4948639000000005E-7</v>
      </c>
      <c r="P257" s="3">
        <v>4.6496259E-3</v>
      </c>
      <c r="Q257" s="18">
        <v>9.9875832999999994E-5</v>
      </c>
      <c r="R257" s="3">
        <v>1.548252</v>
      </c>
      <c r="S257" s="3">
        <v>1.3882098000000001E-2</v>
      </c>
      <c r="T257" s="18">
        <v>4.1440791000000003E-8</v>
      </c>
      <c r="U257" s="18">
        <v>1.1288701000000001E-9</v>
      </c>
      <c r="V257" s="3">
        <v>-4.2835622E-4</v>
      </c>
      <c r="W257" s="3">
        <v>2.0335511E-4</v>
      </c>
    </row>
    <row r="258" spans="1:23" x14ac:dyDescent="0.3">
      <c r="A258" s="17" t="s">
        <v>113</v>
      </c>
      <c r="C258" s="3">
        <v>80</v>
      </c>
      <c r="F258" s="3">
        <v>6.3792099999999996</v>
      </c>
      <c r="G258" s="16">
        <v>3340.73</v>
      </c>
      <c r="H258" s="18">
        <v>523691000</v>
      </c>
      <c r="I258" s="18">
        <v>77319.100000000006</v>
      </c>
      <c r="J258" s="3">
        <v>5.3415944999999999E-2</v>
      </c>
      <c r="K258" s="3">
        <v>7.7859871000000001E-4</v>
      </c>
      <c r="L258" s="18">
        <v>6.9078286999999997E-6</v>
      </c>
      <c r="M258" s="18">
        <v>1.7246598000000001E-7</v>
      </c>
      <c r="N258" s="18">
        <v>5.4393879999999999E-8</v>
      </c>
      <c r="O258" s="18">
        <v>1.2811023E-6</v>
      </c>
      <c r="P258" s="3">
        <v>2.0561433E-3</v>
      </c>
      <c r="Q258" s="3">
        <v>1.5063117E-4</v>
      </c>
      <c r="R258" s="3">
        <v>-1.0607525</v>
      </c>
      <c r="S258" s="3">
        <v>4.7907320000000003E-2</v>
      </c>
      <c r="T258" s="18">
        <v>3.1450743000000002E-8</v>
      </c>
      <c r="U258" s="18">
        <v>2.8243955000000001E-9</v>
      </c>
      <c r="V258" s="3">
        <v>-1.9613431E-4</v>
      </c>
      <c r="W258" s="3">
        <v>2.3449030000000001E-4</v>
      </c>
    </row>
    <row r="259" spans="1:23" x14ac:dyDescent="0.3">
      <c r="A259" s="17" t="s">
        <v>113</v>
      </c>
      <c r="C259" s="3">
        <v>84</v>
      </c>
      <c r="F259" s="3">
        <v>6.3792099999999996</v>
      </c>
      <c r="G259" s="16">
        <v>3352.28</v>
      </c>
      <c r="H259" s="18">
        <v>525500000</v>
      </c>
      <c r="I259" s="18">
        <v>61013.4</v>
      </c>
      <c r="J259" s="3">
        <v>4.8933905E-2</v>
      </c>
      <c r="K259" s="18">
        <v>8.6420265999999997E-5</v>
      </c>
      <c r="L259" s="18">
        <v>6.8166720000000004E-6</v>
      </c>
      <c r="M259" s="18">
        <v>7.7869206E-8</v>
      </c>
      <c r="N259" s="18">
        <v>1.3441041E-10</v>
      </c>
      <c r="O259" s="3" t="s">
        <v>31</v>
      </c>
      <c r="P259" s="3">
        <v>2.2337157000000001E-3</v>
      </c>
      <c r="Q259" s="3">
        <v>1.377735E-4</v>
      </c>
      <c r="R259" s="3">
        <v>-0.13275692</v>
      </c>
      <c r="S259" s="3">
        <v>4.0614392999999999E-2</v>
      </c>
      <c r="T259" s="18">
        <v>2.8946482999999998E-8</v>
      </c>
      <c r="U259" s="18">
        <v>2.1840906999999999E-9</v>
      </c>
      <c r="V259" s="3">
        <v>-3.2035606000000002E-4</v>
      </c>
      <c r="W259" s="3">
        <v>1.2883902000000001E-4</v>
      </c>
    </row>
    <row r="260" spans="1:23" x14ac:dyDescent="0.3">
      <c r="A260" s="17" t="s">
        <v>113</v>
      </c>
      <c r="C260" s="3">
        <v>88</v>
      </c>
      <c r="F260" s="3">
        <v>6.3792099999999996</v>
      </c>
      <c r="G260" s="16">
        <v>3381.97</v>
      </c>
      <c r="H260" s="18">
        <v>530156000</v>
      </c>
      <c r="I260" s="18">
        <v>53707.9</v>
      </c>
      <c r="J260" s="3">
        <v>4.3068875E-2</v>
      </c>
      <c r="K260" s="3">
        <v>5.7452485000000005E-4</v>
      </c>
      <c r="L260" s="18">
        <v>6.4202329000000003E-6</v>
      </c>
      <c r="M260" s="18">
        <v>1.7004512E-7</v>
      </c>
      <c r="N260" s="18">
        <v>2.4928965999999998E-6</v>
      </c>
      <c r="O260" s="18">
        <v>1.1984122E-6</v>
      </c>
      <c r="P260" s="3">
        <v>2.5675368999999999E-3</v>
      </c>
      <c r="Q260" s="3">
        <v>1.5211932000000001E-4</v>
      </c>
      <c r="R260" s="3">
        <v>-1.4367452999999999</v>
      </c>
      <c r="S260" s="3">
        <v>3.8370889999999998E-2</v>
      </c>
      <c r="T260" s="18">
        <v>2.3508656999999999E-8</v>
      </c>
      <c r="U260" s="18">
        <v>1.6198478000000001E-9</v>
      </c>
      <c r="V260" s="3">
        <v>-6.4300869999999995E-4</v>
      </c>
      <c r="W260" s="3">
        <v>2.1022658999999999E-4</v>
      </c>
    </row>
    <row r="261" spans="1:23" x14ac:dyDescent="0.3">
      <c r="A261" s="17" t="s">
        <v>113</v>
      </c>
      <c r="C261" s="3">
        <v>92</v>
      </c>
      <c r="F261" s="3">
        <v>6.3792099999999996</v>
      </c>
      <c r="G261" s="16">
        <v>3425.27</v>
      </c>
      <c r="H261" s="18">
        <v>536943000</v>
      </c>
      <c r="I261" s="18">
        <v>73858</v>
      </c>
      <c r="J261" s="3">
        <v>4.4496115000000003E-2</v>
      </c>
      <c r="K261" s="3">
        <v>5.6758062000000005E-4</v>
      </c>
      <c r="L261" s="18">
        <v>7.2660187E-6</v>
      </c>
      <c r="M261" s="18">
        <v>1.5482076000000001E-7</v>
      </c>
      <c r="N261" s="18">
        <v>8.0178782999999996E-6</v>
      </c>
      <c r="O261" s="18">
        <v>9.8169961999999995E-7</v>
      </c>
      <c r="P261" s="3">
        <v>2.8501566000000002E-3</v>
      </c>
      <c r="Q261" s="3">
        <v>1.1196029E-4</v>
      </c>
      <c r="R261" s="3">
        <v>-0.32291060999999999</v>
      </c>
      <c r="S261" s="3">
        <v>3.9669468999999999E-2</v>
      </c>
      <c r="T261" s="18">
        <v>1.7967355999999999E-8</v>
      </c>
      <c r="U261" s="3" t="s">
        <v>31</v>
      </c>
      <c r="V261" s="3">
        <v>3.3239302999999999E-4</v>
      </c>
      <c r="W261" s="3">
        <v>1.5525108E-4</v>
      </c>
    </row>
    <row r="262" spans="1:23" x14ac:dyDescent="0.3">
      <c r="A262" s="17" t="s">
        <v>113</v>
      </c>
      <c r="C262" s="3">
        <v>96</v>
      </c>
      <c r="F262" s="3">
        <v>6.3792099999999996</v>
      </c>
      <c r="G262" s="16">
        <v>3477.5</v>
      </c>
      <c r="H262" s="18">
        <v>545130000</v>
      </c>
      <c r="I262" s="18">
        <v>25813.599999999999</v>
      </c>
      <c r="J262" s="3">
        <v>4.6955176000000001E-2</v>
      </c>
      <c r="K262" s="18">
        <v>7.7867292000000004E-5</v>
      </c>
      <c r="L262" s="18">
        <v>6.7434243000000002E-6</v>
      </c>
      <c r="M262" s="18">
        <v>7.4283959000000002E-8</v>
      </c>
      <c r="N262" s="18">
        <v>2.3782603999999999E-14</v>
      </c>
      <c r="O262" s="3" t="s">
        <v>31</v>
      </c>
      <c r="P262" s="3">
        <v>3.5010062000000002E-3</v>
      </c>
      <c r="Q262" s="3">
        <v>1.5885724999999999E-4</v>
      </c>
      <c r="R262" s="3">
        <v>2.796109</v>
      </c>
      <c r="S262" s="3">
        <v>2.8626339000000001E-2</v>
      </c>
      <c r="T262" s="18">
        <v>2.3737920999999999E-8</v>
      </c>
      <c r="U262" s="18">
        <v>1.1953935E-9</v>
      </c>
      <c r="V262" s="3">
        <v>-2.4691886999999999E-4</v>
      </c>
      <c r="W262" s="3">
        <v>1.1838044000000001E-4</v>
      </c>
    </row>
    <row r="263" spans="1:23" x14ac:dyDescent="0.3">
      <c r="A263" s="17" t="s">
        <v>113</v>
      </c>
      <c r="C263" s="3">
        <v>100</v>
      </c>
      <c r="F263" s="3">
        <v>6.3792099999999996</v>
      </c>
      <c r="G263" s="16">
        <v>3496.09</v>
      </c>
      <c r="H263" s="18">
        <v>548044000</v>
      </c>
      <c r="I263" s="18">
        <v>27749.1</v>
      </c>
      <c r="J263" s="3">
        <v>4.4010074000000003E-2</v>
      </c>
      <c r="K263" s="3">
        <v>5.7535544999999999E-4</v>
      </c>
      <c r="L263" s="18">
        <v>6.8605632000000003E-6</v>
      </c>
      <c r="M263" s="18">
        <v>1.6041631000000001E-7</v>
      </c>
      <c r="N263" s="18">
        <v>9.6589634000000004E-6</v>
      </c>
      <c r="O263" s="18">
        <v>1.0318546000000001E-6</v>
      </c>
      <c r="P263" s="3">
        <v>3.1872313000000001E-3</v>
      </c>
      <c r="Q263" s="3">
        <v>1.3667972000000001E-4</v>
      </c>
      <c r="R263" s="3">
        <v>-2.5740582000000001</v>
      </c>
      <c r="S263" s="3">
        <v>2.7906423999999999E-2</v>
      </c>
      <c r="T263" s="18">
        <v>2.4283918000000001E-8</v>
      </c>
      <c r="U263" s="18">
        <v>1.2135645999999999E-9</v>
      </c>
      <c r="V263" s="3">
        <v>-2.6462224999999998E-4</v>
      </c>
      <c r="W263" s="3">
        <v>1.7316616999999999E-4</v>
      </c>
    </row>
    <row r="264" spans="1:23" x14ac:dyDescent="0.3">
      <c r="A264" s="17" t="s">
        <v>113</v>
      </c>
      <c r="C264" s="3">
        <v>104</v>
      </c>
      <c r="F264" s="3">
        <v>6.3792099999999996</v>
      </c>
      <c r="G264" s="16">
        <v>3545.64</v>
      </c>
      <c r="H264" s="18">
        <v>555812000</v>
      </c>
      <c r="I264" s="18">
        <v>20135</v>
      </c>
      <c r="J264" s="3">
        <v>4.0930439999999998E-2</v>
      </c>
      <c r="K264" s="3">
        <v>6.9737911000000003E-4</v>
      </c>
      <c r="L264" s="18">
        <v>6.742322E-6</v>
      </c>
      <c r="M264" s="18">
        <v>1.8654805000000001E-7</v>
      </c>
      <c r="N264" s="18">
        <v>3.9000842000000002E-8</v>
      </c>
      <c r="O264" s="18">
        <v>1.5458741999999999E-6</v>
      </c>
      <c r="P264" s="3">
        <v>2.8609096999999998E-3</v>
      </c>
      <c r="Q264" s="3">
        <v>1.2478226999999999E-4</v>
      </c>
      <c r="R264" s="3">
        <v>1.4562145</v>
      </c>
      <c r="S264" s="3">
        <v>2.7765043999999999E-2</v>
      </c>
      <c r="T264" s="18">
        <v>3.1485279E-8</v>
      </c>
      <c r="U264" s="18">
        <v>1.6078394999999999E-9</v>
      </c>
      <c r="V264" s="3">
        <v>-2.5908080999999998E-4</v>
      </c>
      <c r="W264" s="3">
        <v>1.9719179E-4</v>
      </c>
    </row>
    <row r="265" spans="1:23" x14ac:dyDescent="0.3">
      <c r="A265" s="17" t="s">
        <v>113</v>
      </c>
      <c r="C265" s="3">
        <v>108</v>
      </c>
      <c r="F265" s="3">
        <v>6.3792099999999996</v>
      </c>
      <c r="G265" s="16">
        <v>3567.4</v>
      </c>
      <c r="H265" s="18">
        <v>559223000</v>
      </c>
      <c r="I265" s="18">
        <v>30002.1</v>
      </c>
      <c r="J265" s="3">
        <v>3.5578673999999998E-2</v>
      </c>
      <c r="K265" s="18">
        <v>7.6155137E-5</v>
      </c>
      <c r="L265" s="18">
        <v>7.1249167000000002E-6</v>
      </c>
      <c r="M265" s="18">
        <v>9.6918963999999998E-8</v>
      </c>
      <c r="N265" s="18">
        <v>2.3636131E-14</v>
      </c>
      <c r="O265" s="3" t="s">
        <v>31</v>
      </c>
      <c r="P265" s="3">
        <v>2.2337125999999999E-3</v>
      </c>
      <c r="Q265" s="3">
        <v>1.1182413E-4</v>
      </c>
      <c r="R265" s="3">
        <v>-2.1121574000000001</v>
      </c>
      <c r="S265" s="3">
        <v>3.3041498000000002E-2</v>
      </c>
      <c r="T265" s="18">
        <v>3.3296773999999998E-8</v>
      </c>
      <c r="U265" s="18">
        <v>2.0730668E-9</v>
      </c>
      <c r="V265" s="3">
        <v>1.9535264999999999E-4</v>
      </c>
      <c r="W265" s="3">
        <v>1.0817036E-4</v>
      </c>
    </row>
    <row r="266" spans="1:23" x14ac:dyDescent="0.3">
      <c r="A266" s="17" t="s">
        <v>113</v>
      </c>
      <c r="C266" s="3">
        <v>112</v>
      </c>
      <c r="F266" s="3">
        <v>6.3792099999999996</v>
      </c>
      <c r="G266" s="16">
        <v>3496.81</v>
      </c>
      <c r="H266" s="18">
        <v>548157000</v>
      </c>
      <c r="I266" s="18">
        <v>412048</v>
      </c>
      <c r="J266" s="3">
        <v>5.2382449999999997E-2</v>
      </c>
      <c r="K266" s="3">
        <v>1.0811701E-3</v>
      </c>
      <c r="L266" s="18">
        <v>7.4985235000000004E-6</v>
      </c>
      <c r="M266" s="18">
        <v>2.0954733E-7</v>
      </c>
      <c r="N266" s="18">
        <v>8.4883941000000001E-6</v>
      </c>
      <c r="O266" s="18">
        <v>1.6042311E-6</v>
      </c>
      <c r="P266" s="3">
        <v>1.8920034000000001E-3</v>
      </c>
      <c r="Q266" s="3">
        <v>2.4431852000000002E-4</v>
      </c>
      <c r="R266" s="3">
        <v>1.4571854</v>
      </c>
      <c r="S266" s="3">
        <v>7.7546830999999997E-2</v>
      </c>
      <c r="T266" s="18">
        <v>2.1882043000000001E-8</v>
      </c>
      <c r="U266" s="18">
        <v>2.9296203000000002E-9</v>
      </c>
      <c r="V266" s="18">
        <v>-2.8225476999999999E-6</v>
      </c>
      <c r="W266" s="3">
        <v>2.2050746E-4</v>
      </c>
    </row>
    <row r="267" spans="1:23" x14ac:dyDescent="0.3">
      <c r="A267" s="17" t="s">
        <v>113</v>
      </c>
      <c r="C267" s="3">
        <v>116</v>
      </c>
      <c r="F267" s="3">
        <v>6.3792099999999996</v>
      </c>
      <c r="G267" s="16">
        <v>2950.25</v>
      </c>
      <c r="H267" s="18">
        <v>462478000</v>
      </c>
      <c r="I267" s="18">
        <v>7582.2</v>
      </c>
      <c r="J267" s="3">
        <v>4.6854962E-2</v>
      </c>
      <c r="K267" s="3">
        <v>5.7556779999999997E-4</v>
      </c>
      <c r="L267" s="18">
        <v>6.9896554000000002E-6</v>
      </c>
      <c r="M267" s="18">
        <v>1.4940786000000001E-7</v>
      </c>
      <c r="N267" s="18">
        <v>3.8682454E-6</v>
      </c>
      <c r="O267" s="18">
        <v>1.021565E-6</v>
      </c>
      <c r="P267" s="3">
        <v>5.3055391999999998E-3</v>
      </c>
      <c r="Q267" s="3">
        <v>1.1839768000000001E-4</v>
      </c>
      <c r="R267" s="3">
        <v>2.0045525</v>
      </c>
      <c r="S267" s="3">
        <v>1.4352082E-2</v>
      </c>
      <c r="T267" s="18">
        <v>2.9925667000000002E-8</v>
      </c>
      <c r="U267" s="18">
        <v>8.1329256000000002E-10</v>
      </c>
      <c r="V267" s="3">
        <v>-4.1192664E-4</v>
      </c>
      <c r="W267" s="3">
        <v>1.7234936E-4</v>
      </c>
    </row>
    <row r="268" spans="1:23" x14ac:dyDescent="0.3">
      <c r="A268" s="17" t="s">
        <v>113</v>
      </c>
      <c r="C268" s="3">
        <v>120</v>
      </c>
      <c r="F268" s="3">
        <v>6.3792099999999996</v>
      </c>
      <c r="G268" s="16">
        <v>3009.35</v>
      </c>
      <c r="H268" s="18">
        <v>471744000</v>
      </c>
      <c r="I268" s="18">
        <v>4991.28</v>
      </c>
      <c r="J268" s="3">
        <v>5.1838228E-2</v>
      </c>
      <c r="K268" s="3">
        <v>6.2757269999999998E-4</v>
      </c>
      <c r="L268" s="18">
        <v>7.6483121000000004E-6</v>
      </c>
      <c r="M268" s="18">
        <v>1.4081108E-7</v>
      </c>
      <c r="N268" s="18">
        <v>9.9669969999999997E-6</v>
      </c>
      <c r="O268" s="18">
        <v>8.8206927000000001E-7</v>
      </c>
      <c r="P268" s="3">
        <v>6.4264109999999999E-3</v>
      </c>
      <c r="Q268" s="3">
        <v>1.1578172E-4</v>
      </c>
      <c r="R268" s="3">
        <v>1.2715312000000001</v>
      </c>
      <c r="S268" s="3">
        <v>1.1581378E-2</v>
      </c>
      <c r="T268" s="18">
        <v>3.0699937999999997E-8</v>
      </c>
      <c r="U268" s="18">
        <v>6.7443003999999999E-10</v>
      </c>
      <c r="V268" s="18">
        <v>-6.1904011999999998E-7</v>
      </c>
      <c r="W268" s="3">
        <v>1.4716704E-4</v>
      </c>
    </row>
    <row r="269" spans="1:23" x14ac:dyDescent="0.3">
      <c r="A269" s="17" t="s">
        <v>113</v>
      </c>
      <c r="C269" s="3">
        <v>124</v>
      </c>
      <c r="F269" s="3">
        <v>6.3792099999999996</v>
      </c>
      <c r="G269" s="16">
        <v>3027.71</v>
      </c>
      <c r="H269" s="18">
        <v>474622000</v>
      </c>
      <c r="I269" s="18">
        <v>4366.7299999999996</v>
      </c>
      <c r="J269" s="3">
        <v>4.7529872000000001E-2</v>
      </c>
      <c r="K269" s="3">
        <v>5.7359713000000004E-4</v>
      </c>
      <c r="L269" s="18">
        <v>7.0879306000000004E-6</v>
      </c>
      <c r="M269" s="18">
        <v>1.4367847999999999E-7</v>
      </c>
      <c r="N269" s="18">
        <v>6.0037448999999996E-6</v>
      </c>
      <c r="O269" s="18">
        <v>9.7304097000000001E-7</v>
      </c>
      <c r="P269" s="3">
        <v>8.0593044999999995E-3</v>
      </c>
      <c r="Q269" s="3">
        <v>1.2088425999999999E-4</v>
      </c>
      <c r="R269" s="3">
        <v>0.89908860000000002</v>
      </c>
      <c r="S269" s="3">
        <v>9.6226035000000001E-3</v>
      </c>
      <c r="T269" s="18">
        <v>2.7766165000000002E-8</v>
      </c>
      <c r="U269" s="18">
        <v>4.9713028999999997E-10</v>
      </c>
      <c r="V269" s="3">
        <v>-4.1218344000000002E-4</v>
      </c>
      <c r="W269" s="3">
        <v>1.6120713000000001E-4</v>
      </c>
    </row>
    <row r="270" spans="1:23" x14ac:dyDescent="0.3">
      <c r="A270" s="17" t="s">
        <v>113</v>
      </c>
      <c r="C270" s="3">
        <v>128</v>
      </c>
      <c r="F270" s="3">
        <v>6.3792099999999996</v>
      </c>
      <c r="G270" s="16">
        <v>3023.74</v>
      </c>
      <c r="H270" s="18">
        <v>473999000</v>
      </c>
      <c r="I270" s="18">
        <v>3775.19</v>
      </c>
      <c r="J270" s="3">
        <v>5.4867238999999998E-2</v>
      </c>
      <c r="K270" s="3">
        <v>6.2072148E-4</v>
      </c>
      <c r="L270" s="18">
        <v>7.4634372999999998E-6</v>
      </c>
      <c r="M270" s="18">
        <v>1.3432322000000001E-7</v>
      </c>
      <c r="N270" s="18">
        <v>9.2747707000000006E-6</v>
      </c>
      <c r="O270" s="18">
        <v>8.4319884999999999E-7</v>
      </c>
      <c r="P270" s="3">
        <v>8.5020149999999999E-3</v>
      </c>
      <c r="Q270" s="3">
        <v>1.1615324E-4</v>
      </c>
      <c r="R270" s="3">
        <v>1.4984930999999999</v>
      </c>
      <c r="S270" s="3">
        <v>8.8099518000000002E-3</v>
      </c>
      <c r="T270" s="18">
        <v>3.1242368000000001E-8</v>
      </c>
      <c r="U270" s="18">
        <v>5.2360299999999995E-10</v>
      </c>
      <c r="V270" s="3">
        <v>5.1926505999999996E-4</v>
      </c>
      <c r="W270" s="3">
        <v>1.5652031000000001E-4</v>
      </c>
    </row>
    <row r="271" spans="1:23" x14ac:dyDescent="0.3">
      <c r="A271" s="17" t="s">
        <v>113</v>
      </c>
      <c r="C271" s="3">
        <v>132</v>
      </c>
      <c r="F271" s="3">
        <v>6.3792099999999996</v>
      </c>
      <c r="G271" s="16">
        <v>2991.44</v>
      </c>
      <c r="H271" s="18">
        <v>468935000</v>
      </c>
      <c r="I271" s="18">
        <v>6900.2</v>
      </c>
      <c r="J271" s="3">
        <v>5.8824078000000002E-2</v>
      </c>
      <c r="K271" s="3">
        <v>8.0225619E-4</v>
      </c>
      <c r="L271" s="18">
        <v>6.9648813000000004E-6</v>
      </c>
      <c r="M271" s="18">
        <v>1.4619952E-7</v>
      </c>
      <c r="N271" s="18">
        <v>6.1328459E-6</v>
      </c>
      <c r="O271" s="18">
        <v>1.1364409999999999E-6</v>
      </c>
      <c r="P271" s="3">
        <v>1.0897496E-2</v>
      </c>
      <c r="Q271" s="3">
        <v>1.8255627000000001E-4</v>
      </c>
      <c r="R271" s="3">
        <v>-1.7041421999999999</v>
      </c>
      <c r="S271" s="3">
        <v>1.0157008E-2</v>
      </c>
      <c r="T271" s="18">
        <v>2.3326947000000001E-8</v>
      </c>
      <c r="U271" s="18">
        <v>4.1625219000000002E-10</v>
      </c>
      <c r="V271" s="3">
        <v>-2.3296273999999999E-4</v>
      </c>
      <c r="W271" s="3">
        <v>2.0187067E-4</v>
      </c>
    </row>
    <row r="272" spans="1:23" x14ac:dyDescent="0.3">
      <c r="A272" s="17" t="s">
        <v>113</v>
      </c>
      <c r="C272" s="3">
        <v>136</v>
      </c>
      <c r="F272" s="3">
        <v>6.3792099999999996</v>
      </c>
      <c r="G272" s="16">
        <v>2952.67</v>
      </c>
      <c r="H272" s="18">
        <v>462858000</v>
      </c>
      <c r="I272" s="18">
        <v>4749.49</v>
      </c>
      <c r="J272" s="3">
        <v>4.1321740000000003E-2</v>
      </c>
      <c r="K272" s="3">
        <v>6.6290855E-4</v>
      </c>
      <c r="L272" s="18">
        <v>8.0841229000000007E-6</v>
      </c>
      <c r="M272" s="18">
        <v>1.7107664000000001E-7</v>
      </c>
      <c r="N272" s="18">
        <v>3.9787683999999996E-6</v>
      </c>
      <c r="O272" s="18">
        <v>1.2335111E-6</v>
      </c>
      <c r="P272" s="3">
        <v>7.2990444000000003E-3</v>
      </c>
      <c r="Q272" s="3">
        <v>1.1709422E-4</v>
      </c>
      <c r="R272" s="3">
        <v>0.85232993999999995</v>
      </c>
      <c r="S272" s="3">
        <v>1.0233427E-2</v>
      </c>
      <c r="T272" s="18">
        <v>2.9816124999999997E-8</v>
      </c>
      <c r="U272" s="18">
        <v>5.7486834999999999E-10</v>
      </c>
      <c r="V272" s="3">
        <v>3.4784360000000001E-4</v>
      </c>
      <c r="W272" s="3">
        <v>1.3126621E-4</v>
      </c>
    </row>
    <row r="273" spans="1:23" x14ac:dyDescent="0.3">
      <c r="A273" s="17" t="s">
        <v>113</v>
      </c>
      <c r="C273" s="3">
        <v>140</v>
      </c>
      <c r="F273" s="3">
        <v>6.3792099999999996</v>
      </c>
      <c r="G273" s="16">
        <v>2889.2</v>
      </c>
      <c r="H273" s="18">
        <v>452908000</v>
      </c>
      <c r="I273" s="18">
        <v>4892.1400000000003</v>
      </c>
      <c r="J273" s="3">
        <v>4.819478E-2</v>
      </c>
      <c r="K273" s="3">
        <v>6.5679447000000001E-4</v>
      </c>
      <c r="L273" s="18">
        <v>6.9539215000000001E-6</v>
      </c>
      <c r="M273" s="18">
        <v>1.5871308E-7</v>
      </c>
      <c r="N273" s="18">
        <v>9.0759411999999995E-7</v>
      </c>
      <c r="O273" s="18">
        <v>1.1839983E-6</v>
      </c>
      <c r="P273" s="3">
        <v>7.8543533000000002E-3</v>
      </c>
      <c r="Q273" s="3">
        <v>1.3101618000000001E-4</v>
      </c>
      <c r="R273" s="3">
        <v>1.0921129999999999</v>
      </c>
      <c r="S273" s="3">
        <v>1.0620545E-2</v>
      </c>
      <c r="T273" s="18">
        <v>3.0050248999999998E-8</v>
      </c>
      <c r="U273" s="18">
        <v>6.0132099000000001E-10</v>
      </c>
      <c r="V273" s="3">
        <v>-6.4587629999999997E-4</v>
      </c>
      <c r="W273" s="3">
        <v>1.9073498000000001E-4</v>
      </c>
    </row>
    <row r="274" spans="1:23" x14ac:dyDescent="0.3">
      <c r="A274" s="17" t="s">
        <v>113</v>
      </c>
      <c r="C274" s="3">
        <v>144</v>
      </c>
      <c r="F274" s="3">
        <v>6.3792099999999996</v>
      </c>
      <c r="G274" s="16">
        <v>2825.65</v>
      </c>
      <c r="H274" s="18">
        <v>442947000</v>
      </c>
      <c r="I274" s="18">
        <v>11465.9</v>
      </c>
      <c r="J274" s="3">
        <v>5.0697701999999997E-2</v>
      </c>
      <c r="K274" s="3">
        <v>6.4315371999999998E-4</v>
      </c>
      <c r="L274" s="18">
        <v>6.9242086000000004E-6</v>
      </c>
      <c r="M274" s="18">
        <v>1.4769112999999999E-7</v>
      </c>
      <c r="N274" s="18">
        <v>1.4765286E-6</v>
      </c>
      <c r="O274" s="18">
        <v>1.0992166000000001E-6</v>
      </c>
      <c r="P274" s="3">
        <v>8.4538440000000003E-3</v>
      </c>
      <c r="Q274" s="3">
        <v>1.1833874E-4</v>
      </c>
      <c r="R274" s="3">
        <v>1.6349916</v>
      </c>
      <c r="S274" s="3">
        <v>1.3843265E-2</v>
      </c>
      <c r="T274" s="18">
        <v>1.9581272999999999E-8</v>
      </c>
      <c r="U274" s="3" t="s">
        <v>31</v>
      </c>
      <c r="V274" s="3">
        <v>-2.0033458E-4</v>
      </c>
      <c r="W274" s="3">
        <v>1.8730784000000001E-4</v>
      </c>
    </row>
    <row r="275" spans="1:23" x14ac:dyDescent="0.3">
      <c r="A275" s="17" t="s">
        <v>113</v>
      </c>
      <c r="C275" s="3">
        <v>148</v>
      </c>
      <c r="F275" s="3">
        <v>6.3792099999999996</v>
      </c>
      <c r="G275" s="16">
        <v>2914.15</v>
      </c>
      <c r="H275" s="18">
        <v>456819000</v>
      </c>
      <c r="I275" s="18">
        <v>26041</v>
      </c>
      <c r="J275" s="3">
        <v>5.9676891000000003E-2</v>
      </c>
      <c r="K275" s="3">
        <v>6.7540305E-4</v>
      </c>
      <c r="L275" s="18">
        <v>7.1469634999999997E-6</v>
      </c>
      <c r="M275" s="18">
        <v>1.3574554E-7</v>
      </c>
      <c r="N275" s="18">
        <v>7.5777232999999997E-6</v>
      </c>
      <c r="O275" s="18">
        <v>8.8902004999999997E-7</v>
      </c>
      <c r="P275" s="3">
        <v>9.3097114999999998E-3</v>
      </c>
      <c r="Q275" s="3">
        <v>1.7275545000000001E-4</v>
      </c>
      <c r="R275" s="3">
        <v>1.7313627</v>
      </c>
      <c r="S275" s="3">
        <v>1.8118782E-2</v>
      </c>
      <c r="T275" s="18">
        <v>1.4047556E-8</v>
      </c>
      <c r="U275" s="3" t="s">
        <v>31</v>
      </c>
      <c r="V275" s="3">
        <v>-1.9637197999999999E-4</v>
      </c>
      <c r="W275" s="3">
        <v>1.8727722E-4</v>
      </c>
    </row>
    <row r="276" spans="1:23" x14ac:dyDescent="0.3">
      <c r="A276" s="17" t="s">
        <v>113</v>
      </c>
      <c r="C276" s="3">
        <v>152</v>
      </c>
      <c r="F276" s="3">
        <v>6.3792099999999996</v>
      </c>
      <c r="G276" s="16">
        <v>2754.28</v>
      </c>
      <c r="H276" s="18">
        <v>431758000</v>
      </c>
      <c r="I276" s="18">
        <v>4773.12</v>
      </c>
      <c r="J276" s="3">
        <v>5.8279961999999998E-2</v>
      </c>
      <c r="K276" s="3">
        <v>7.1553706999999997E-4</v>
      </c>
      <c r="L276" s="18">
        <v>7.0059186999999998E-6</v>
      </c>
      <c r="M276" s="18">
        <v>1.4637300999999999E-7</v>
      </c>
      <c r="N276" s="18">
        <v>6.9881075999999997E-6</v>
      </c>
      <c r="O276" s="18">
        <v>9.8787380999999997E-7</v>
      </c>
      <c r="P276" s="3">
        <v>6.1087381000000003E-3</v>
      </c>
      <c r="Q276" s="3">
        <v>1.1551825E-4</v>
      </c>
      <c r="R276" s="3">
        <v>2.2231331000000001</v>
      </c>
      <c r="S276" s="3">
        <v>1.2163332000000001E-2</v>
      </c>
      <c r="T276" s="18">
        <v>3.9102617000000003E-8</v>
      </c>
      <c r="U276" s="18">
        <v>9.2631405000000003E-10</v>
      </c>
      <c r="V276" s="3">
        <v>-1.9334539E-4</v>
      </c>
      <c r="W276" s="3">
        <v>2.0399386E-4</v>
      </c>
    </row>
    <row r="277" spans="1:23" x14ac:dyDescent="0.3">
      <c r="A277" s="17" t="s">
        <v>113</v>
      </c>
      <c r="C277" s="3">
        <v>156</v>
      </c>
      <c r="F277" s="3">
        <v>6.3792099999999996</v>
      </c>
      <c r="G277" s="16">
        <v>2733.49</v>
      </c>
      <c r="H277" s="18">
        <v>428500000</v>
      </c>
      <c r="I277" s="18">
        <v>6004.22</v>
      </c>
      <c r="J277" s="3">
        <v>6.1067771999999999E-2</v>
      </c>
      <c r="K277" s="3">
        <v>7.0104016000000001E-4</v>
      </c>
      <c r="L277" s="18">
        <v>6.9820981999999999E-6</v>
      </c>
      <c r="M277" s="18">
        <v>1.4025257999999999E-7</v>
      </c>
      <c r="N277" s="18">
        <v>5.9432551999999996E-6</v>
      </c>
      <c r="O277" s="18">
        <v>9.3298182000000002E-7</v>
      </c>
      <c r="P277" s="3">
        <v>6.3721259000000001E-3</v>
      </c>
      <c r="Q277" s="3">
        <v>1.2816592999999999E-4</v>
      </c>
      <c r="R277" s="3">
        <v>-3.0976450999999998</v>
      </c>
      <c r="S277" s="3">
        <v>1.2970679000000001E-2</v>
      </c>
      <c r="T277" s="18">
        <v>3.4595024999999998E-8</v>
      </c>
      <c r="U277" s="18">
        <v>8.6390092999999999E-10</v>
      </c>
      <c r="V277" s="3">
        <v>-1.5057933999999999E-4</v>
      </c>
      <c r="W277" s="3">
        <v>2.0884891999999999E-4</v>
      </c>
    </row>
    <row r="278" spans="1:23" x14ac:dyDescent="0.3">
      <c r="A278" s="17" t="s">
        <v>113</v>
      </c>
      <c r="C278" s="3">
        <v>160</v>
      </c>
      <c r="F278" s="3">
        <v>6.3792099999999996</v>
      </c>
      <c r="G278" s="16">
        <v>2714.5</v>
      </c>
      <c r="H278" s="18">
        <v>425522000</v>
      </c>
      <c r="I278" s="18">
        <v>6407.83</v>
      </c>
      <c r="J278" s="3">
        <v>5.7216465000000001E-2</v>
      </c>
      <c r="K278" s="3">
        <v>5.6522951000000001E-4</v>
      </c>
      <c r="L278" s="18">
        <v>6.6219473000000001E-6</v>
      </c>
      <c r="M278" s="18">
        <v>1.2640492E-7</v>
      </c>
      <c r="N278" s="18">
        <v>7.7200173000000003E-6</v>
      </c>
      <c r="O278" s="18">
        <v>8.1639224000000005E-7</v>
      </c>
      <c r="P278" s="3">
        <v>5.3566157000000001E-3</v>
      </c>
      <c r="Q278" s="3">
        <v>1.0869878E-4</v>
      </c>
      <c r="R278" s="3">
        <v>2.9570012999999999</v>
      </c>
      <c r="S278" s="3">
        <v>1.3067527000000001E-2</v>
      </c>
      <c r="T278" s="18">
        <v>3.4266953999999997E-8</v>
      </c>
      <c r="U278" s="18">
        <v>8.598945E-10</v>
      </c>
      <c r="V278" s="3">
        <v>-7.7209209999999997E-4</v>
      </c>
      <c r="W278" s="3">
        <v>1.9221593E-4</v>
      </c>
    </row>
    <row r="279" spans="1:23" x14ac:dyDescent="0.3">
      <c r="A279" s="17" t="s">
        <v>113</v>
      </c>
      <c r="C279" s="3">
        <v>164</v>
      </c>
      <c r="F279" s="3">
        <v>6.3792099999999996</v>
      </c>
      <c r="G279" s="16">
        <v>2686.93</v>
      </c>
      <c r="H279" s="18">
        <v>421201000</v>
      </c>
      <c r="I279" s="18">
        <v>14822.3</v>
      </c>
      <c r="J279" s="3">
        <v>5.4424822999999997E-2</v>
      </c>
      <c r="K279" s="3">
        <v>5.7275393000000003E-4</v>
      </c>
      <c r="L279" s="18">
        <v>6.9225030000000001E-6</v>
      </c>
      <c r="M279" s="18">
        <v>1.3076685000000001E-7</v>
      </c>
      <c r="N279" s="18">
        <v>8.1637513000000005E-6</v>
      </c>
      <c r="O279" s="18">
        <v>8.3706087000000004E-7</v>
      </c>
      <c r="P279" s="3">
        <v>4.5529152000000003E-3</v>
      </c>
      <c r="Q279" s="3">
        <v>1.2778997999999999E-4</v>
      </c>
      <c r="R279" s="3">
        <v>-2.8170277000000001</v>
      </c>
      <c r="S279" s="3">
        <v>1.7917760000000001E-2</v>
      </c>
      <c r="T279" s="18">
        <v>2.7198542E-8</v>
      </c>
      <c r="U279" s="18">
        <v>9.1107729999999999E-10</v>
      </c>
      <c r="V279" s="18">
        <v>6.2943847000000001E-5</v>
      </c>
      <c r="W279" s="3">
        <v>1.7439395000000001E-4</v>
      </c>
    </row>
    <row r="280" spans="1:23" x14ac:dyDescent="0.3">
      <c r="A280" s="17" t="s">
        <v>113</v>
      </c>
      <c r="C280" s="3">
        <v>168</v>
      </c>
      <c r="F280" s="3">
        <v>6.3792099999999996</v>
      </c>
      <c r="G280" s="16">
        <v>2728.17</v>
      </c>
      <c r="H280" s="18">
        <v>427666000</v>
      </c>
      <c r="I280" s="18">
        <v>10127.299999999999</v>
      </c>
      <c r="J280" s="3">
        <v>6.0875374000000003E-2</v>
      </c>
      <c r="K280" s="3">
        <v>8.3137814E-4</v>
      </c>
      <c r="L280" s="18">
        <v>6.3908081E-6</v>
      </c>
      <c r="M280" s="18">
        <v>1.7918546E-7</v>
      </c>
      <c r="N280" s="18">
        <v>6.4199019999999998E-6</v>
      </c>
      <c r="O280" s="18">
        <v>1.1774996999999999E-6</v>
      </c>
      <c r="P280" s="18">
        <v>5.5277371999999997E-9</v>
      </c>
      <c r="Q280" s="3" t="s">
        <v>31</v>
      </c>
      <c r="R280" s="3">
        <v>6.2831558000000003</v>
      </c>
      <c r="S280" s="3">
        <v>191520.1</v>
      </c>
      <c r="T280" s="18">
        <v>5.0000341000000002E-9</v>
      </c>
      <c r="U280" s="3" t="s">
        <v>31</v>
      </c>
      <c r="V280" s="3">
        <v>-1.0248162000000001E-3</v>
      </c>
      <c r="W280" s="3">
        <v>3.1081373000000002E-4</v>
      </c>
    </row>
    <row r="281" spans="1:23" x14ac:dyDescent="0.3">
      <c r="A281" s="17" t="s">
        <v>113</v>
      </c>
      <c r="C281" s="3">
        <v>172</v>
      </c>
      <c r="F281" s="3">
        <v>6.3792099999999996</v>
      </c>
      <c r="G281" s="16">
        <v>2689.63</v>
      </c>
      <c r="H281" s="18">
        <v>421624000</v>
      </c>
      <c r="I281" s="18">
        <v>24568.1</v>
      </c>
      <c r="J281" s="3">
        <v>6.6498552000000002E-2</v>
      </c>
      <c r="K281" s="3">
        <v>6.6181864000000004E-4</v>
      </c>
      <c r="L281" s="18">
        <v>7.1513464000000002E-6</v>
      </c>
      <c r="M281" s="18">
        <v>1.2267114000000001E-7</v>
      </c>
      <c r="N281" s="18">
        <v>1.1942645E-5</v>
      </c>
      <c r="O281" s="18">
        <v>7.3739985000000001E-7</v>
      </c>
      <c r="P281" s="3">
        <v>4.8470859999999996E-3</v>
      </c>
      <c r="Q281" s="3">
        <v>1.8023944000000001E-4</v>
      </c>
      <c r="R281" s="3">
        <v>-2.5692065999999998</v>
      </c>
      <c r="S281" s="3">
        <v>2.3404590999999999E-2</v>
      </c>
      <c r="T281" s="18">
        <v>2.0905474E-8</v>
      </c>
      <c r="U281" s="18">
        <v>8.7866368E-10</v>
      </c>
      <c r="V281" s="3">
        <v>2.6669893000000002E-4</v>
      </c>
      <c r="W281" s="3">
        <v>1.8475607E-4</v>
      </c>
    </row>
    <row r="282" spans="1:23" x14ac:dyDescent="0.3">
      <c r="A282" s="17" t="s">
        <v>113</v>
      </c>
      <c r="C282" s="3">
        <v>176</v>
      </c>
      <c r="F282" s="3">
        <v>6.3792099999999996</v>
      </c>
      <c r="G282" s="16">
        <v>2698.6</v>
      </c>
      <c r="H282" s="18">
        <v>423030000</v>
      </c>
      <c r="I282" s="18">
        <v>36868.5</v>
      </c>
      <c r="J282" s="3">
        <v>6.1953458000000003E-2</v>
      </c>
      <c r="K282" s="3">
        <v>6.1635688000000004E-4</v>
      </c>
      <c r="L282" s="18">
        <v>6.6117791999999999E-6</v>
      </c>
      <c r="M282" s="18">
        <v>1.2616682E-7</v>
      </c>
      <c r="N282" s="18">
        <v>7.1263848999999999E-6</v>
      </c>
      <c r="O282" s="18">
        <v>8.3000138000000002E-7</v>
      </c>
      <c r="P282" s="3">
        <v>5.8250296E-3</v>
      </c>
      <c r="Q282" s="3">
        <v>1.4327517E-4</v>
      </c>
      <c r="R282" s="3">
        <v>-2.8909353000000002</v>
      </c>
      <c r="S282" s="3">
        <v>2.4178472999999999E-2</v>
      </c>
      <c r="T282" s="18">
        <v>1.6425472000000001E-8</v>
      </c>
      <c r="U282" s="3" t="s">
        <v>31</v>
      </c>
      <c r="V282" s="3">
        <v>-3.7836419000000001E-4</v>
      </c>
      <c r="W282" s="3">
        <v>2.0844534E-4</v>
      </c>
    </row>
    <row r="283" spans="1:23" x14ac:dyDescent="0.3">
      <c r="A283" s="17" t="s">
        <v>113</v>
      </c>
      <c r="C283" s="3">
        <v>180</v>
      </c>
      <c r="F283" s="3">
        <v>6.3792099999999996</v>
      </c>
      <c r="G283" s="16">
        <v>2654.38</v>
      </c>
      <c r="H283" s="18">
        <v>416098000</v>
      </c>
      <c r="I283" s="18">
        <v>78080.899999999994</v>
      </c>
      <c r="J283" s="3">
        <v>6.5968937000000005E-2</v>
      </c>
      <c r="K283" s="3">
        <v>6.1336053000000002E-4</v>
      </c>
      <c r="L283" s="18">
        <v>6.7525407E-6</v>
      </c>
      <c r="M283" s="18">
        <v>1.1532335000000001E-7</v>
      </c>
      <c r="N283" s="18">
        <v>6.4852180000000003E-6</v>
      </c>
      <c r="O283" s="18">
        <v>7.7009699000000003E-7</v>
      </c>
      <c r="P283" s="3">
        <v>6.3746141999999999E-3</v>
      </c>
      <c r="Q283" s="3">
        <v>1.9999393999999999E-4</v>
      </c>
      <c r="R283" s="3">
        <v>-2.5566124000000001</v>
      </c>
      <c r="S283" s="3">
        <v>3.0592667E-2</v>
      </c>
      <c r="T283" s="18">
        <v>1.182975E-8</v>
      </c>
      <c r="U283" s="3" t="s">
        <v>31</v>
      </c>
      <c r="V283" s="3">
        <v>-3.9677916E-4</v>
      </c>
      <c r="W283" s="3">
        <v>1.9579704E-4</v>
      </c>
    </row>
    <row r="284" spans="1:23" x14ac:dyDescent="0.3">
      <c r="A284" s="17" t="s">
        <v>113</v>
      </c>
      <c r="C284" s="3">
        <v>184</v>
      </c>
      <c r="F284" s="3">
        <v>6.3792099999999996</v>
      </c>
      <c r="G284" s="16">
        <v>2662.52</v>
      </c>
      <c r="H284" s="18">
        <v>417374000</v>
      </c>
      <c r="I284" s="18">
        <v>41337.4</v>
      </c>
      <c r="J284" s="3">
        <v>4.3714416999999998E-2</v>
      </c>
      <c r="K284" s="3">
        <v>5.6392732000000001E-4</v>
      </c>
      <c r="L284" s="18">
        <v>6.6118666000000001E-6</v>
      </c>
      <c r="M284" s="18">
        <v>1.5561632E-7</v>
      </c>
      <c r="N284" s="18">
        <v>2.2712446E-6</v>
      </c>
      <c r="O284" s="18">
        <v>1.1425786999999999E-6</v>
      </c>
      <c r="P284" s="3">
        <v>2.6341454999999998E-3</v>
      </c>
      <c r="Q284" s="3">
        <v>1.4020910999999999E-4</v>
      </c>
      <c r="R284" s="3">
        <v>2.4085030000000001</v>
      </c>
      <c r="S284" s="3">
        <v>3.3309190000000002E-2</v>
      </c>
      <c r="T284" s="18">
        <v>2.4284199999999999E-8</v>
      </c>
      <c r="U284" s="18">
        <v>1.4751470000000001E-9</v>
      </c>
      <c r="V284" s="3">
        <v>-1.0371498E-4</v>
      </c>
      <c r="W284" s="3">
        <v>1.8395624999999999E-4</v>
      </c>
    </row>
    <row r="285" spans="1:23" x14ac:dyDescent="0.3">
      <c r="A285" s="17" t="s">
        <v>113</v>
      </c>
      <c r="C285" s="3">
        <v>188</v>
      </c>
      <c r="F285" s="3">
        <v>6.3792099999999996</v>
      </c>
      <c r="G285" s="16">
        <v>2727.59</v>
      </c>
      <c r="H285" s="18">
        <v>427575000</v>
      </c>
      <c r="I285" s="18">
        <v>15512.4</v>
      </c>
      <c r="J285" s="3">
        <v>5.8296713E-2</v>
      </c>
      <c r="K285" s="3">
        <v>5.8680986999999998E-4</v>
      </c>
      <c r="L285" s="18">
        <v>6.8040718999999999E-6</v>
      </c>
      <c r="M285" s="18">
        <v>1.2729865999999999E-7</v>
      </c>
      <c r="N285" s="18">
        <v>8.8276012999999992E-6</v>
      </c>
      <c r="O285" s="18">
        <v>8.0385958999999999E-7</v>
      </c>
      <c r="P285" s="3">
        <v>4.6059472999999997E-3</v>
      </c>
      <c r="Q285" s="3">
        <v>1.4061790000000001E-4</v>
      </c>
      <c r="R285" s="3">
        <v>-2.9294147000000001</v>
      </c>
      <c r="S285" s="3">
        <v>1.9407839E-2</v>
      </c>
      <c r="T285" s="18">
        <v>2.5481919E-8</v>
      </c>
      <c r="U285" s="18">
        <v>9.1699593E-10</v>
      </c>
      <c r="V285" s="18">
        <v>-4.0236997E-5</v>
      </c>
      <c r="W285" s="3">
        <v>1.8711526E-4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2E96-C247-684A-B357-9AAA954039C2}">
  <dimension ref="A1:U153"/>
  <sheetViews>
    <sheetView topLeftCell="B1" zoomScale="65" zoomScaleNormal="100" workbookViewId="0">
      <selection activeCell="M156" sqref="M156"/>
    </sheetView>
  </sheetViews>
  <sheetFormatPr defaultColWidth="8.77734375" defaultRowHeight="14.4" x14ac:dyDescent="0.3"/>
  <cols>
    <col min="2" max="2" width="21.44140625" bestFit="1" customWidth="1"/>
    <col min="3" max="3" width="21.44140625" customWidth="1"/>
    <col min="4" max="5" width="18.44140625" customWidth="1"/>
    <col min="6" max="7" width="19" customWidth="1"/>
    <col min="8" max="9" width="15.6640625" customWidth="1"/>
    <col min="10" max="11" width="18.33203125" customWidth="1"/>
    <col min="12" max="13" width="15.44140625" customWidth="1"/>
    <col min="14" max="15" width="15.6640625" customWidth="1"/>
    <col min="16" max="16" width="14.6640625" customWidth="1"/>
    <col min="17" max="18" width="15.44140625" customWidth="1"/>
    <col min="19" max="20" width="16.44140625" customWidth="1"/>
  </cols>
  <sheetData>
    <row r="1" spans="1:21" x14ac:dyDescent="0.3">
      <c r="B1" s="1" t="s">
        <v>40</v>
      </c>
      <c r="C1" t="s">
        <v>41</v>
      </c>
      <c r="D1" t="s">
        <v>42</v>
      </c>
      <c r="E1" t="s">
        <v>43</v>
      </c>
    </row>
    <row r="2" spans="1:21" x14ac:dyDescent="0.3">
      <c r="B2" s="1">
        <v>45410</v>
      </c>
      <c r="C2" t="s">
        <v>44</v>
      </c>
      <c r="D2">
        <v>1000</v>
      </c>
      <c r="E2">
        <v>2</v>
      </c>
    </row>
    <row r="3" spans="1:21" x14ac:dyDescent="0.3">
      <c r="B3" s="1">
        <v>45418</v>
      </c>
      <c r="C3" t="s">
        <v>100</v>
      </c>
      <c r="D3">
        <v>500</v>
      </c>
      <c r="E3">
        <v>1</v>
      </c>
    </row>
    <row r="4" spans="1:21" x14ac:dyDescent="0.3">
      <c r="B4" s="1">
        <v>45450</v>
      </c>
      <c r="C4" t="s">
        <v>48</v>
      </c>
      <c r="D4">
        <v>1000</v>
      </c>
      <c r="E4">
        <v>1</v>
      </c>
    </row>
    <row r="5" spans="1:21" x14ac:dyDescent="0.3">
      <c r="B5" s="22">
        <v>45490</v>
      </c>
      <c r="C5" s="17" t="s">
        <v>137</v>
      </c>
      <c r="D5">
        <v>500</v>
      </c>
      <c r="E5">
        <v>10</v>
      </c>
    </row>
    <row r="6" spans="1:21" x14ac:dyDescent="0.3">
      <c r="B6" t="s">
        <v>29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</row>
    <row r="7" spans="1:21" x14ac:dyDescent="0.3">
      <c r="A7" s="17" t="s">
        <v>115</v>
      </c>
      <c r="B7" t="s">
        <v>4</v>
      </c>
      <c r="C7" s="17" t="s">
        <v>106</v>
      </c>
      <c r="D7" t="s">
        <v>7</v>
      </c>
      <c r="E7" t="s">
        <v>50</v>
      </c>
      <c r="F7" t="s">
        <v>8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21</v>
      </c>
      <c r="T7" t="s">
        <v>22</v>
      </c>
      <c r="U7" t="s">
        <v>23</v>
      </c>
    </row>
    <row r="8" spans="1:21" x14ac:dyDescent="0.3">
      <c r="A8" s="17" t="s">
        <v>108</v>
      </c>
      <c r="B8">
        <v>-4</v>
      </c>
      <c r="C8">
        <f>B8+4</f>
        <v>0</v>
      </c>
      <c r="D8">
        <v>6.3582700000000001</v>
      </c>
      <c r="E8">
        <v>2830.5794800063973</v>
      </c>
      <c r="F8">
        <v>445180761.43454069</v>
      </c>
      <c r="G8">
        <v>15105.442267099312</v>
      </c>
      <c r="H8">
        <v>9.7002998239810581E-2</v>
      </c>
      <c r="I8">
        <v>7.7303532879170744E-4</v>
      </c>
      <c r="J8">
        <v>8.4897941673842626E-6</v>
      </c>
      <c r="K8">
        <v>8.682868905508504E-8</v>
      </c>
      <c r="L8">
        <v>6.3747774361359279E-6</v>
      </c>
      <c r="M8">
        <v>5.7608187735408782E-7</v>
      </c>
      <c r="N8">
        <v>7.1152962334892454E-3</v>
      </c>
      <c r="O8">
        <v>1.4864767678772354E-4</v>
      </c>
      <c r="P8">
        <v>2.9762904453471775</v>
      </c>
      <c r="Q8">
        <v>1.3400952385563603E-2</v>
      </c>
      <c r="R8">
        <v>2.5343865169151452E-8</v>
      </c>
      <c r="S8">
        <v>6.2567079392104577E-10</v>
      </c>
      <c r="T8">
        <v>-1.5552399787846361E-4</v>
      </c>
      <c r="U8">
        <v>1.4356430904983753E-4</v>
      </c>
    </row>
    <row r="9" spans="1:21" x14ac:dyDescent="0.3">
      <c r="A9" s="17" t="s">
        <v>108</v>
      </c>
      <c r="B9">
        <v>0</v>
      </c>
      <c r="C9">
        <f t="shared" ref="C9:C55" si="0">B9+4</f>
        <v>4</v>
      </c>
      <c r="D9">
        <v>6.3582700000000001</v>
      </c>
      <c r="E9">
        <v>2834.9474927685328</v>
      </c>
      <c r="F9">
        <v>445867742.76155823</v>
      </c>
      <c r="G9">
        <v>7612.6199756165743</v>
      </c>
      <c r="H9">
        <v>9.4902984829071918E-2</v>
      </c>
      <c r="I9">
        <v>8.2564635798409308E-4</v>
      </c>
      <c r="J9">
        <v>8.6045106101382668E-6</v>
      </c>
      <c r="K9">
        <v>9.322359850975254E-8</v>
      </c>
      <c r="L9">
        <v>8.4480639085877905E-6</v>
      </c>
      <c r="M9">
        <v>6.1001061566440349E-7</v>
      </c>
      <c r="N9">
        <v>7.1806988429271457E-3</v>
      </c>
      <c r="O9">
        <v>1.2331627045020482E-4</v>
      </c>
      <c r="P9">
        <v>1.925324672925264</v>
      </c>
      <c r="Q9">
        <v>1.1027616883014457E-2</v>
      </c>
      <c r="R9">
        <v>3.3453388142161444E-8</v>
      </c>
      <c r="S9">
        <v>7.0477615709397634E-10</v>
      </c>
      <c r="T9">
        <v>3.4025633191679422E-4</v>
      </c>
      <c r="U9">
        <v>1.4419059396709929E-4</v>
      </c>
    </row>
    <row r="10" spans="1:21" x14ac:dyDescent="0.3">
      <c r="A10" s="17" t="s">
        <v>108</v>
      </c>
      <c r="B10">
        <v>4</v>
      </c>
      <c r="C10">
        <f t="shared" si="0"/>
        <v>8</v>
      </c>
      <c r="D10">
        <v>6.3582700000000001</v>
      </c>
      <c r="E10">
        <v>2801.1846019109148</v>
      </c>
      <c r="F10">
        <v>440557667.7163623</v>
      </c>
      <c r="G10">
        <v>8650.6527225693735</v>
      </c>
      <c r="H10">
        <v>0.10010179131798004</v>
      </c>
      <c r="I10">
        <v>7.5267244730732596E-4</v>
      </c>
      <c r="J10">
        <v>8.8398646659781298E-6</v>
      </c>
      <c r="K10">
        <v>8.0898702824003914E-8</v>
      </c>
      <c r="L10">
        <v>1.0927129076735703E-5</v>
      </c>
      <c r="M10">
        <v>5.0089162891444603E-7</v>
      </c>
      <c r="N10">
        <v>7.6735858722604341E-3</v>
      </c>
      <c r="O10">
        <v>1.2129527647937455E-4</v>
      </c>
      <c r="P10">
        <v>2.450254725005566</v>
      </c>
      <c r="Q10">
        <v>1.011528836383313E-2</v>
      </c>
      <c r="R10">
        <v>2.9813370370285425E-8</v>
      </c>
      <c r="S10">
        <v>5.6853129694609664E-10</v>
      </c>
      <c r="T10">
        <v>4.1012464850706548E-4</v>
      </c>
      <c r="U10">
        <v>1.2372714883984674E-4</v>
      </c>
    </row>
    <row r="11" spans="1:21" x14ac:dyDescent="0.3">
      <c r="A11" s="17" t="s">
        <v>108</v>
      </c>
      <c r="B11">
        <v>8</v>
      </c>
      <c r="C11">
        <f t="shared" si="0"/>
        <v>12</v>
      </c>
      <c r="D11">
        <v>6.3582700000000001</v>
      </c>
      <c r="E11">
        <v>2769.8093071384606</v>
      </c>
      <c r="F11">
        <v>435623103.00419146</v>
      </c>
      <c r="G11">
        <v>9228.7468715646082</v>
      </c>
      <c r="H11">
        <v>9.8329910493607883E-2</v>
      </c>
      <c r="I11">
        <v>8.0754181785220452E-4</v>
      </c>
      <c r="J11">
        <v>8.9751166554491602E-6</v>
      </c>
      <c r="K11">
        <v>8.7448325818005199E-8</v>
      </c>
      <c r="L11">
        <v>1.1675543890831398E-5</v>
      </c>
      <c r="M11">
        <v>5.379924963048756E-7</v>
      </c>
      <c r="N11">
        <v>7.0316456401154134E-3</v>
      </c>
      <c r="O11">
        <v>1.2497037514753312E-4</v>
      </c>
      <c r="P11">
        <v>2.592734668707295</v>
      </c>
      <c r="Q11">
        <v>1.1401307060379784E-2</v>
      </c>
      <c r="R11">
        <v>3.0525929445401335E-8</v>
      </c>
      <c r="S11">
        <v>6.5592751209094312E-10</v>
      </c>
      <c r="T11">
        <v>5.2982435597335239E-4</v>
      </c>
      <c r="U11">
        <v>1.2663486454519195E-4</v>
      </c>
    </row>
    <row r="12" spans="1:21" x14ac:dyDescent="0.3">
      <c r="A12" s="17" t="s">
        <v>108</v>
      </c>
      <c r="B12">
        <v>12</v>
      </c>
      <c r="C12">
        <f t="shared" si="0"/>
        <v>16</v>
      </c>
      <c r="D12">
        <v>6.3582700000000001</v>
      </c>
      <c r="E12">
        <v>2757.3226542473635</v>
      </c>
      <c r="F12">
        <v>433659258.61081135</v>
      </c>
      <c r="G12">
        <v>8179.5960082675647</v>
      </c>
      <c r="H12">
        <v>8.7999361776030238E-2</v>
      </c>
      <c r="I12">
        <v>7.5327165178062233E-4</v>
      </c>
      <c r="J12">
        <v>9.2907030355667378E-6</v>
      </c>
      <c r="K12">
        <v>8.6986441620835784E-8</v>
      </c>
      <c r="L12">
        <v>9.8952286398027771E-6</v>
      </c>
      <c r="M12">
        <v>5.6999761555302948E-7</v>
      </c>
      <c r="N12">
        <v>8.2854846821548526E-3</v>
      </c>
      <c r="O12">
        <v>1.2227188197096867E-4</v>
      </c>
      <c r="P12">
        <v>1.7748146578808717</v>
      </c>
      <c r="Q12">
        <v>9.3360551118487622E-3</v>
      </c>
      <c r="R12">
        <v>2.7288621848814925E-8</v>
      </c>
      <c r="S12">
        <v>4.7182429662632677E-10</v>
      </c>
      <c r="T12">
        <v>7.5516849029101587E-4</v>
      </c>
      <c r="U12">
        <v>1.0544743106502108E-4</v>
      </c>
    </row>
    <row r="13" spans="1:21" x14ac:dyDescent="0.3">
      <c r="A13" s="17" t="s">
        <v>108</v>
      </c>
      <c r="B13">
        <v>16</v>
      </c>
      <c r="C13">
        <f t="shared" si="0"/>
        <v>20</v>
      </c>
      <c r="D13">
        <v>6.3582700000000001</v>
      </c>
      <c r="E13">
        <v>2747.8232733375376</v>
      </c>
      <c r="F13">
        <v>432165238.86804706</v>
      </c>
      <c r="G13">
        <v>7772.469126476889</v>
      </c>
      <c r="H13">
        <v>8.2084884130351254E-2</v>
      </c>
      <c r="I13">
        <v>7.1799526382365642E-4</v>
      </c>
      <c r="J13">
        <v>9.3734919929561696E-6</v>
      </c>
      <c r="K13">
        <v>9.0702910885619963E-8</v>
      </c>
      <c r="L13">
        <v>1.0937723114300079E-5</v>
      </c>
      <c r="M13">
        <v>5.6766983421003466E-7</v>
      </c>
      <c r="N13">
        <v>6.8949386063311829E-3</v>
      </c>
      <c r="O13">
        <v>1.1171676641012415E-4</v>
      </c>
      <c r="P13">
        <v>2.6525281082091405</v>
      </c>
      <c r="Q13">
        <v>1.0341395997517377E-2</v>
      </c>
      <c r="R13">
        <v>2.9078813929583943E-8</v>
      </c>
      <c r="S13">
        <v>5.6418624604110194E-10</v>
      </c>
      <c r="T13">
        <v>1.0521140456186925E-3</v>
      </c>
      <c r="U13">
        <v>1.0091743533597951E-4</v>
      </c>
    </row>
    <row r="14" spans="1:21" x14ac:dyDescent="0.3">
      <c r="A14" s="17" t="s">
        <v>108</v>
      </c>
      <c r="B14">
        <v>20</v>
      </c>
      <c r="C14">
        <f t="shared" si="0"/>
        <v>24</v>
      </c>
      <c r="D14">
        <v>6.3582700000000001</v>
      </c>
      <c r="E14">
        <v>2746.4835592444133</v>
      </c>
      <c r="F14">
        <v>431954534.68387049</v>
      </c>
      <c r="G14">
        <v>7954.7302077875856</v>
      </c>
      <c r="H14">
        <v>7.8849566614071817E-2</v>
      </c>
      <c r="I14">
        <v>7.6190404102647463E-4</v>
      </c>
      <c r="J14">
        <v>9.3966600497159042E-6</v>
      </c>
      <c r="K14">
        <v>9.7166682280326133E-8</v>
      </c>
      <c r="L14">
        <v>1.019820834846513E-5</v>
      </c>
      <c r="M14">
        <v>6.3849161675776497E-7</v>
      </c>
      <c r="N14">
        <v>6.4770595171590988E-3</v>
      </c>
      <c r="O14">
        <v>1.1426247677032977E-4</v>
      </c>
      <c r="P14">
        <v>1.8980399690463761</v>
      </c>
      <c r="Q14">
        <v>1.1270200262398333E-2</v>
      </c>
      <c r="R14">
        <v>2.9255210547765216E-8</v>
      </c>
      <c r="S14">
        <v>6.1272465132661176E-10</v>
      </c>
      <c r="T14">
        <v>6.9761749747107387E-4</v>
      </c>
      <c r="U14">
        <v>1.02678046699578E-4</v>
      </c>
    </row>
    <row r="15" spans="1:21" x14ac:dyDescent="0.3">
      <c r="A15" s="17" t="s">
        <v>108</v>
      </c>
      <c r="B15">
        <v>24</v>
      </c>
      <c r="C15">
        <f t="shared" si="0"/>
        <v>28</v>
      </c>
      <c r="D15">
        <v>6.3582700000000001</v>
      </c>
      <c r="E15">
        <v>2757.5464811921361</v>
      </c>
      <c r="F15">
        <v>433694461.10217661</v>
      </c>
      <c r="G15">
        <v>6971.7621936915557</v>
      </c>
      <c r="H15">
        <v>7.8621622965252422E-2</v>
      </c>
      <c r="I15">
        <v>7.1500208166089957E-4</v>
      </c>
      <c r="J15">
        <v>9.4930242958284517E-6</v>
      </c>
      <c r="K15">
        <v>9.1997528739223927E-8</v>
      </c>
      <c r="L15">
        <v>1.1039896815223163E-5</v>
      </c>
      <c r="M15">
        <v>5.8942429729134647E-7</v>
      </c>
      <c r="N15">
        <v>6.0287407862577337E-3</v>
      </c>
      <c r="O15">
        <v>1.0135271917685379E-4</v>
      </c>
      <c r="P15">
        <v>1.9588572259843924</v>
      </c>
      <c r="Q15">
        <v>1.0755726968705859E-2</v>
      </c>
      <c r="R15">
        <v>3.1335487306048193E-8</v>
      </c>
      <c r="S15">
        <v>6.3448417168547834E-10</v>
      </c>
      <c r="T15">
        <v>4.4876842496804887E-4</v>
      </c>
      <c r="U15">
        <v>9.4731511779530645E-5</v>
      </c>
    </row>
    <row r="16" spans="1:21" x14ac:dyDescent="0.3">
      <c r="A16" s="17" t="s">
        <v>108</v>
      </c>
      <c r="B16">
        <v>28</v>
      </c>
      <c r="C16">
        <f t="shared" si="0"/>
        <v>32</v>
      </c>
      <c r="D16">
        <v>6.3582700000000001</v>
      </c>
      <c r="E16">
        <v>2777.2059331860592</v>
      </c>
      <c r="F16">
        <v>436786410.95550507</v>
      </c>
      <c r="G16">
        <v>6806.411227577858</v>
      </c>
      <c r="H16">
        <v>6.789813585011456E-2</v>
      </c>
      <c r="I16">
        <v>6.716300339945705E-4</v>
      </c>
      <c r="J16">
        <v>9.6515714748058448E-6</v>
      </c>
      <c r="K16">
        <v>1.007472979881085E-7</v>
      </c>
      <c r="L16">
        <v>9.181675869788725E-6</v>
      </c>
      <c r="M16">
        <v>6.4946968626326359E-7</v>
      </c>
      <c r="N16">
        <v>6.4767677542204947E-3</v>
      </c>
      <c r="O16">
        <v>1.0178278861443929E-4</v>
      </c>
      <c r="P16">
        <v>2.7090760729264356</v>
      </c>
      <c r="Q16">
        <v>1.0061338709014489E-2</v>
      </c>
      <c r="R16">
        <v>2.9375699326918098E-8</v>
      </c>
      <c r="S16">
        <v>5.5569518682961103E-10</v>
      </c>
      <c r="T16">
        <v>1.1636670465941642E-3</v>
      </c>
      <c r="U16">
        <v>8.8501165093421517E-5</v>
      </c>
    </row>
    <row r="17" spans="1:21" x14ac:dyDescent="0.3">
      <c r="A17" s="17" t="s">
        <v>108</v>
      </c>
      <c r="B17">
        <v>32</v>
      </c>
      <c r="C17">
        <f t="shared" si="0"/>
        <v>36</v>
      </c>
      <c r="D17">
        <v>6.3582700000000001</v>
      </c>
      <c r="E17">
        <v>2803.89497224874</v>
      </c>
      <c r="F17">
        <v>440983942.52662128</v>
      </c>
      <c r="G17">
        <v>7723.264087378112</v>
      </c>
      <c r="H17">
        <v>6.3639229030108074E-2</v>
      </c>
      <c r="I17">
        <v>6.911123633745811E-4</v>
      </c>
      <c r="J17">
        <v>9.8803966016805234E-6</v>
      </c>
      <c r="K17">
        <v>1.0848487241222136E-7</v>
      </c>
      <c r="L17">
        <v>1.1018939693906269E-5</v>
      </c>
      <c r="M17">
        <v>6.9053663049961274E-7</v>
      </c>
      <c r="N17">
        <v>6.1468718119422894E-3</v>
      </c>
      <c r="O17">
        <v>1.0699039017998029E-4</v>
      </c>
      <c r="P17">
        <v>1.8755876715996236</v>
      </c>
      <c r="Q17">
        <v>1.1102521365726314E-2</v>
      </c>
      <c r="R17">
        <v>2.7247897553762894E-8</v>
      </c>
      <c r="S17">
        <v>5.5866683907985678E-10</v>
      </c>
      <c r="T17">
        <v>7.007803994765943E-4</v>
      </c>
      <c r="U17">
        <v>8.3559270737660295E-5</v>
      </c>
    </row>
    <row r="18" spans="1:21" x14ac:dyDescent="0.3">
      <c r="A18" s="17" t="s">
        <v>108</v>
      </c>
      <c r="B18">
        <v>36</v>
      </c>
      <c r="C18">
        <f t="shared" si="0"/>
        <v>40</v>
      </c>
      <c r="D18">
        <v>6.3582700000000001</v>
      </c>
      <c r="E18">
        <v>2833.1310181402168</v>
      </c>
      <c r="F18">
        <v>445582055.83283138</v>
      </c>
      <c r="G18">
        <v>6425.999270559535</v>
      </c>
      <c r="H18">
        <v>6.2762189644547717E-2</v>
      </c>
      <c r="I18">
        <v>6.4469114962202936E-4</v>
      </c>
      <c r="J18">
        <v>9.9729379681154077E-6</v>
      </c>
      <c r="K18">
        <v>1.0539405588863329E-7</v>
      </c>
      <c r="L18">
        <v>1.1904102056922754E-5</v>
      </c>
      <c r="M18">
        <v>6.3597215123429335E-7</v>
      </c>
      <c r="N18">
        <v>5.9532986630147656E-3</v>
      </c>
      <c r="O18">
        <v>9.5434635996606652E-5</v>
      </c>
      <c r="P18">
        <v>2.7177451539774888</v>
      </c>
      <c r="Q18">
        <v>1.0333503835513458E-2</v>
      </c>
      <c r="R18">
        <v>2.9373175549479743E-8</v>
      </c>
      <c r="S18">
        <v>5.6961490133261027E-10</v>
      </c>
      <c r="T18">
        <v>1.2686074756885857E-3</v>
      </c>
      <c r="U18">
        <v>7.9009386405774675E-5</v>
      </c>
    </row>
    <row r="19" spans="1:21" x14ac:dyDescent="0.3">
      <c r="A19" s="17" t="s">
        <v>108</v>
      </c>
      <c r="B19">
        <v>40</v>
      </c>
      <c r="C19">
        <f t="shared" si="0"/>
        <v>44</v>
      </c>
      <c r="D19">
        <v>6.3582700000000001</v>
      </c>
      <c r="E19">
        <v>2876.0446615704077</v>
      </c>
      <c r="F19">
        <v>452331319.92985636</v>
      </c>
      <c r="G19">
        <v>6277.5915306290117</v>
      </c>
      <c r="H19">
        <v>7.8682717925464843E-2</v>
      </c>
      <c r="I19">
        <v>7.0716198098202954E-4</v>
      </c>
      <c r="J19">
        <v>8.9323814790557607E-6</v>
      </c>
      <c r="K19">
        <v>9.3184226794088698E-8</v>
      </c>
      <c r="L19">
        <v>6.3582959949731505E-6</v>
      </c>
      <c r="M19">
        <v>6.3757876588169225E-7</v>
      </c>
      <c r="N19">
        <v>8.8972395577634408E-3</v>
      </c>
      <c r="O19">
        <v>1.1544708923649435E-4</v>
      </c>
      <c r="P19">
        <v>1.7209749123034679</v>
      </c>
      <c r="Q19">
        <v>8.3043985524379194E-3</v>
      </c>
      <c r="R19">
        <v>2.8722970342803216E-8</v>
      </c>
      <c r="S19">
        <v>4.4587356095141939E-10</v>
      </c>
      <c r="T19">
        <v>8.9524864790611512E-4</v>
      </c>
      <c r="U19">
        <v>1.1224541665282961E-4</v>
      </c>
    </row>
    <row r="20" spans="1:21" x14ac:dyDescent="0.3">
      <c r="A20" s="17" t="s">
        <v>108</v>
      </c>
      <c r="B20">
        <v>44</v>
      </c>
      <c r="C20">
        <f t="shared" si="0"/>
        <v>48</v>
      </c>
      <c r="D20">
        <v>6.3582700000000001</v>
      </c>
      <c r="E20">
        <v>2916.9954939616846</v>
      </c>
      <c r="F20">
        <v>458771881.96815872</v>
      </c>
      <c r="G20">
        <v>7202.5265380193377</v>
      </c>
      <c r="H20">
        <v>9.038837899669161E-2</v>
      </c>
      <c r="I20">
        <v>7.3926048713101461E-4</v>
      </c>
      <c r="J20">
        <v>9.1768159740066345E-6</v>
      </c>
      <c r="K20">
        <v>8.7108682849007726E-8</v>
      </c>
      <c r="L20">
        <v>1.1569619959847994E-5</v>
      </c>
      <c r="M20">
        <v>5.2872454887907135E-7</v>
      </c>
      <c r="N20">
        <v>7.0103736711189645E-3</v>
      </c>
      <c r="O20">
        <v>1.151965304222102E-4</v>
      </c>
      <c r="P20">
        <v>1.8913710902742531</v>
      </c>
      <c r="Q20">
        <v>1.0564194024206608E-2</v>
      </c>
      <c r="R20">
        <v>3.0107406001923787E-8</v>
      </c>
      <c r="S20">
        <v>6.0025468631533128E-10</v>
      </c>
      <c r="T20">
        <v>1.927885342391543E-4</v>
      </c>
      <c r="U20">
        <v>1.1150936521368149E-4</v>
      </c>
    </row>
    <row r="21" spans="1:21" x14ac:dyDescent="0.3">
      <c r="A21" s="17" t="s">
        <v>108</v>
      </c>
      <c r="B21">
        <v>48</v>
      </c>
      <c r="C21">
        <f t="shared" si="0"/>
        <v>52</v>
      </c>
      <c r="D21">
        <v>6.3582700000000001</v>
      </c>
      <c r="E21">
        <v>2936.635336670498</v>
      </c>
      <c r="F21">
        <v>461860747.76165497</v>
      </c>
      <c r="G21">
        <v>8521.4334137884143</v>
      </c>
      <c r="H21">
        <v>8.2615454566091318E-2</v>
      </c>
      <c r="I21">
        <v>7.3415901107613812E-4</v>
      </c>
      <c r="J21">
        <v>8.9601520659508557E-6</v>
      </c>
      <c r="K21">
        <v>9.1674799037737929E-8</v>
      </c>
      <c r="L21">
        <v>7.1210543476568647E-6</v>
      </c>
      <c r="M21">
        <v>6.238406793162022E-7</v>
      </c>
      <c r="N21">
        <v>6.9652846599039435E-3</v>
      </c>
      <c r="O21">
        <v>1.1745683024371812E-4</v>
      </c>
      <c r="P21">
        <v>0.7511865355340831</v>
      </c>
      <c r="Q21">
        <v>1.0739485689164219E-2</v>
      </c>
      <c r="R21">
        <v>2.9240855927915029E-8</v>
      </c>
      <c r="S21">
        <v>5.8915387091415643E-10</v>
      </c>
      <c r="T21">
        <v>3.7180186563406985E-4</v>
      </c>
      <c r="U21">
        <v>1.1437444438763181E-4</v>
      </c>
    </row>
    <row r="22" spans="1:21" x14ac:dyDescent="0.3">
      <c r="A22" s="17" t="s">
        <v>108</v>
      </c>
      <c r="B22">
        <v>52</v>
      </c>
      <c r="C22">
        <f t="shared" si="0"/>
        <v>56</v>
      </c>
      <c r="D22">
        <v>6.3582700000000001</v>
      </c>
      <c r="E22">
        <v>2931.8622445078613</v>
      </c>
      <c r="F22">
        <v>461110057.37533349</v>
      </c>
      <c r="G22">
        <v>12082.65825936028</v>
      </c>
      <c r="H22">
        <v>7.636790262059942E-2</v>
      </c>
      <c r="I22">
        <v>7.4913434007551488E-4</v>
      </c>
      <c r="J22">
        <v>9.1823373612577831E-6</v>
      </c>
      <c r="K22">
        <v>9.9094941483056748E-8</v>
      </c>
      <c r="L22">
        <v>6.8523964751666502E-6</v>
      </c>
      <c r="M22">
        <v>6.8497631802031235E-7</v>
      </c>
      <c r="N22">
        <v>5.0526147941059654E-3</v>
      </c>
      <c r="O22">
        <v>1.1522393137394825E-4</v>
      </c>
      <c r="P22">
        <v>0.59324825255666647</v>
      </c>
      <c r="Q22">
        <v>1.4528149894441345E-2</v>
      </c>
      <c r="R22">
        <v>2.9665603765098532E-8</v>
      </c>
      <c r="S22">
        <v>8.0832027928533866E-10</v>
      </c>
      <c r="T22">
        <v>4.1308408696341128E-4</v>
      </c>
      <c r="U22">
        <v>1.087191173265694E-4</v>
      </c>
    </row>
    <row r="23" spans="1:21" x14ac:dyDescent="0.3">
      <c r="A23" s="17" t="s">
        <v>108</v>
      </c>
      <c r="B23">
        <v>56</v>
      </c>
      <c r="C23">
        <f t="shared" si="0"/>
        <v>60</v>
      </c>
      <c r="D23">
        <v>6.3582700000000001</v>
      </c>
      <c r="E23">
        <v>2868.758865321191</v>
      </c>
      <c r="F23">
        <v>451185442.78887045</v>
      </c>
      <c r="G23">
        <v>33786.649616424082</v>
      </c>
      <c r="H23">
        <v>7.6612085789126178E-2</v>
      </c>
      <c r="I23">
        <v>7.4114547788907414E-4</v>
      </c>
      <c r="J23">
        <v>8.9298620942934323E-6</v>
      </c>
      <c r="K23">
        <v>1.023027516429973E-7</v>
      </c>
      <c r="L23">
        <v>6.5646222163466041E-6</v>
      </c>
      <c r="M23">
        <v>6.8062340972240348E-7</v>
      </c>
      <c r="N23">
        <v>3.7185047414887841E-3</v>
      </c>
      <c r="O23">
        <v>1.3694473496419558E-4</v>
      </c>
      <c r="P23">
        <v>2.5418086196118512</v>
      </c>
      <c r="Q23">
        <v>2.3539095381259534E-2</v>
      </c>
      <c r="R23">
        <v>2.5369958839690407E-8</v>
      </c>
      <c r="S23">
        <v>1.1028901940651096E-9</v>
      </c>
      <c r="T23">
        <v>6.735272311689266E-4</v>
      </c>
      <c r="U23">
        <v>1.2075729520510497E-4</v>
      </c>
    </row>
    <row r="24" spans="1:21" x14ac:dyDescent="0.3">
      <c r="A24" s="17" t="s">
        <v>108</v>
      </c>
      <c r="B24">
        <v>60</v>
      </c>
      <c r="C24">
        <f t="shared" si="0"/>
        <v>64</v>
      </c>
      <c r="D24">
        <v>6.3582700000000001</v>
      </c>
      <c r="E24">
        <v>3294.759630981569</v>
      </c>
      <c r="F24">
        <v>518184919.95174307</v>
      </c>
      <c r="G24">
        <v>24093.52190219094</v>
      </c>
      <c r="H24">
        <v>8.4799368970727165E-2</v>
      </c>
      <c r="I24">
        <v>7.3435343932504171E-4</v>
      </c>
      <c r="J24">
        <v>9.3457961466300347E-6</v>
      </c>
      <c r="K24">
        <v>9.0535132773755477E-8</v>
      </c>
      <c r="L24">
        <v>1.1235823213935777E-5</v>
      </c>
      <c r="M24">
        <v>5.5901232797376644E-7</v>
      </c>
      <c r="N24">
        <v>4.7160013860945323E-3</v>
      </c>
      <c r="O24">
        <v>1.4143602723810456E-4</v>
      </c>
      <c r="P24">
        <v>-1.0814190437395972</v>
      </c>
      <c r="Q24">
        <v>1.9233837306008361E-2</v>
      </c>
      <c r="R24">
        <v>2.2692451726510602E-8</v>
      </c>
      <c r="S24">
        <v>7.8309669155140604E-10</v>
      </c>
      <c r="T24">
        <v>4.7170189983430461E-4</v>
      </c>
      <c r="U24">
        <v>1.0466171790994092E-4</v>
      </c>
    </row>
    <row r="25" spans="1:21" x14ac:dyDescent="0.3">
      <c r="A25" s="17" t="s">
        <v>108</v>
      </c>
      <c r="B25">
        <v>64</v>
      </c>
      <c r="C25">
        <f t="shared" si="0"/>
        <v>68</v>
      </c>
      <c r="D25">
        <v>6.3582700000000001</v>
      </c>
      <c r="E25">
        <v>3290.5544743060295</v>
      </c>
      <c r="F25">
        <v>517523551.89478105</v>
      </c>
      <c r="G25">
        <v>14103.667663800668</v>
      </c>
      <c r="H25">
        <v>8.1117202704792349E-2</v>
      </c>
      <c r="I25">
        <v>6.7191734695709604E-4</v>
      </c>
      <c r="J25">
        <v>8.9326513247150805E-6</v>
      </c>
      <c r="K25">
        <v>9.0348172178655817E-8</v>
      </c>
      <c r="L25">
        <v>1.1046996735217444E-5</v>
      </c>
      <c r="M25">
        <v>5.4467056760461943E-7</v>
      </c>
      <c r="N25">
        <v>5.2843217054274784E-3</v>
      </c>
      <c r="O25">
        <v>1.2396641546436483E-4</v>
      </c>
      <c r="P25">
        <v>-7.4342317165350655E-2</v>
      </c>
      <c r="Q25">
        <v>1.5205581152303811E-2</v>
      </c>
      <c r="R25">
        <v>2.5379286851774337E-8</v>
      </c>
      <c r="S25">
        <v>7.0869829334812093E-10</v>
      </c>
      <c r="T25">
        <v>6.3321706594058334E-4</v>
      </c>
      <c r="U25">
        <v>1.1036437063216477E-4</v>
      </c>
    </row>
    <row r="26" spans="1:21" x14ac:dyDescent="0.3">
      <c r="A26" s="17" t="s">
        <v>108</v>
      </c>
      <c r="B26">
        <v>68</v>
      </c>
      <c r="C26">
        <f t="shared" si="0"/>
        <v>72</v>
      </c>
      <c r="D26">
        <v>6.3582700000000001</v>
      </c>
      <c r="E26">
        <v>3288.5236831239408</v>
      </c>
      <c r="F26">
        <v>517204158.22604907</v>
      </c>
      <c r="G26">
        <v>11911.409239728777</v>
      </c>
      <c r="H26">
        <v>8.2144386750416853E-2</v>
      </c>
      <c r="I26">
        <v>7.8293665497922854E-4</v>
      </c>
      <c r="J26">
        <v>9.0646829451976781E-6</v>
      </c>
      <c r="K26">
        <v>9.4532381620736391E-8</v>
      </c>
      <c r="L26">
        <v>1.1489593114489051E-5</v>
      </c>
      <c r="M26">
        <v>6.3605103967020772E-7</v>
      </c>
      <c r="N26">
        <v>6.1804762055965076E-3</v>
      </c>
      <c r="O26">
        <v>1.445875179886839E-4</v>
      </c>
      <c r="P26">
        <v>-1.8304951460966348</v>
      </c>
      <c r="Q26">
        <v>1.4584166385643416E-2</v>
      </c>
      <c r="R26">
        <v>2.29394056983347E-8</v>
      </c>
      <c r="S26">
        <v>5.8962149975279949E-10</v>
      </c>
      <c r="T26">
        <v>7.5308906539101582E-4</v>
      </c>
      <c r="U26">
        <v>1.0940645603332931E-4</v>
      </c>
    </row>
    <row r="27" spans="1:21" x14ac:dyDescent="0.3">
      <c r="A27" s="17" t="s">
        <v>108</v>
      </c>
      <c r="B27">
        <v>72</v>
      </c>
      <c r="C27">
        <f t="shared" si="0"/>
        <v>76</v>
      </c>
      <c r="D27">
        <v>6.3582700000000001</v>
      </c>
      <c r="E27">
        <v>3280.6372712907528</v>
      </c>
      <c r="F27">
        <v>515963818.97760755</v>
      </c>
      <c r="G27">
        <v>14855.319974749204</v>
      </c>
      <c r="H27">
        <v>8.9763729745003074E-2</v>
      </c>
      <c r="I27">
        <v>6.6959277191364075E-4</v>
      </c>
      <c r="J27">
        <v>9.0766427888423008E-6</v>
      </c>
      <c r="K27">
        <v>8.2810964072017111E-8</v>
      </c>
      <c r="L27">
        <v>1.3352315066400502E-5</v>
      </c>
      <c r="M27">
        <v>4.676216595231126E-7</v>
      </c>
      <c r="N27">
        <v>5.5527522090369147E-3</v>
      </c>
      <c r="O27">
        <v>1.3347214423503097E-4</v>
      </c>
      <c r="P27">
        <v>0.65495401425767463</v>
      </c>
      <c r="Q27">
        <v>1.5606570752469295E-2</v>
      </c>
      <c r="R27">
        <v>2.3113363256238117E-8</v>
      </c>
      <c r="S27">
        <v>6.5484885891246466E-10</v>
      </c>
      <c r="T27">
        <v>4.8092603910104153E-4</v>
      </c>
      <c r="U27">
        <v>1.075896018592636E-4</v>
      </c>
    </row>
    <row r="28" spans="1:21" x14ac:dyDescent="0.3">
      <c r="A28" s="17" t="s">
        <v>108</v>
      </c>
      <c r="B28">
        <v>76</v>
      </c>
      <c r="C28">
        <f t="shared" si="0"/>
        <v>80</v>
      </c>
      <c r="D28">
        <v>6.3582700000000001</v>
      </c>
      <c r="E28">
        <v>3268.0848811966562</v>
      </c>
      <c r="F28">
        <v>513989635.73372257</v>
      </c>
      <c r="G28">
        <v>22111.59538956231</v>
      </c>
      <c r="H28">
        <v>8.7203127613911191E-2</v>
      </c>
      <c r="I28">
        <v>6.6069902174138717E-4</v>
      </c>
      <c r="J28">
        <v>9.4288653958592806E-6</v>
      </c>
      <c r="K28">
        <v>8.296177597245971E-8</v>
      </c>
      <c r="L28">
        <v>1.2981570587932105E-5</v>
      </c>
      <c r="M28">
        <v>4.6772874359899159E-7</v>
      </c>
      <c r="N28">
        <v>5.9860155089530463E-3</v>
      </c>
      <c r="O28">
        <v>9.9613523856054587E-5</v>
      </c>
      <c r="P28">
        <v>1.2676293113958219</v>
      </c>
      <c r="Q28">
        <v>1.6718427634649036E-2</v>
      </c>
      <c r="R28">
        <v>1.881266826796934E-8</v>
      </c>
      <c r="T28">
        <v>7.8860533704118831E-4</v>
      </c>
      <c r="U28">
        <v>9.7530317864586509E-5</v>
      </c>
    </row>
    <row r="29" spans="1:21" x14ac:dyDescent="0.3">
      <c r="A29" s="17" t="s">
        <v>108</v>
      </c>
      <c r="B29">
        <v>80</v>
      </c>
      <c r="C29">
        <f t="shared" si="0"/>
        <v>84</v>
      </c>
      <c r="D29">
        <v>6.3582700000000001</v>
      </c>
      <c r="E29">
        <v>3273.2857558748051</v>
      </c>
      <c r="F29">
        <v>514807605.82277972</v>
      </c>
      <c r="G29">
        <v>16644.626990025557</v>
      </c>
      <c r="H29">
        <v>8.9023346050616417E-2</v>
      </c>
      <c r="I29">
        <v>7.2804155118039865E-4</v>
      </c>
      <c r="J29">
        <v>9.5789550985481646E-6</v>
      </c>
      <c r="K29">
        <v>8.6299562533744495E-8</v>
      </c>
      <c r="L29">
        <v>1.3795343254114142E-5</v>
      </c>
      <c r="M29">
        <v>5.0017339986186837E-7</v>
      </c>
      <c r="N29">
        <v>6.1968733139450005E-3</v>
      </c>
      <c r="O29">
        <v>1.489897903665157E-4</v>
      </c>
      <c r="P29">
        <v>-0.52109032205317651</v>
      </c>
      <c r="Q29">
        <v>1.5448079016719241E-2</v>
      </c>
      <c r="R29">
        <v>2.0819651497546139E-8</v>
      </c>
      <c r="S29">
        <v>5.6788806716603463E-10</v>
      </c>
      <c r="T29">
        <v>4.918989443671183E-4</v>
      </c>
      <c r="U29">
        <v>9.8435637133830194E-5</v>
      </c>
    </row>
    <row r="30" spans="1:21" x14ac:dyDescent="0.3">
      <c r="A30" s="17" t="s">
        <v>108</v>
      </c>
      <c r="B30">
        <v>84</v>
      </c>
      <c r="C30">
        <f t="shared" si="0"/>
        <v>88</v>
      </c>
      <c r="D30">
        <v>6.3582700000000001</v>
      </c>
      <c r="E30">
        <v>3284.3705980489708</v>
      </c>
      <c r="F30">
        <v>516550979.75533772</v>
      </c>
      <c r="G30">
        <v>15229.116565262935</v>
      </c>
      <c r="H30">
        <v>8.2674537045807767E-2</v>
      </c>
      <c r="I30">
        <v>6.5122536129426367E-4</v>
      </c>
      <c r="J30">
        <v>9.3544025642627684E-6</v>
      </c>
      <c r="K30">
        <v>8.4417563807409446E-8</v>
      </c>
      <c r="L30">
        <v>9.7356891257613522E-6</v>
      </c>
      <c r="M30">
        <v>5.1465159930462671E-7</v>
      </c>
      <c r="N30">
        <v>5.3969664499137083E-3</v>
      </c>
      <c r="O30">
        <v>1.1888039289687695E-4</v>
      </c>
      <c r="P30">
        <v>0.70004559847519787</v>
      </c>
      <c r="Q30">
        <v>1.4366533411945714E-2</v>
      </c>
      <c r="R30">
        <v>2.4854081799747417E-8</v>
      </c>
      <c r="S30">
        <v>6.5462863300344497E-10</v>
      </c>
      <c r="T30">
        <v>4.0824162016768212E-4</v>
      </c>
      <c r="U30">
        <v>9.7127217193636388E-5</v>
      </c>
    </row>
    <row r="31" spans="1:21" x14ac:dyDescent="0.3">
      <c r="A31" s="17" t="s">
        <v>108</v>
      </c>
      <c r="B31">
        <v>88</v>
      </c>
      <c r="C31">
        <f t="shared" si="0"/>
        <v>92</v>
      </c>
      <c r="D31">
        <v>6.3582700000000001</v>
      </c>
      <c r="E31">
        <v>3315.7170149845601</v>
      </c>
      <c r="F31">
        <v>521481002.69170082</v>
      </c>
      <c r="G31">
        <v>16020.352466783461</v>
      </c>
      <c r="H31">
        <v>8.6106772697952833E-2</v>
      </c>
      <c r="I31">
        <v>6.9557459141279809E-4</v>
      </c>
      <c r="J31">
        <v>9.4927352026135324E-6</v>
      </c>
      <c r="K31">
        <v>8.649825046766737E-8</v>
      </c>
      <c r="L31">
        <v>1.085415250903246E-5</v>
      </c>
      <c r="M31">
        <v>5.1527528561858561E-7</v>
      </c>
      <c r="N31">
        <v>5.3877787233864473E-3</v>
      </c>
      <c r="O31">
        <v>1.2456346972622911E-4</v>
      </c>
      <c r="P31">
        <v>0.33643391573709874</v>
      </c>
      <c r="Q31">
        <v>1.5024326228152585E-2</v>
      </c>
      <c r="R31">
        <v>2.5141674968867294E-8</v>
      </c>
      <c r="S31">
        <v>6.9546881419585479E-10</v>
      </c>
      <c r="T31">
        <v>9.6073629208769497E-4</v>
      </c>
      <c r="U31">
        <v>1.0000702473943906E-4</v>
      </c>
    </row>
    <row r="32" spans="1:21" x14ac:dyDescent="0.3">
      <c r="A32" s="17" t="s">
        <v>108</v>
      </c>
      <c r="B32">
        <v>92</v>
      </c>
      <c r="C32">
        <f t="shared" si="0"/>
        <v>96</v>
      </c>
      <c r="D32">
        <v>6.3582700000000001</v>
      </c>
      <c r="E32">
        <v>3349.3826744077514</v>
      </c>
      <c r="F32">
        <v>526775785.61585957</v>
      </c>
      <c r="G32">
        <v>26831.98331604464</v>
      </c>
      <c r="H32">
        <v>9.2224817410387919E-2</v>
      </c>
      <c r="I32">
        <v>8.816946659480282E-4</v>
      </c>
      <c r="J32">
        <v>9.6432274164530421E-6</v>
      </c>
      <c r="K32">
        <v>9.9761476629984879E-8</v>
      </c>
      <c r="L32">
        <v>1.2115251191813498E-5</v>
      </c>
      <c r="M32">
        <v>5.9881248415473774E-7</v>
      </c>
      <c r="N32">
        <v>6.6080252221009878E-3</v>
      </c>
      <c r="O32">
        <v>1.7609389494298647E-4</v>
      </c>
      <c r="P32">
        <v>-1.2641040936865546</v>
      </c>
      <c r="Q32">
        <v>1.7049490285474089E-2</v>
      </c>
      <c r="R32">
        <v>2.1303508079871553E-8</v>
      </c>
      <c r="S32">
        <v>6.4631008518002622E-10</v>
      </c>
      <c r="T32">
        <v>1.0460765097911099E-3</v>
      </c>
      <c r="U32">
        <v>1.1759420755712193E-4</v>
      </c>
    </row>
    <row r="33" spans="1:21" x14ac:dyDescent="0.3">
      <c r="A33" s="17" t="s">
        <v>108</v>
      </c>
      <c r="B33">
        <v>96</v>
      </c>
      <c r="C33">
        <f t="shared" si="0"/>
        <v>100</v>
      </c>
      <c r="D33">
        <v>6.3582700000000001</v>
      </c>
      <c r="E33">
        <v>3015.1666233243195</v>
      </c>
      <c r="F33">
        <v>474211793.98237568</v>
      </c>
      <c r="G33">
        <v>12778.290343434806</v>
      </c>
      <c r="H33">
        <v>9.9784446093366702E-2</v>
      </c>
      <c r="I33">
        <v>1.2186835598637577E-3</v>
      </c>
      <c r="J33">
        <v>9.5105356079210983E-6</v>
      </c>
      <c r="K33">
        <v>1.1393345321911217E-7</v>
      </c>
      <c r="L33">
        <v>1.1324894161488965E-5</v>
      </c>
      <c r="M33">
        <v>8.0981123232143412E-7</v>
      </c>
      <c r="N33">
        <v>8.070260258878104E-3</v>
      </c>
      <c r="O33">
        <v>1.8703411186095668E-4</v>
      </c>
      <c r="P33">
        <v>-1.5113142892771088</v>
      </c>
      <c r="Q33">
        <v>1.4260896466080641E-2</v>
      </c>
      <c r="R33">
        <v>2.5885575096620517E-8</v>
      </c>
      <c r="S33">
        <v>6.6112963220785546E-10</v>
      </c>
      <c r="T33">
        <v>3.0674824364287565E-4</v>
      </c>
      <c r="U33">
        <v>1.432947217546668E-4</v>
      </c>
    </row>
    <row r="34" spans="1:21" x14ac:dyDescent="0.3">
      <c r="A34" s="17" t="s">
        <v>108</v>
      </c>
      <c r="B34">
        <v>100</v>
      </c>
      <c r="C34">
        <f t="shared" si="0"/>
        <v>104</v>
      </c>
      <c r="D34">
        <v>6.3582700000000001</v>
      </c>
      <c r="E34">
        <v>3060.7226853179468</v>
      </c>
      <c r="F34">
        <v>481376645.74136466</v>
      </c>
      <c r="G34">
        <v>7912.9446843850819</v>
      </c>
      <c r="H34">
        <v>9.3277645941208451E-2</v>
      </c>
      <c r="I34">
        <v>7.5822144686162052E-4</v>
      </c>
      <c r="J34">
        <v>9.7051952685673368E-6</v>
      </c>
      <c r="K34">
        <v>8.5324963138698127E-8</v>
      </c>
      <c r="L34">
        <v>1.2655387886591431E-5</v>
      </c>
      <c r="M34">
        <v>5.0215302453186712E-7</v>
      </c>
      <c r="N34">
        <v>7.2201893997200037E-3</v>
      </c>
      <c r="O34">
        <v>1.1695250779946396E-4</v>
      </c>
      <c r="P34">
        <v>1.0329141935426078</v>
      </c>
      <c r="Q34">
        <v>1.0420685282622744E-2</v>
      </c>
      <c r="R34">
        <v>2.9031206826068319E-8</v>
      </c>
      <c r="S34">
        <v>5.6893979745691659E-10</v>
      </c>
      <c r="T34">
        <v>6.9759855686626123E-4</v>
      </c>
      <c r="U34">
        <v>1.0029320397786845E-4</v>
      </c>
    </row>
    <row r="35" spans="1:21" x14ac:dyDescent="0.3">
      <c r="A35" s="17" t="s">
        <v>108</v>
      </c>
      <c r="B35">
        <v>104</v>
      </c>
      <c r="C35">
        <f t="shared" si="0"/>
        <v>108</v>
      </c>
      <c r="D35">
        <v>6.3582700000000001</v>
      </c>
      <c r="E35">
        <v>3055.9518748343075</v>
      </c>
      <c r="F35">
        <v>480626314.20721477</v>
      </c>
      <c r="G35">
        <v>6264.5573635222718</v>
      </c>
      <c r="H35">
        <v>9.2157667538130317E-2</v>
      </c>
      <c r="I35">
        <v>9.2496678581004133E-4</v>
      </c>
      <c r="J35">
        <v>9.662091389254803E-6</v>
      </c>
      <c r="K35">
        <v>9.3042974569007121E-8</v>
      </c>
      <c r="L35">
        <v>1.1053472565047519E-5</v>
      </c>
      <c r="M35">
        <v>6.6257611141667125E-7</v>
      </c>
      <c r="N35">
        <v>8.3714121645654862E-3</v>
      </c>
      <c r="O35">
        <v>1.278534478343276E-4</v>
      </c>
      <c r="P35">
        <v>-1.8274754260854322</v>
      </c>
      <c r="Q35">
        <v>9.4297051030276524E-3</v>
      </c>
      <c r="R35">
        <v>2.8920888547618357E-8</v>
      </c>
      <c r="S35">
        <v>5.0069087837082482E-10</v>
      </c>
      <c r="T35">
        <v>1.1726735695921054E-3</v>
      </c>
      <c r="U35">
        <v>1.0477045117255061E-4</v>
      </c>
    </row>
    <row r="36" spans="1:21" x14ac:dyDescent="0.3">
      <c r="A36" s="17" t="s">
        <v>108</v>
      </c>
      <c r="B36">
        <v>108</v>
      </c>
      <c r="C36">
        <f t="shared" si="0"/>
        <v>112</v>
      </c>
      <c r="D36">
        <v>6.3582700000000001</v>
      </c>
      <c r="E36">
        <v>3030.7096396552784</v>
      </c>
      <c r="F36">
        <v>476656329.41905248</v>
      </c>
      <c r="G36">
        <v>7872.4541128782912</v>
      </c>
      <c r="H36">
        <v>8.8223265264161035E-2</v>
      </c>
      <c r="I36">
        <v>7.2973846574824613E-4</v>
      </c>
      <c r="J36">
        <v>9.717071439587541E-6</v>
      </c>
      <c r="K36">
        <v>8.4412654994090511E-8</v>
      </c>
      <c r="L36">
        <v>1.1210048007011172E-5</v>
      </c>
      <c r="M36">
        <v>5.2591857413617595E-7</v>
      </c>
      <c r="N36">
        <v>6.8443910331961394E-3</v>
      </c>
      <c r="O36">
        <v>1.0737793350942782E-4</v>
      </c>
      <c r="P36">
        <v>0.68600759212161055</v>
      </c>
      <c r="Q36">
        <v>1.0121229599350967E-2</v>
      </c>
      <c r="R36">
        <v>2.9823960659353108E-8</v>
      </c>
      <c r="S36">
        <v>5.6486028093378357E-10</v>
      </c>
      <c r="T36">
        <v>1.1912457773848048E-3</v>
      </c>
      <c r="U36">
        <v>9.3652796021770476E-5</v>
      </c>
    </row>
    <row r="37" spans="1:21" x14ac:dyDescent="0.3">
      <c r="A37" s="17" t="s">
        <v>108</v>
      </c>
      <c r="B37">
        <v>112</v>
      </c>
      <c r="C37">
        <f t="shared" si="0"/>
        <v>116</v>
      </c>
      <c r="D37">
        <v>6.3582700000000001</v>
      </c>
      <c r="E37">
        <v>3006.3455382909469</v>
      </c>
      <c r="F37">
        <v>472824453.5527662</v>
      </c>
      <c r="G37">
        <v>5867.2828265049493</v>
      </c>
      <c r="H37">
        <v>0.10352767067762075</v>
      </c>
      <c r="I37">
        <v>7.9909107191800804E-4</v>
      </c>
      <c r="J37">
        <v>9.643828438177261E-6</v>
      </c>
      <c r="K37">
        <v>8.154340573244018E-8</v>
      </c>
      <c r="L37">
        <v>1.5357492645939331E-5</v>
      </c>
      <c r="M37">
        <v>4.5964603263367289E-7</v>
      </c>
      <c r="N37">
        <v>1.0157348000319782E-2</v>
      </c>
      <c r="O37">
        <v>1.2438512938142601E-4</v>
      </c>
      <c r="P37">
        <v>0.89584285745475345</v>
      </c>
      <c r="Q37">
        <v>7.842092975264281E-3</v>
      </c>
      <c r="R37">
        <v>2.8422955819548288E-8</v>
      </c>
      <c r="S37">
        <v>4.1686846812744966E-10</v>
      </c>
      <c r="T37">
        <v>1.3232715132956811E-3</v>
      </c>
      <c r="U37">
        <v>1.0553672569430243E-4</v>
      </c>
    </row>
    <row r="38" spans="1:21" x14ac:dyDescent="0.3">
      <c r="A38" s="17" t="s">
        <v>108</v>
      </c>
      <c r="B38">
        <v>116</v>
      </c>
      <c r="C38">
        <f t="shared" si="0"/>
        <v>120</v>
      </c>
      <c r="D38">
        <v>6.3582700000000001</v>
      </c>
      <c r="E38">
        <v>2967.0923422691926</v>
      </c>
      <c r="F38">
        <v>466650888.09836525</v>
      </c>
      <c r="G38">
        <v>5846.5841282773208</v>
      </c>
      <c r="H38">
        <v>0.10171609768147177</v>
      </c>
      <c r="I38">
        <v>7.9556430971707698E-4</v>
      </c>
      <c r="J38">
        <v>9.7202553115831408E-6</v>
      </c>
      <c r="K38">
        <v>8.1679855583126152E-8</v>
      </c>
      <c r="L38">
        <v>1.5164275647966449E-5</v>
      </c>
      <c r="M38">
        <v>4.6657270030188294E-7</v>
      </c>
      <c r="N38">
        <v>8.6092729098226437E-3</v>
      </c>
      <c r="O38">
        <v>1.2087640953510701E-4</v>
      </c>
      <c r="P38">
        <v>1.0468704895350815</v>
      </c>
      <c r="Q38">
        <v>9.0044927038264166E-3</v>
      </c>
      <c r="R38">
        <v>2.8763001853745499E-8</v>
      </c>
      <c r="S38">
        <v>4.8362028246154189E-10</v>
      </c>
      <c r="T38">
        <v>3.9031304260262286E-4</v>
      </c>
      <c r="U38">
        <v>1.0200489836863737E-4</v>
      </c>
    </row>
    <row r="39" spans="1:21" x14ac:dyDescent="0.3">
      <c r="A39" s="17" t="s">
        <v>108</v>
      </c>
      <c r="B39">
        <v>120</v>
      </c>
      <c r="C39">
        <f t="shared" si="0"/>
        <v>124</v>
      </c>
      <c r="D39">
        <v>6.3582700000000001</v>
      </c>
      <c r="E39">
        <v>2936.5849982784157</v>
      </c>
      <c r="F39">
        <v>461852830.76661032</v>
      </c>
      <c r="G39">
        <v>6714.2326999058978</v>
      </c>
      <c r="H39">
        <v>9.2157896125036581E-2</v>
      </c>
      <c r="I39">
        <v>7.5558821436245982E-4</v>
      </c>
      <c r="J39">
        <v>9.3817554181256078E-6</v>
      </c>
      <c r="K39">
        <v>8.6256180002361732E-8</v>
      </c>
      <c r="L39">
        <v>1.2497489002589664E-5</v>
      </c>
      <c r="M39">
        <v>5.1804367817675142E-7</v>
      </c>
      <c r="N39">
        <v>7.7452425716178185E-3</v>
      </c>
      <c r="O39">
        <v>1.1636550281932416E-4</v>
      </c>
      <c r="P39">
        <v>1.3245747714771472</v>
      </c>
      <c r="Q39">
        <v>9.6128678606851592E-3</v>
      </c>
      <c r="R39">
        <v>2.9685089543961273E-8</v>
      </c>
      <c r="S39">
        <v>5.3770084367160776E-10</v>
      </c>
      <c r="T39">
        <v>8.551186527293018E-4</v>
      </c>
      <c r="U39">
        <v>1.0683152256751622E-4</v>
      </c>
    </row>
    <row r="40" spans="1:21" x14ac:dyDescent="0.3">
      <c r="A40" s="17" t="s">
        <v>108</v>
      </c>
      <c r="B40">
        <v>124</v>
      </c>
      <c r="C40">
        <f t="shared" si="0"/>
        <v>128</v>
      </c>
      <c r="D40">
        <v>6.3582700000000001</v>
      </c>
      <c r="E40">
        <v>2900.9993054940492</v>
      </c>
      <c r="F40">
        <v>456256073.66375583</v>
      </c>
      <c r="G40">
        <v>7697.0563097356062</v>
      </c>
      <c r="H40">
        <v>0.10257941049818352</v>
      </c>
      <c r="I40">
        <v>8.0838375075158175E-4</v>
      </c>
      <c r="J40">
        <v>9.6065743468369011E-6</v>
      </c>
      <c r="K40">
        <v>8.1264798732223523E-8</v>
      </c>
      <c r="L40">
        <v>1.426066799491663E-5</v>
      </c>
      <c r="M40">
        <v>4.8186784348717515E-7</v>
      </c>
      <c r="N40">
        <v>7.8148529398701771E-3</v>
      </c>
      <c r="O40">
        <v>1.2300859717013406E-4</v>
      </c>
      <c r="P40">
        <v>1.1179375243293692</v>
      </c>
      <c r="Q40">
        <v>1.0079428784506184E-2</v>
      </c>
      <c r="R40">
        <v>2.8559675497528411E-8</v>
      </c>
      <c r="S40">
        <v>5.3468468743715961E-10</v>
      </c>
      <c r="T40">
        <v>7.9173993292501541E-4</v>
      </c>
      <c r="U40">
        <v>1.0484816133726082E-4</v>
      </c>
    </row>
    <row r="41" spans="1:21" x14ac:dyDescent="0.3">
      <c r="A41" s="17" t="s">
        <v>108</v>
      </c>
      <c r="B41">
        <v>128</v>
      </c>
      <c r="C41">
        <f t="shared" si="0"/>
        <v>132</v>
      </c>
      <c r="D41">
        <v>6.3582700000000001</v>
      </c>
      <c r="E41">
        <v>2873.6950776345625</v>
      </c>
      <c r="F41">
        <v>451961787.97606307</v>
      </c>
      <c r="G41">
        <v>9287.1293199126012</v>
      </c>
      <c r="H41">
        <v>9.9658746285656075E-2</v>
      </c>
      <c r="I41">
        <v>7.3747847617321866E-4</v>
      </c>
      <c r="J41">
        <v>9.4441905919513514E-6</v>
      </c>
      <c r="K41">
        <v>7.9284187657141449E-8</v>
      </c>
      <c r="L41">
        <v>1.3980187672225455E-5</v>
      </c>
      <c r="M41">
        <v>4.5326778180805956E-7</v>
      </c>
      <c r="N41">
        <v>6.7752098186582331E-3</v>
      </c>
      <c r="O41">
        <v>1.1597842327153423E-4</v>
      </c>
      <c r="P41">
        <v>2.3195429803718834</v>
      </c>
      <c r="Q41">
        <v>1.0974613805216471E-2</v>
      </c>
      <c r="R41">
        <v>2.9225532778818002E-8</v>
      </c>
      <c r="S41">
        <v>6.0506087350897577E-10</v>
      </c>
      <c r="T41">
        <v>1.1717744429070073E-3</v>
      </c>
      <c r="U41">
        <v>1.0442380875071817E-4</v>
      </c>
    </row>
    <row r="42" spans="1:21" x14ac:dyDescent="0.3">
      <c r="A42" s="17" t="s">
        <v>108</v>
      </c>
      <c r="B42">
        <v>132</v>
      </c>
      <c r="C42">
        <f t="shared" si="0"/>
        <v>136</v>
      </c>
      <c r="D42">
        <v>6.3582700000000001</v>
      </c>
      <c r="E42">
        <v>2856.1336230046613</v>
      </c>
      <c r="F42">
        <v>449199801.67634618</v>
      </c>
      <c r="G42">
        <v>7147.9902666315984</v>
      </c>
      <c r="H42">
        <v>0.100758811703201</v>
      </c>
      <c r="I42">
        <v>7.6653710712214912E-4</v>
      </c>
      <c r="J42">
        <v>9.3735573032197806E-6</v>
      </c>
      <c r="K42">
        <v>8.1364981882683398E-8</v>
      </c>
      <c r="L42">
        <v>1.5155692977850373E-5</v>
      </c>
      <c r="M42">
        <v>4.6088878068095569E-7</v>
      </c>
      <c r="N42">
        <v>7.4035089315406446E-3</v>
      </c>
      <c r="O42">
        <v>1.187080820626127E-4</v>
      </c>
      <c r="P42">
        <v>2.2181653948180275</v>
      </c>
      <c r="Q42">
        <v>1.0305744386892357E-2</v>
      </c>
      <c r="R42">
        <v>2.9368834763012778E-8</v>
      </c>
      <c r="S42">
        <v>5.6766209049360068E-10</v>
      </c>
      <c r="T42">
        <v>5.2821162873464941E-4</v>
      </c>
      <c r="U42">
        <v>1.0874701255857286E-4</v>
      </c>
    </row>
    <row r="43" spans="1:21" x14ac:dyDescent="0.3">
      <c r="A43" s="17" t="s">
        <v>108</v>
      </c>
      <c r="B43">
        <v>138</v>
      </c>
      <c r="C43">
        <f t="shared" si="0"/>
        <v>142</v>
      </c>
      <c r="D43">
        <v>6.3582700000000001</v>
      </c>
      <c r="E43">
        <v>2846.7984353696334</v>
      </c>
      <c r="F43">
        <v>447731605.51056081</v>
      </c>
      <c r="G43">
        <v>6976.8080035170769</v>
      </c>
      <c r="H43">
        <v>9.6853764406691384E-2</v>
      </c>
      <c r="I43">
        <v>7.7397623268601196E-4</v>
      </c>
      <c r="J43">
        <v>9.0654643923348798E-6</v>
      </c>
      <c r="K43">
        <v>8.642657237956983E-8</v>
      </c>
      <c r="L43">
        <v>1.2814990830590909E-5</v>
      </c>
      <c r="M43">
        <v>5.0985255522855483E-7</v>
      </c>
      <c r="N43">
        <v>8.0265013341749743E-3</v>
      </c>
      <c r="O43">
        <v>1.2130184718046671E-4</v>
      </c>
      <c r="P43">
        <v>2.339009573776798</v>
      </c>
      <c r="Q43">
        <v>9.69488093059101E-3</v>
      </c>
      <c r="R43">
        <v>3.0285010158184812E-8</v>
      </c>
      <c r="S43">
        <v>5.5535815328721561E-10</v>
      </c>
      <c r="T43">
        <v>4.148525618752693E-4</v>
      </c>
      <c r="U43">
        <v>1.2080581745089725E-4</v>
      </c>
    </row>
    <row r="44" spans="1:21" x14ac:dyDescent="0.3">
      <c r="A44" s="17" t="s">
        <v>108</v>
      </c>
      <c r="B44">
        <v>142</v>
      </c>
      <c r="C44">
        <f t="shared" si="0"/>
        <v>146</v>
      </c>
      <c r="D44">
        <v>6.3582700000000001</v>
      </c>
      <c r="E44">
        <v>2850.4188695903395</v>
      </c>
      <c r="F44">
        <v>448301011.05966556</v>
      </c>
      <c r="G44">
        <v>13228.387347796745</v>
      </c>
      <c r="H44">
        <v>9.7940756765367731E-2</v>
      </c>
      <c r="I44">
        <v>7.6356848083701523E-4</v>
      </c>
      <c r="J44">
        <v>8.9874251951945717E-6</v>
      </c>
      <c r="K44">
        <v>8.4272875019869857E-8</v>
      </c>
      <c r="L44">
        <v>1.2324685282431076E-5</v>
      </c>
      <c r="M44">
        <v>5.03294217955479E-7</v>
      </c>
      <c r="N44">
        <v>5.7776210121667547E-3</v>
      </c>
      <c r="O44">
        <v>1.2712802506682384E-4</v>
      </c>
      <c r="P44">
        <v>2.2086548175247764</v>
      </c>
      <c r="Q44">
        <v>1.4056143141092603E-2</v>
      </c>
      <c r="R44">
        <v>2.8438877641918759E-8</v>
      </c>
      <c r="S44">
        <v>7.5070320556451935E-10</v>
      </c>
      <c r="T44">
        <v>9.246292047590224E-4</v>
      </c>
      <c r="U44">
        <v>1.2132245705171927E-4</v>
      </c>
    </row>
    <row r="45" spans="1:21" x14ac:dyDescent="0.3">
      <c r="A45" s="17" t="s">
        <v>108</v>
      </c>
      <c r="B45">
        <v>146</v>
      </c>
      <c r="C45">
        <f t="shared" si="0"/>
        <v>150</v>
      </c>
      <c r="D45">
        <v>6.3582700000000001</v>
      </c>
      <c r="E45">
        <v>2858.1662071288251</v>
      </c>
      <c r="F45">
        <v>449519477.33091319</v>
      </c>
      <c r="G45">
        <v>12471.329979141243</v>
      </c>
      <c r="H45">
        <v>9.1331282098990108E-2</v>
      </c>
      <c r="I45">
        <v>7.5294970551934709E-4</v>
      </c>
      <c r="J45">
        <v>9.0658442988673228E-6</v>
      </c>
      <c r="K45">
        <v>8.6866609886886976E-8</v>
      </c>
      <c r="L45">
        <v>1.3069690928873579E-5</v>
      </c>
      <c r="M45">
        <v>5.2808426746618647E-7</v>
      </c>
      <c r="N45">
        <v>5.0899849490651248E-3</v>
      </c>
      <c r="O45">
        <v>1.1666808334383867E-4</v>
      </c>
      <c r="P45">
        <v>1.2174298453059063</v>
      </c>
      <c r="Q45">
        <v>1.4602597116316396E-2</v>
      </c>
      <c r="R45">
        <v>2.9762905924184675E-8</v>
      </c>
      <c r="S45">
        <v>8.1552620909381686E-10</v>
      </c>
      <c r="T45">
        <v>6.1304324140405979E-4</v>
      </c>
      <c r="U45">
        <v>1.1300510980938718E-4</v>
      </c>
    </row>
    <row r="46" spans="1:21" x14ac:dyDescent="0.3">
      <c r="A46" s="17" t="s">
        <v>108</v>
      </c>
      <c r="B46">
        <v>150</v>
      </c>
      <c r="C46">
        <f t="shared" si="0"/>
        <v>154</v>
      </c>
      <c r="D46">
        <v>6.3582700000000001</v>
      </c>
      <c r="E46">
        <v>2828.8420632909288</v>
      </c>
      <c r="F46">
        <v>444907508.37742478</v>
      </c>
      <c r="G46">
        <v>32660.20495346078</v>
      </c>
      <c r="H46">
        <v>9.8899523851016302E-2</v>
      </c>
      <c r="I46">
        <v>7.6070699581012868E-4</v>
      </c>
      <c r="J46">
        <v>9.1988424600696543E-6</v>
      </c>
      <c r="K46">
        <v>8.4154724401858324E-8</v>
      </c>
      <c r="L46">
        <v>1.4652599358406227E-5</v>
      </c>
      <c r="M46">
        <v>4.7231778578792121E-7</v>
      </c>
      <c r="N46">
        <v>8.2086786137642882E-3</v>
      </c>
      <c r="O46">
        <v>1.3178992392212305E-4</v>
      </c>
      <c r="P46">
        <v>-2.9854465370551475</v>
      </c>
      <c r="Q46">
        <v>1.6075214195483412E-2</v>
      </c>
      <c r="R46">
        <v>1.6119236974374166E-8</v>
      </c>
      <c r="T46">
        <v>1.2545832520258068E-3</v>
      </c>
      <c r="U46">
        <v>1.1591957014052813E-4</v>
      </c>
    </row>
    <row r="47" spans="1:21" x14ac:dyDescent="0.3">
      <c r="A47" s="17" t="s">
        <v>108</v>
      </c>
      <c r="B47">
        <v>154</v>
      </c>
      <c r="C47">
        <f t="shared" si="0"/>
        <v>158</v>
      </c>
      <c r="D47">
        <v>6.3582700000000001</v>
      </c>
      <c r="E47">
        <v>2837.5552231422271</v>
      </c>
      <c r="F47">
        <v>446277874.82164598</v>
      </c>
      <c r="G47">
        <v>141177.14374808909</v>
      </c>
      <c r="H47">
        <v>9.1515310838529304E-2</v>
      </c>
      <c r="I47">
        <v>7.7801640008782341E-4</v>
      </c>
      <c r="J47">
        <v>9.373417583007967E-6</v>
      </c>
      <c r="K47">
        <v>9.0526318179828683E-8</v>
      </c>
      <c r="L47">
        <v>1.2304087846544816E-5</v>
      </c>
      <c r="M47">
        <v>5.3714176856019393E-7</v>
      </c>
      <c r="N47">
        <v>7.5329756294830342E-3</v>
      </c>
      <c r="O47">
        <v>2.4779824398549677E-4</v>
      </c>
      <c r="P47">
        <v>-2.6127101575732223</v>
      </c>
      <c r="Q47">
        <v>3.3916698810087409E-2</v>
      </c>
      <c r="R47">
        <v>9.2694939614076772E-9</v>
      </c>
      <c r="T47">
        <v>7.5430237899780806E-4</v>
      </c>
      <c r="U47">
        <v>1.1231422284535498E-4</v>
      </c>
    </row>
    <row r="48" spans="1:21" x14ac:dyDescent="0.3">
      <c r="A48" s="17" t="s">
        <v>108</v>
      </c>
      <c r="B48">
        <v>158</v>
      </c>
      <c r="C48">
        <f t="shared" si="0"/>
        <v>162</v>
      </c>
      <c r="D48">
        <v>6.3582700000000001</v>
      </c>
      <c r="E48">
        <v>3007.3079600410711</v>
      </c>
      <c r="F48">
        <v>472975818.90059268</v>
      </c>
      <c r="G48">
        <v>13416.77266167296</v>
      </c>
      <c r="H48">
        <v>9.4260829271277866E-2</v>
      </c>
      <c r="I48">
        <v>6.9182791942198202E-4</v>
      </c>
      <c r="J48">
        <v>9.2748778799605098E-6</v>
      </c>
      <c r="K48">
        <v>7.9197782723729324E-8</v>
      </c>
      <c r="L48">
        <v>1.4620851383911024E-5</v>
      </c>
      <c r="M48">
        <v>4.4986747546488344E-7</v>
      </c>
      <c r="N48">
        <v>8.6228989745062538E-3</v>
      </c>
      <c r="O48">
        <v>1.0079732794367711E-4</v>
      </c>
      <c r="P48">
        <v>1.4277205628510359</v>
      </c>
      <c r="Q48">
        <v>1.1631373583197657E-2</v>
      </c>
      <c r="R48">
        <v>1.9182483142194979E-8</v>
      </c>
      <c r="T48">
        <v>1.1414324388605507E-3</v>
      </c>
      <c r="U48">
        <v>1.0176780869944476E-4</v>
      </c>
    </row>
    <row r="49" spans="1:21" x14ac:dyDescent="0.3">
      <c r="A49" s="17" t="s">
        <v>108</v>
      </c>
      <c r="B49">
        <v>160</v>
      </c>
      <c r="C49">
        <f t="shared" si="0"/>
        <v>164</v>
      </c>
      <c r="D49">
        <v>6.3582700000000001</v>
      </c>
      <c r="E49">
        <v>3035.9740260443632</v>
      </c>
      <c r="F49">
        <v>477484288.34327</v>
      </c>
      <c r="G49">
        <v>7641.5338153557059</v>
      </c>
      <c r="H49">
        <v>9.2009363999034935E-2</v>
      </c>
      <c r="I49">
        <v>9.1264956100503558E-4</v>
      </c>
      <c r="J49">
        <v>9.2095804967756241E-6</v>
      </c>
      <c r="K49">
        <v>9.4094591622940265E-8</v>
      </c>
      <c r="L49">
        <v>1.3397066265580998E-5</v>
      </c>
      <c r="M49">
        <v>6.4872125833676088E-7</v>
      </c>
      <c r="N49">
        <v>1.0870907904895106E-2</v>
      </c>
      <c r="O49">
        <v>1.5785124526027008E-4</v>
      </c>
      <c r="P49">
        <v>-2.2608686302580212</v>
      </c>
      <c r="Q49">
        <v>8.8598435964153399E-3</v>
      </c>
      <c r="R49">
        <v>2.3280469540648496E-8</v>
      </c>
      <c r="S49">
        <v>3.5962057582982823E-10</v>
      </c>
      <c r="T49">
        <v>4.481354166843139E-4</v>
      </c>
      <c r="U49">
        <v>1.1467461443558532E-4</v>
      </c>
    </row>
    <row r="50" spans="1:21" x14ac:dyDescent="0.3">
      <c r="A50" s="17" t="s">
        <v>108</v>
      </c>
      <c r="B50">
        <v>164</v>
      </c>
      <c r="C50">
        <f t="shared" si="0"/>
        <v>168</v>
      </c>
      <c r="D50">
        <v>6.3582700000000001</v>
      </c>
      <c r="E50">
        <v>3051.2878783844144</v>
      </c>
      <c r="F50">
        <v>479892781.90206057</v>
      </c>
      <c r="G50">
        <v>8531.0786704373422</v>
      </c>
      <c r="H50">
        <v>8.9764972324017617E-2</v>
      </c>
      <c r="I50">
        <v>6.5635130586754603E-4</v>
      </c>
      <c r="J50">
        <v>9.2059265280550647E-6</v>
      </c>
      <c r="K50">
        <v>7.8334527060887426E-8</v>
      </c>
      <c r="L50">
        <v>1.2935687795638815E-5</v>
      </c>
      <c r="M50">
        <v>4.6205568953764302E-7</v>
      </c>
      <c r="N50">
        <v>6.4374690989237645E-3</v>
      </c>
      <c r="O50">
        <v>1.0721198014571531E-4</v>
      </c>
      <c r="P50">
        <v>0.98436124085824683</v>
      </c>
      <c r="Q50">
        <v>1.0725780140838082E-2</v>
      </c>
      <c r="R50">
        <v>2.8225720051602366E-8</v>
      </c>
      <c r="S50">
        <v>5.6498674749768303E-10</v>
      </c>
      <c r="T50">
        <v>8.1438549446591563E-4</v>
      </c>
      <c r="U50">
        <v>9.8169107221198718E-5</v>
      </c>
    </row>
    <row r="51" spans="1:21" x14ac:dyDescent="0.3">
      <c r="A51" s="17" t="s">
        <v>108</v>
      </c>
      <c r="B51">
        <v>168</v>
      </c>
      <c r="C51">
        <f t="shared" si="0"/>
        <v>172</v>
      </c>
      <c r="D51">
        <v>6.3582700000000001</v>
      </c>
      <c r="E51">
        <v>3041.5305259595289</v>
      </c>
      <c r="F51">
        <v>478358189.56406832</v>
      </c>
      <c r="G51">
        <v>21550.377688556167</v>
      </c>
      <c r="H51">
        <v>8.6122532471445051E-2</v>
      </c>
      <c r="I51">
        <v>6.5219020706337727E-4</v>
      </c>
      <c r="J51">
        <v>8.962140270422466E-6</v>
      </c>
      <c r="K51">
        <v>8.1321035665793028E-8</v>
      </c>
      <c r="L51">
        <v>1.0894310943039252E-5</v>
      </c>
      <c r="M51">
        <v>5.0025818804662795E-7</v>
      </c>
      <c r="N51">
        <v>6.360499079865866E-3</v>
      </c>
      <c r="O51">
        <v>9.6371216166658835E-5</v>
      </c>
      <c r="P51">
        <v>0.95851978680235927</v>
      </c>
      <c r="Q51">
        <v>1.49900983180698E-2</v>
      </c>
      <c r="R51">
        <v>1.9565202835602636E-8</v>
      </c>
      <c r="T51">
        <v>4.7456749583511088E-4</v>
      </c>
      <c r="U51">
        <v>1.0434163096909618E-4</v>
      </c>
    </row>
    <row r="52" spans="1:21" x14ac:dyDescent="0.3">
      <c r="A52" s="17" t="s">
        <v>108</v>
      </c>
      <c r="B52">
        <v>172</v>
      </c>
      <c r="C52">
        <f t="shared" si="0"/>
        <v>176</v>
      </c>
      <c r="D52">
        <v>6.3582700000000001</v>
      </c>
      <c r="E52">
        <v>2836.1689504516967</v>
      </c>
      <c r="F52">
        <v>446059848.11146694</v>
      </c>
      <c r="G52">
        <v>109006.69318453237</v>
      </c>
      <c r="H52">
        <v>8.9053127349814368E-2</v>
      </c>
      <c r="I52">
        <v>1.0160694990850039E-3</v>
      </c>
      <c r="J52">
        <v>9.3338511243255341E-6</v>
      </c>
      <c r="K52">
        <v>1.0767948528566002E-7</v>
      </c>
      <c r="L52">
        <v>1.5045626889249357E-5</v>
      </c>
      <c r="M52">
        <v>7.2440287241307726E-7</v>
      </c>
      <c r="N52">
        <v>4.41815418556964E-3</v>
      </c>
      <c r="O52">
        <v>1.965665745836051E-4</v>
      </c>
      <c r="P52">
        <v>-0.270431328227976</v>
      </c>
      <c r="Q52">
        <v>4.4767230920370715E-2</v>
      </c>
      <c r="R52">
        <v>1.3189251342114121E-8</v>
      </c>
      <c r="T52">
        <v>1.0528784511614759E-3</v>
      </c>
      <c r="U52">
        <v>1.218523720601753E-4</v>
      </c>
    </row>
    <row r="53" spans="1:21" x14ac:dyDescent="0.3">
      <c r="A53" s="17" t="s">
        <v>108</v>
      </c>
      <c r="B53">
        <v>176</v>
      </c>
      <c r="C53">
        <f t="shared" si="0"/>
        <v>180</v>
      </c>
      <c r="D53">
        <v>6.3582700000000001</v>
      </c>
      <c r="E53">
        <v>2837.9122589746498</v>
      </c>
      <c r="F53">
        <v>446334027.80546439</v>
      </c>
      <c r="G53">
        <v>16268.366591076778</v>
      </c>
      <c r="H53">
        <v>8.7289103439165114E-2</v>
      </c>
      <c r="I53">
        <v>6.9834360971507414E-4</v>
      </c>
      <c r="J53">
        <v>9.0046136255052635E-6</v>
      </c>
      <c r="K53">
        <v>8.6419053326178102E-8</v>
      </c>
      <c r="L53">
        <v>1.2228123092484495E-5</v>
      </c>
      <c r="M53">
        <v>5.1683105075386573E-7</v>
      </c>
      <c r="N53">
        <v>5.0574028182784423E-3</v>
      </c>
      <c r="O53">
        <v>1.2383356200648026E-4</v>
      </c>
      <c r="P53">
        <v>2.590466604098848</v>
      </c>
      <c r="Q53">
        <v>1.5670839043551377E-2</v>
      </c>
      <c r="R53">
        <v>2.6174391346518924E-8</v>
      </c>
      <c r="S53">
        <v>7.5882423621164673E-10</v>
      </c>
      <c r="T53">
        <v>7.8884935762140417E-4</v>
      </c>
      <c r="U53">
        <v>1.1060038686943338E-4</v>
      </c>
    </row>
    <row r="54" spans="1:21" x14ac:dyDescent="0.3">
      <c r="A54" s="17" t="s">
        <v>108</v>
      </c>
      <c r="B54">
        <v>180</v>
      </c>
      <c r="C54">
        <f t="shared" si="0"/>
        <v>184</v>
      </c>
      <c r="D54">
        <v>6.3582700000000001</v>
      </c>
      <c r="E54">
        <v>2824.4643775454083</v>
      </c>
      <c r="F54">
        <v>444219005.72725099</v>
      </c>
      <c r="G54">
        <v>14989.576316598585</v>
      </c>
      <c r="H54">
        <v>8.6726689419046515E-2</v>
      </c>
      <c r="I54">
        <v>7.2016321372792014E-4</v>
      </c>
      <c r="J54">
        <v>8.997679604591763E-6</v>
      </c>
      <c r="K54">
        <v>8.7219492431485961E-8</v>
      </c>
      <c r="L54">
        <v>9.5556566029429109E-6</v>
      </c>
      <c r="M54">
        <v>5.6074603849184399E-7</v>
      </c>
      <c r="N54">
        <v>5.2111965339401746E-3</v>
      </c>
      <c r="O54">
        <v>1.1656694107976687E-4</v>
      </c>
      <c r="P54">
        <v>2.0260756182078694</v>
      </c>
      <c r="Q54">
        <v>1.4278342995004523E-2</v>
      </c>
      <c r="R54">
        <v>2.8886737416471861E-8</v>
      </c>
      <c r="S54">
        <v>7.7296451322132897E-10</v>
      </c>
      <c r="T54">
        <v>4.4730571768239621E-4</v>
      </c>
      <c r="U54">
        <v>1.1211353848505286E-4</v>
      </c>
    </row>
    <row r="55" spans="1:21" x14ac:dyDescent="0.3">
      <c r="A55" s="17" t="s">
        <v>108</v>
      </c>
      <c r="B55">
        <v>184</v>
      </c>
      <c r="C55">
        <f t="shared" si="0"/>
        <v>188</v>
      </c>
      <c r="D55">
        <v>6.3582700000000001</v>
      </c>
      <c r="E55">
        <v>2790.2751991894197</v>
      </c>
      <c r="F55">
        <v>438841886.10886604</v>
      </c>
      <c r="G55">
        <v>12029.884481651321</v>
      </c>
      <c r="H55">
        <v>8.0391121195491105E-2</v>
      </c>
      <c r="I55">
        <v>8.1791618967675533E-4</v>
      </c>
      <c r="J55">
        <v>8.8308198246104136E-6</v>
      </c>
      <c r="K55">
        <v>9.4481970543606405E-8</v>
      </c>
      <c r="L55">
        <v>8.0098189471338407E-6</v>
      </c>
      <c r="M55">
        <v>7.3512977075775457E-7</v>
      </c>
      <c r="N55">
        <v>6.058102782000873E-3</v>
      </c>
      <c r="O55">
        <v>1.2720779846377064E-4</v>
      </c>
      <c r="P55">
        <v>-0.2407211438163773</v>
      </c>
      <c r="Q55">
        <v>1.2894820156237566E-2</v>
      </c>
      <c r="R55">
        <v>2.6706845676065715E-8</v>
      </c>
      <c r="S55">
        <v>6.1526077698789786E-10</v>
      </c>
      <c r="T55">
        <v>3.5826055311990833E-4</v>
      </c>
      <c r="U55">
        <v>1.1220113187501917E-4</v>
      </c>
    </row>
    <row r="56" spans="1:21" x14ac:dyDescent="0.3">
      <c r="A56" s="17" t="s">
        <v>110</v>
      </c>
      <c r="B56">
        <v>0</v>
      </c>
      <c r="C56">
        <f>B56+108-52</f>
        <v>56</v>
      </c>
      <c r="D56">
        <v>6.3189200000000003</v>
      </c>
      <c r="E56">
        <v>2912.4696912703689</v>
      </c>
      <c r="F56">
        <v>460912575.4512431</v>
      </c>
      <c r="G56">
        <v>9467.2187573308092</v>
      </c>
      <c r="H56">
        <v>3.6644417020585622E-2</v>
      </c>
      <c r="I56">
        <v>1.429372201488463E-4</v>
      </c>
      <c r="J56">
        <v>9.421092356022449E-6</v>
      </c>
      <c r="K56">
        <v>1.4888083275296432E-7</v>
      </c>
      <c r="L56">
        <v>3.143130957539207E-11</v>
      </c>
      <c r="N56">
        <v>2.8854809518896519E-3</v>
      </c>
      <c r="O56">
        <v>1.8006926903455216E-4</v>
      </c>
      <c r="P56">
        <v>-0.90607268086734027</v>
      </c>
      <c r="Q56">
        <v>3.7796959235435024E-2</v>
      </c>
      <c r="R56">
        <v>3.4223607874866516E-8</v>
      </c>
      <c r="S56">
        <v>2.3622154825824904E-9</v>
      </c>
      <c r="T56">
        <v>2.619965430313913E-4</v>
      </c>
      <c r="U56">
        <v>9.9875066460279285E-5</v>
      </c>
    </row>
    <row r="57" spans="1:21" x14ac:dyDescent="0.3">
      <c r="A57" s="17" t="s">
        <v>110</v>
      </c>
      <c r="B57">
        <v>4</v>
      </c>
      <c r="C57">
        <f t="shared" ref="C57:C86" si="1">B57+108-52</f>
        <v>60</v>
      </c>
      <c r="D57">
        <v>6.3189200000000003</v>
      </c>
      <c r="E57">
        <v>2859.2366759746915</v>
      </c>
      <c r="F57">
        <v>452488190.3829596</v>
      </c>
      <c r="G57">
        <v>22184.713032280535</v>
      </c>
      <c r="H57">
        <v>2.6535245795023751E-2</v>
      </c>
      <c r="I57">
        <v>1.1632119990338807E-4</v>
      </c>
      <c r="J57">
        <v>9.5465283084703419E-6</v>
      </c>
      <c r="K57">
        <v>1.6464040588703748E-7</v>
      </c>
      <c r="L57">
        <v>3.4374915513413296E-9</v>
      </c>
      <c r="N57">
        <v>1.5239917595183147E-3</v>
      </c>
      <c r="O57">
        <v>1.3129114460797323E-4</v>
      </c>
      <c r="P57">
        <v>-1.5288305988806119</v>
      </c>
      <c r="Q57">
        <v>5.1525743669154078E-2</v>
      </c>
      <c r="R57">
        <v>3.843625447780385E-8</v>
      </c>
      <c r="S57">
        <v>3.7324962300121865E-9</v>
      </c>
      <c r="T57">
        <v>3.926663002315671E-4</v>
      </c>
      <c r="U57">
        <v>7.7810545454652124E-5</v>
      </c>
    </row>
    <row r="58" spans="1:21" x14ac:dyDescent="0.3">
      <c r="A58" s="17" t="s">
        <v>110</v>
      </c>
      <c r="B58">
        <v>8</v>
      </c>
      <c r="C58">
        <f t="shared" si="1"/>
        <v>64</v>
      </c>
      <c r="D58">
        <v>6.3189200000000003</v>
      </c>
      <c r="E58">
        <v>3295.4347238599671</v>
      </c>
      <c r="F58">
        <v>521518665.19278091</v>
      </c>
      <c r="G58">
        <v>18387.575282108326</v>
      </c>
      <c r="H58">
        <v>5.1326300354393367E-2</v>
      </c>
      <c r="I58">
        <v>1.6229996652940629E-4</v>
      </c>
      <c r="J58">
        <v>9.049155117903571E-6</v>
      </c>
      <c r="K58">
        <v>1.1838623926527394E-7</v>
      </c>
      <c r="L58">
        <v>3.8945971621823812E-14</v>
      </c>
      <c r="N58">
        <v>4.5762699355123742E-3</v>
      </c>
      <c r="O58">
        <v>2.8531577847629597E-4</v>
      </c>
      <c r="P58">
        <v>-2.7204362062237708</v>
      </c>
      <c r="Q58">
        <v>3.5660061938842524E-2</v>
      </c>
      <c r="R58">
        <v>2.608505919135502E-8</v>
      </c>
      <c r="S58">
        <v>1.5560043975191486E-9</v>
      </c>
      <c r="T58">
        <v>1.547465665071076E-5</v>
      </c>
      <c r="U58">
        <v>1.1686649341255927E-4</v>
      </c>
    </row>
    <row r="59" spans="1:21" x14ac:dyDescent="0.3">
      <c r="A59" s="17" t="s">
        <v>110</v>
      </c>
      <c r="B59">
        <v>12</v>
      </c>
      <c r="C59">
        <f t="shared" si="1"/>
        <v>68</v>
      </c>
      <c r="D59">
        <v>6.3189200000000003</v>
      </c>
      <c r="E59">
        <v>3284.6744733653231</v>
      </c>
      <c r="F59">
        <v>519815802.91653049</v>
      </c>
      <c r="G59">
        <v>4630.6719320710063</v>
      </c>
      <c r="H59">
        <v>5.273216139115762E-2</v>
      </c>
      <c r="I59">
        <v>1.4229740016218767E-4</v>
      </c>
      <c r="J59">
        <v>9.0839039778457979E-6</v>
      </c>
      <c r="K59">
        <v>1.0178620082775823E-7</v>
      </c>
      <c r="L59">
        <v>1.8499825027560825E-9</v>
      </c>
      <c r="N59">
        <v>5.3125712657345111E-3</v>
      </c>
      <c r="O59">
        <v>1.8698361196718347E-4</v>
      </c>
      <c r="P59">
        <v>-1.6485685808165786</v>
      </c>
      <c r="Q59">
        <v>2.0537627339823672E-2</v>
      </c>
      <c r="R59">
        <v>3.4337033756808691E-8</v>
      </c>
      <c r="S59">
        <v>1.2785015779921527E-9</v>
      </c>
      <c r="T59">
        <v>1.2690445301914585E-4</v>
      </c>
      <c r="U59">
        <v>1.0302383544934026E-4</v>
      </c>
    </row>
    <row r="60" spans="1:21" x14ac:dyDescent="0.3">
      <c r="A60" s="17" t="s">
        <v>110</v>
      </c>
      <c r="B60">
        <v>16</v>
      </c>
      <c r="C60">
        <f t="shared" si="1"/>
        <v>72</v>
      </c>
      <c r="D60">
        <v>6.3189200000000003</v>
      </c>
      <c r="E60">
        <v>3278.5911183924486</v>
      </c>
      <c r="F60">
        <v>518853082.23437685</v>
      </c>
      <c r="G60">
        <v>6009.5592127051841</v>
      </c>
      <c r="H60">
        <v>5.280032645613509E-2</v>
      </c>
      <c r="I60">
        <v>1.4308702309193122E-4</v>
      </c>
      <c r="J60">
        <v>8.7816813367830652E-6</v>
      </c>
      <c r="K60">
        <v>1.0563120043570188E-7</v>
      </c>
      <c r="L60">
        <v>1.889368822954801E-9</v>
      </c>
      <c r="N60">
        <v>6.0853550287495051E-3</v>
      </c>
      <c r="O60">
        <v>2.3408490106430679E-4</v>
      </c>
      <c r="P60">
        <v>-0.85708226841319923</v>
      </c>
      <c r="Q60">
        <v>2.2226388026903132E-2</v>
      </c>
      <c r="R60">
        <v>2.872784710079235E-8</v>
      </c>
      <c r="S60">
        <v>1.1118706024544024E-9</v>
      </c>
      <c r="T60">
        <v>3.9593075027066115E-4</v>
      </c>
      <c r="U60">
        <v>1.1415915142316416E-4</v>
      </c>
    </row>
    <row r="61" spans="1:21" x14ac:dyDescent="0.3">
      <c r="A61" s="17" t="s">
        <v>110</v>
      </c>
      <c r="B61">
        <v>20</v>
      </c>
      <c r="C61">
        <f t="shared" si="1"/>
        <v>76</v>
      </c>
      <c r="D61">
        <v>6.3189200000000003</v>
      </c>
      <c r="E61">
        <v>3269.0360358181269</v>
      </c>
      <c r="F61">
        <v>517340943.67678761</v>
      </c>
      <c r="G61">
        <v>7527.717919564303</v>
      </c>
      <c r="H61">
        <v>5.1622891531056543E-2</v>
      </c>
      <c r="I61">
        <v>1.3882745589054862E-4</v>
      </c>
      <c r="J61">
        <v>8.9685951723930689E-6</v>
      </c>
      <c r="K61">
        <v>1.0238966437396235E-7</v>
      </c>
      <c r="L61">
        <v>4.0992653151843984E-10</v>
      </c>
      <c r="N61">
        <v>6.745362254359454E-3</v>
      </c>
      <c r="O61">
        <v>2.7582283550407457E-4</v>
      </c>
      <c r="P61">
        <v>-1.5130149612473163</v>
      </c>
      <c r="Q61">
        <v>2.3066653760170364E-2</v>
      </c>
      <c r="R61">
        <v>2.3722065432721339E-8</v>
      </c>
      <c r="S61">
        <v>9.0231446421053003E-10</v>
      </c>
      <c r="T61">
        <v>1.8239513392851397E-4</v>
      </c>
      <c r="U61">
        <v>1.0380919864365446E-4</v>
      </c>
    </row>
    <row r="62" spans="1:21" x14ac:dyDescent="0.3">
      <c r="A62" s="17" t="s">
        <v>110</v>
      </c>
      <c r="B62">
        <v>24</v>
      </c>
      <c r="C62">
        <f t="shared" si="1"/>
        <v>80</v>
      </c>
      <c r="D62">
        <v>6.3189200000000003</v>
      </c>
      <c r="E62">
        <v>3265.3370507740319</v>
      </c>
      <c r="F62">
        <v>516755561.19938725</v>
      </c>
      <c r="G62">
        <v>10693.821385188152</v>
      </c>
      <c r="H62">
        <v>5.1340807494209155E-2</v>
      </c>
      <c r="I62">
        <v>1.388454286594086E-4</v>
      </c>
      <c r="J62">
        <v>9.0944052157819542E-6</v>
      </c>
      <c r="K62">
        <v>1.0230948378318238E-7</v>
      </c>
      <c r="L62">
        <v>2.5098615688156345E-11</v>
      </c>
      <c r="N62">
        <v>6.0651214215467122E-3</v>
      </c>
      <c r="O62">
        <v>2.9150938080756486E-4</v>
      </c>
      <c r="P62">
        <v>-0.90270603009207695</v>
      </c>
      <c r="Q62">
        <v>2.7012925218666606E-2</v>
      </c>
      <c r="R62">
        <v>2.230376799898645E-8</v>
      </c>
      <c r="S62">
        <v>9.7842342956985718E-10</v>
      </c>
      <c r="T62">
        <v>2.9052461454201543E-5</v>
      </c>
      <c r="U62">
        <v>1.0079915970545368E-4</v>
      </c>
    </row>
    <row r="63" spans="1:21" x14ac:dyDescent="0.3">
      <c r="A63" s="17" t="s">
        <v>110</v>
      </c>
      <c r="B63">
        <v>28</v>
      </c>
      <c r="C63">
        <f t="shared" si="1"/>
        <v>84</v>
      </c>
      <c r="D63">
        <v>6.3189200000000003</v>
      </c>
      <c r="E63">
        <v>3264.4340392456538</v>
      </c>
      <c r="F63">
        <v>516612655.20779723</v>
      </c>
      <c r="G63">
        <v>9383.2883049649317</v>
      </c>
      <c r="H63">
        <v>5.3074406240526846E-2</v>
      </c>
      <c r="I63">
        <v>1.4677364731553386E-4</v>
      </c>
      <c r="J63">
        <v>9.5968217154389488E-6</v>
      </c>
      <c r="K63">
        <v>1.0036926313041927E-7</v>
      </c>
      <c r="L63">
        <v>6.7438237541493166E-9</v>
      </c>
      <c r="N63">
        <v>6.0539332970396889E-3</v>
      </c>
      <c r="O63">
        <v>2.7490312693812706E-4</v>
      </c>
      <c r="P63">
        <v>-0.8903966951155351</v>
      </c>
      <c r="Q63">
        <v>2.5614564878630508E-2</v>
      </c>
      <c r="R63">
        <v>2.3341318280280167E-8</v>
      </c>
      <c r="S63">
        <v>9.8573770139483542E-10</v>
      </c>
      <c r="T63">
        <v>1.7966457915834916E-4</v>
      </c>
      <c r="U63">
        <v>9.2574506474819588E-5</v>
      </c>
    </row>
    <row r="64" spans="1:21" x14ac:dyDescent="0.3">
      <c r="A64" s="17" t="s">
        <v>110</v>
      </c>
      <c r="B64">
        <v>32</v>
      </c>
      <c r="C64">
        <f t="shared" si="1"/>
        <v>88</v>
      </c>
      <c r="D64">
        <v>6.3189200000000003</v>
      </c>
      <c r="E64">
        <v>3269.9682605335779</v>
      </c>
      <c r="F64">
        <v>517488472.7981329</v>
      </c>
      <c r="G64">
        <v>8917.6777292587776</v>
      </c>
      <c r="H64">
        <v>5.1695765268157425E-2</v>
      </c>
      <c r="I64">
        <v>1.4326385593555618E-4</v>
      </c>
      <c r="J64">
        <v>9.3679501623492691E-6</v>
      </c>
      <c r="K64">
        <v>1.0252082315210945E-7</v>
      </c>
      <c r="L64">
        <v>2.4839038464610641E-9</v>
      </c>
      <c r="N64">
        <v>5.6038701440453064E-3</v>
      </c>
      <c r="O64">
        <v>2.4780816850182488E-4</v>
      </c>
      <c r="P64">
        <v>-0.68185732016144318</v>
      </c>
      <c r="Q64">
        <v>2.5343156079392359E-2</v>
      </c>
      <c r="R64">
        <v>2.5509713115066289E-8</v>
      </c>
      <c r="S64">
        <v>1.0891048053479652E-9</v>
      </c>
      <c r="T64">
        <v>-4.4399970255987824E-5</v>
      </c>
      <c r="U64">
        <v>9.6350779040566415E-5</v>
      </c>
    </row>
    <row r="65" spans="1:21" x14ac:dyDescent="0.3">
      <c r="A65" s="17" t="s">
        <v>110</v>
      </c>
      <c r="B65">
        <v>36</v>
      </c>
      <c r="C65">
        <f t="shared" si="1"/>
        <v>92</v>
      </c>
      <c r="D65">
        <v>6.3189200000000003</v>
      </c>
      <c r="E65">
        <v>3290.3163812974376</v>
      </c>
      <c r="F65">
        <v>520708662.44507563</v>
      </c>
      <c r="G65">
        <v>9624.2062682660999</v>
      </c>
      <c r="H65">
        <v>4.9855412572449978E-2</v>
      </c>
      <c r="I65">
        <v>1.5109409144203542E-4</v>
      </c>
      <c r="J65">
        <v>9.405983007105349E-6</v>
      </c>
      <c r="K65">
        <v>1.112171684312951E-7</v>
      </c>
      <c r="L65">
        <v>1.2938577727942108E-12</v>
      </c>
      <c r="N65">
        <v>5.5895720000984387E-3</v>
      </c>
      <c r="O65">
        <v>2.4882598319896825E-4</v>
      </c>
      <c r="P65">
        <v>-1.3110620673410123</v>
      </c>
      <c r="Q65">
        <v>2.570518822730683E-2</v>
      </c>
      <c r="R65">
        <v>2.6479913061006851E-8</v>
      </c>
      <c r="S65">
        <v>1.1494469391205056E-9</v>
      </c>
      <c r="T65">
        <v>3.8356677121696649E-4</v>
      </c>
      <c r="U65">
        <v>9.981499835556993E-5</v>
      </c>
    </row>
    <row r="66" spans="1:21" x14ac:dyDescent="0.3">
      <c r="A66" s="17" t="s">
        <v>110</v>
      </c>
      <c r="B66">
        <v>40</v>
      </c>
      <c r="C66">
        <f t="shared" si="1"/>
        <v>96</v>
      </c>
      <c r="D66">
        <v>6.3189200000000003</v>
      </c>
      <c r="E66">
        <v>3328.323430699339</v>
      </c>
      <c r="F66">
        <v>526723463.93044055</v>
      </c>
      <c r="G66">
        <v>17383.107220048099</v>
      </c>
      <c r="H66">
        <v>5.0075353871292833E-2</v>
      </c>
      <c r="I66">
        <v>1.5479600739261301E-4</v>
      </c>
      <c r="J66">
        <v>9.4898687475059724E-6</v>
      </c>
      <c r="K66">
        <v>1.1202791091043481E-7</v>
      </c>
      <c r="L66">
        <v>2.3935067587322963E-14</v>
      </c>
      <c r="N66">
        <v>3.7631010402772794E-3</v>
      </c>
      <c r="O66">
        <v>2.2521712392044617E-4</v>
      </c>
      <c r="P66">
        <v>-2.541695745155109</v>
      </c>
      <c r="Q66">
        <v>3.4681086253659732E-2</v>
      </c>
      <c r="R66">
        <v>2.9467260780282544E-8</v>
      </c>
      <c r="S66">
        <v>1.7731420372088051E-9</v>
      </c>
      <c r="T66">
        <v>2.7479085012704029E-4</v>
      </c>
      <c r="U66">
        <v>9.9065409390421805E-5</v>
      </c>
    </row>
    <row r="67" spans="1:21" x14ac:dyDescent="0.3">
      <c r="A67" s="17" t="s">
        <v>110</v>
      </c>
      <c r="B67">
        <v>44</v>
      </c>
      <c r="C67">
        <f t="shared" si="1"/>
        <v>100</v>
      </c>
      <c r="D67">
        <v>6.3189200000000003</v>
      </c>
      <c r="E67">
        <v>3005.7060346632784</v>
      </c>
      <c r="F67">
        <v>475667682.87354141</v>
      </c>
      <c r="G67">
        <v>15810.382937103685</v>
      </c>
      <c r="H67">
        <v>4.9936426357026449E-2</v>
      </c>
      <c r="I67">
        <v>1.4975436923968244E-4</v>
      </c>
      <c r="J67">
        <v>9.3923573817497575E-6</v>
      </c>
      <c r="K67">
        <v>1.1519052695357182E-7</v>
      </c>
      <c r="L67">
        <v>2.2751651623705406E-14</v>
      </c>
      <c r="N67">
        <v>3.5184934453387942E-3</v>
      </c>
      <c r="O67">
        <v>2.0664530957414636E-4</v>
      </c>
      <c r="P67">
        <v>-2.1174385760286434</v>
      </c>
      <c r="Q67">
        <v>3.4914938419104757E-2</v>
      </c>
      <c r="R67">
        <v>3.1512482865353224E-8</v>
      </c>
      <c r="S67">
        <v>2.0020939200673608E-9</v>
      </c>
      <c r="T67">
        <v>3.4909392042907314E-5</v>
      </c>
      <c r="U67">
        <v>1.0611599219826937E-4</v>
      </c>
    </row>
    <row r="68" spans="1:21" x14ac:dyDescent="0.3">
      <c r="A68" s="17" t="s">
        <v>110</v>
      </c>
      <c r="B68">
        <v>48</v>
      </c>
      <c r="C68">
        <f t="shared" si="1"/>
        <v>104</v>
      </c>
      <c r="D68">
        <v>6.3189200000000003</v>
      </c>
      <c r="E68">
        <v>3047.5561228132183</v>
      </c>
      <c r="F68">
        <v>482290664.0396173</v>
      </c>
      <c r="G68">
        <v>5025.8667145808286</v>
      </c>
      <c r="H68">
        <v>5.1226933070028798E-2</v>
      </c>
      <c r="I68">
        <v>1.4022686731004347E-4</v>
      </c>
      <c r="J68">
        <v>9.3687276173745151E-6</v>
      </c>
      <c r="K68">
        <v>1.0474956397195542E-7</v>
      </c>
      <c r="L68">
        <v>1.0490262121956698E-10</v>
      </c>
      <c r="N68">
        <v>5.472949896639775E-3</v>
      </c>
      <c r="O68">
        <v>1.796257256682721E-4</v>
      </c>
      <c r="P68">
        <v>3.0433149757942659</v>
      </c>
      <c r="Q68">
        <v>1.956084825783333E-2</v>
      </c>
      <c r="R68">
        <v>3.4199247666952925E-8</v>
      </c>
      <c r="S68">
        <v>1.2343505919746198E-9</v>
      </c>
      <c r="T68">
        <v>1.534583759799374E-4</v>
      </c>
      <c r="U68">
        <v>9.9171212722037986E-5</v>
      </c>
    </row>
    <row r="69" spans="1:21" x14ac:dyDescent="0.3">
      <c r="A69" s="17" t="s">
        <v>110</v>
      </c>
      <c r="B69">
        <v>52</v>
      </c>
      <c r="C69">
        <f t="shared" si="1"/>
        <v>108</v>
      </c>
      <c r="D69">
        <v>6.3189200000000003</v>
      </c>
      <c r="E69">
        <v>3050.8835858358802</v>
      </c>
      <c r="F69">
        <v>482817251.33976692</v>
      </c>
      <c r="G69">
        <v>3455.3113450741525</v>
      </c>
      <c r="H69">
        <v>4.9910613343464458E-2</v>
      </c>
      <c r="I69">
        <v>1.419671062512784E-4</v>
      </c>
      <c r="J69">
        <v>9.5504749029465035E-6</v>
      </c>
      <c r="K69">
        <v>1.0742109296887089E-7</v>
      </c>
      <c r="L69">
        <v>4.0444818155635603E-13</v>
      </c>
      <c r="N69">
        <v>5.8848995733936727E-3</v>
      </c>
      <c r="O69">
        <v>1.6235732459039852E-4</v>
      </c>
      <c r="P69">
        <v>-3.0061869402552639</v>
      </c>
      <c r="Q69">
        <v>1.6646348003721334E-2</v>
      </c>
      <c r="R69">
        <v>3.7724051948506965E-8</v>
      </c>
      <c r="S69">
        <v>1.1760325491333162E-9</v>
      </c>
      <c r="T69">
        <v>-1.1357890751195658E-4</v>
      </c>
      <c r="U69">
        <v>9.5693358672933469E-5</v>
      </c>
    </row>
    <row r="70" spans="1:21" x14ac:dyDescent="0.3">
      <c r="A70" s="17" t="s">
        <v>110</v>
      </c>
      <c r="B70">
        <v>56</v>
      </c>
      <c r="C70">
        <f t="shared" si="1"/>
        <v>112</v>
      </c>
      <c r="D70">
        <v>6.3189200000000003</v>
      </c>
      <c r="E70">
        <v>3028.909915553967</v>
      </c>
      <c r="F70">
        <v>479339810.52995872</v>
      </c>
      <c r="G70">
        <v>2765.9091611786926</v>
      </c>
      <c r="H70">
        <v>5.0508430538377093E-2</v>
      </c>
      <c r="I70">
        <v>3.1576838308056028E-3</v>
      </c>
      <c r="J70">
        <v>9.5356664777461465E-6</v>
      </c>
      <c r="K70">
        <v>4.7036055329818199E-7</v>
      </c>
      <c r="L70">
        <v>5.7547139285754836E-7</v>
      </c>
      <c r="M70">
        <v>4.9521714290581084E-6</v>
      </c>
      <c r="N70">
        <v>5.4012175056059872E-6</v>
      </c>
      <c r="O70">
        <v>4.1766510059060499E-3</v>
      </c>
      <c r="P70">
        <v>3.5744006827530934</v>
      </c>
      <c r="Q70">
        <v>752.94117164118006</v>
      </c>
      <c r="R70">
        <v>5.0810980336400962E-9</v>
      </c>
      <c r="T70">
        <v>8.7881776325143907E-5</v>
      </c>
      <c r="U70">
        <v>2.9193744706562067E-4</v>
      </c>
    </row>
    <row r="71" spans="1:21" x14ac:dyDescent="0.3">
      <c r="A71" s="17" t="s">
        <v>110</v>
      </c>
      <c r="B71">
        <v>60</v>
      </c>
      <c r="C71">
        <f t="shared" si="1"/>
        <v>116</v>
      </c>
      <c r="D71">
        <v>6.3189200000000003</v>
      </c>
      <c r="E71">
        <v>2995.5710172537802</v>
      </c>
      <c r="F71">
        <v>474063766.79144222</v>
      </c>
      <c r="G71">
        <v>3171.951670793982</v>
      </c>
      <c r="H71">
        <v>4.6969322613913081E-2</v>
      </c>
      <c r="I71">
        <v>1.4024746438909275E-4</v>
      </c>
      <c r="J71">
        <v>9.7781490212062283E-6</v>
      </c>
      <c r="K71">
        <v>1.0968744499386586E-7</v>
      </c>
      <c r="L71">
        <v>2.3065549905383268E-9</v>
      </c>
      <c r="N71">
        <v>5.6995832627864066E-3</v>
      </c>
      <c r="O71">
        <v>1.4283905943718788E-4</v>
      </c>
      <c r="P71">
        <v>2.8086444636196828</v>
      </c>
      <c r="Q71">
        <v>1.5115842072840113E-2</v>
      </c>
      <c r="R71">
        <v>4.1697861399465091E-8</v>
      </c>
      <c r="S71">
        <v>1.1999499306047328E-9</v>
      </c>
      <c r="T71">
        <v>4.7170875566855745E-4</v>
      </c>
      <c r="U71">
        <v>8.7567163468126686E-5</v>
      </c>
    </row>
    <row r="72" spans="1:21" x14ac:dyDescent="0.3">
      <c r="A72" s="17" t="s">
        <v>110</v>
      </c>
      <c r="B72">
        <v>64</v>
      </c>
      <c r="C72">
        <f t="shared" si="1"/>
        <v>120</v>
      </c>
      <c r="D72">
        <v>6.3189200000000003</v>
      </c>
      <c r="E72">
        <v>2962.8315632957288</v>
      </c>
      <c r="F72">
        <v>468882588.05234575</v>
      </c>
      <c r="G72">
        <v>2786.9383576462069</v>
      </c>
      <c r="H72">
        <v>4.4311776765196244E-2</v>
      </c>
      <c r="I72">
        <v>2.2620370819698143E-4</v>
      </c>
      <c r="J72">
        <v>9.6991822570808431E-6</v>
      </c>
      <c r="K72">
        <v>1.895978334247158E-7</v>
      </c>
      <c r="L72">
        <v>2.9919703957644387E-9</v>
      </c>
      <c r="N72">
        <v>1.1417191141630512E-3</v>
      </c>
      <c r="O72">
        <v>1.5915905836714984E-4</v>
      </c>
      <c r="P72">
        <v>-1.5950805690652452</v>
      </c>
      <c r="Q72">
        <v>8.4978507307924889E-2</v>
      </c>
      <c r="R72">
        <v>6.9866638136082113E-8</v>
      </c>
      <c r="S72">
        <v>1.2971469885550078E-8</v>
      </c>
      <c r="T72">
        <v>2.9345864852530255E-4</v>
      </c>
      <c r="U72">
        <v>1.453384303360345E-4</v>
      </c>
    </row>
    <row r="73" spans="1:21" x14ac:dyDescent="0.3">
      <c r="A73" s="17" t="s">
        <v>110</v>
      </c>
      <c r="B73">
        <v>68</v>
      </c>
      <c r="C73">
        <f t="shared" si="1"/>
        <v>124</v>
      </c>
      <c r="D73">
        <v>6.3189200000000003</v>
      </c>
      <c r="E73">
        <v>2928.8707195337925</v>
      </c>
      <c r="F73">
        <v>463508118.40216243</v>
      </c>
      <c r="G73">
        <v>3507.1283285559307</v>
      </c>
      <c r="H73">
        <v>4.3151924589747086E-2</v>
      </c>
      <c r="I73">
        <v>1.3442716151232381E-4</v>
      </c>
      <c r="J73">
        <v>9.6667874051517335E-6</v>
      </c>
      <c r="K73">
        <v>1.1537286556181231E-7</v>
      </c>
      <c r="L73">
        <v>1.1928625016134732E-12</v>
      </c>
      <c r="N73">
        <v>4.912766505164437E-3</v>
      </c>
      <c r="O73">
        <v>1.3842846563231733E-4</v>
      </c>
      <c r="P73">
        <v>-2.834101936169207</v>
      </c>
      <c r="Q73">
        <v>1.6927562365908422E-2</v>
      </c>
      <c r="R73">
        <v>4.1899735783173469E-8</v>
      </c>
      <c r="S73">
        <v>1.3552767020404909E-9</v>
      </c>
      <c r="T73">
        <v>2.4993404071528422E-4</v>
      </c>
      <c r="U73">
        <v>8.6435088495447971E-5</v>
      </c>
    </row>
    <row r="74" spans="1:21" x14ac:dyDescent="0.3">
      <c r="A74" s="17" t="s">
        <v>110</v>
      </c>
      <c r="B74">
        <v>72</v>
      </c>
      <c r="C74">
        <f t="shared" si="1"/>
        <v>128</v>
      </c>
      <c r="D74">
        <v>6.3189200000000003</v>
      </c>
      <c r="E74">
        <v>2896.1677365379587</v>
      </c>
      <c r="F74">
        <v>458332711.37124044</v>
      </c>
      <c r="G74">
        <v>3784.3992801434024</v>
      </c>
      <c r="H74">
        <v>4.2877294487302854E-2</v>
      </c>
      <c r="I74">
        <v>2.048639643335317E-3</v>
      </c>
      <c r="J74">
        <v>9.6230807111822504E-6</v>
      </c>
      <c r="K74">
        <v>3.5466343510857924E-7</v>
      </c>
      <c r="L74">
        <v>3.484196672973522E-8</v>
      </c>
      <c r="M74">
        <v>3.8053530531775151E-6</v>
      </c>
      <c r="N74">
        <v>2.5738735260802084E-3</v>
      </c>
      <c r="O74">
        <v>1.4278190886972192E-4</v>
      </c>
      <c r="P74">
        <v>-1.4584340278487988</v>
      </c>
      <c r="Q74">
        <v>3.3826687916180709E-2</v>
      </c>
      <c r="R74">
        <v>5.5303942131379077E-8</v>
      </c>
      <c r="S74">
        <v>3.8016581014448084E-9</v>
      </c>
      <c r="T74">
        <v>3.4932098775420098E-5</v>
      </c>
      <c r="U74">
        <v>1.8332561179274515E-4</v>
      </c>
    </row>
    <row r="75" spans="1:21" x14ac:dyDescent="0.3">
      <c r="A75" s="17" t="s">
        <v>110</v>
      </c>
      <c r="B75">
        <v>76</v>
      </c>
      <c r="C75">
        <f t="shared" si="1"/>
        <v>132</v>
      </c>
      <c r="D75">
        <v>6.3189200000000003</v>
      </c>
      <c r="E75">
        <v>2872.2129396235136</v>
      </c>
      <c r="F75">
        <v>454541747.58083874</v>
      </c>
      <c r="G75">
        <v>4359.6300553783167</v>
      </c>
      <c r="H75">
        <v>5.1378962255267578E-2</v>
      </c>
      <c r="I75">
        <v>1.4510880460465864E-4</v>
      </c>
      <c r="J75">
        <v>9.614424984911115E-6</v>
      </c>
      <c r="K75">
        <v>1.0502533369820856E-7</v>
      </c>
      <c r="L75">
        <v>2.2365801273777638E-14</v>
      </c>
      <c r="N75">
        <v>5.509995565805355E-3</v>
      </c>
      <c r="O75">
        <v>1.5962533344798281E-4</v>
      </c>
      <c r="P75">
        <v>-2.3827148632386499</v>
      </c>
      <c r="Q75">
        <v>1.7386191276819396E-2</v>
      </c>
      <c r="R75">
        <v>3.88571497612298E-8</v>
      </c>
      <c r="S75">
        <v>1.2647061474952374E-9</v>
      </c>
      <c r="T75">
        <v>2.2042246358602133E-4</v>
      </c>
      <c r="U75">
        <v>9.4636466931066477E-5</v>
      </c>
    </row>
    <row r="76" spans="1:21" x14ac:dyDescent="0.3">
      <c r="A76" s="17" t="s">
        <v>110</v>
      </c>
      <c r="B76">
        <v>80</v>
      </c>
      <c r="C76">
        <f t="shared" si="1"/>
        <v>136</v>
      </c>
      <c r="D76">
        <v>6.3189200000000003</v>
      </c>
      <c r="E76">
        <v>2850.6944865545538</v>
      </c>
      <c r="F76">
        <v>451136347.12174767</v>
      </c>
      <c r="G76">
        <v>4949.574387264066</v>
      </c>
      <c r="H76">
        <v>5.1344487469082975E-2</v>
      </c>
      <c r="I76">
        <v>1.8296924297989819E-4</v>
      </c>
      <c r="J76">
        <v>9.7721279536288111E-6</v>
      </c>
      <c r="K76">
        <v>1.3137262026171149E-7</v>
      </c>
      <c r="L76">
        <v>2.2897617325241985E-10</v>
      </c>
      <c r="N76">
        <v>3.2757366788732029E-3</v>
      </c>
      <c r="O76">
        <v>1.5908003500155659E-4</v>
      </c>
      <c r="P76">
        <v>-1.6310552644246834</v>
      </c>
      <c r="Q76">
        <v>2.9652944831590755E-2</v>
      </c>
      <c r="R76">
        <v>5.020412338221385E-8</v>
      </c>
      <c r="S76">
        <v>2.9346353745298143E-9</v>
      </c>
      <c r="T76">
        <v>6.4363801293799137E-4</v>
      </c>
      <c r="U76">
        <v>1.1496720209654599E-4</v>
      </c>
    </row>
    <row r="77" spans="1:21" x14ac:dyDescent="0.3">
      <c r="A77" s="17" t="s">
        <v>110</v>
      </c>
      <c r="B77">
        <v>84</v>
      </c>
      <c r="C77">
        <f t="shared" si="1"/>
        <v>140</v>
      </c>
      <c r="D77">
        <v>6.3189200000000003</v>
      </c>
      <c r="E77">
        <v>2842.4341632584851</v>
      </c>
      <c r="F77">
        <v>449829110.55346251</v>
      </c>
      <c r="G77">
        <v>5690.5482513636143</v>
      </c>
      <c r="H77">
        <v>5.0247377750343776E-2</v>
      </c>
      <c r="I77">
        <v>1.4287699981705218E-4</v>
      </c>
      <c r="J77">
        <v>9.5186258577169303E-6</v>
      </c>
      <c r="K77">
        <v>1.0668827212375235E-7</v>
      </c>
      <c r="L77">
        <v>3.568371515939741E-14</v>
      </c>
      <c r="N77">
        <v>4.1830681539156318E-3</v>
      </c>
      <c r="O77">
        <v>1.513153929011842E-4</v>
      </c>
      <c r="P77">
        <v>-2.3606744881404387</v>
      </c>
      <c r="Q77">
        <v>2.1612201492969829E-2</v>
      </c>
      <c r="R77">
        <v>4.1321595328226648E-8</v>
      </c>
      <c r="S77">
        <v>1.7016996362360541E-9</v>
      </c>
      <c r="T77">
        <v>2.1816193497350059E-4</v>
      </c>
      <c r="U77">
        <v>9.5843187017501227E-5</v>
      </c>
    </row>
    <row r="78" spans="1:21" x14ac:dyDescent="0.3">
      <c r="A78" s="17" t="s">
        <v>110</v>
      </c>
      <c r="B78">
        <v>88</v>
      </c>
      <c r="C78">
        <f t="shared" si="1"/>
        <v>144</v>
      </c>
      <c r="D78">
        <v>6.3189200000000003</v>
      </c>
      <c r="E78">
        <v>2835.8737910306909</v>
      </c>
      <c r="F78">
        <v>448790899.55731213</v>
      </c>
      <c r="G78">
        <v>7619.3966384863197</v>
      </c>
      <c r="H78">
        <v>5.2300764771098754E-2</v>
      </c>
      <c r="I78">
        <v>1.9565477168458079E-4</v>
      </c>
      <c r="J78">
        <v>9.5940358164041909E-6</v>
      </c>
      <c r="K78">
        <v>1.4017107944076859E-7</v>
      </c>
      <c r="L78">
        <v>9.2343832238306085E-12</v>
      </c>
      <c r="N78">
        <v>5.3823629217715782E-3</v>
      </c>
      <c r="O78">
        <v>3.8237360923231226E-4</v>
      </c>
      <c r="P78">
        <v>-0.44142926464554194</v>
      </c>
      <c r="Q78">
        <v>4.1780053965461889E-2</v>
      </c>
      <c r="R78">
        <v>2.1874960542603641E-8</v>
      </c>
      <c r="S78">
        <v>1.4857419958970449E-9</v>
      </c>
      <c r="T78">
        <v>4.8988605671780518E-4</v>
      </c>
      <c r="U78">
        <v>1.2946103841850103E-4</v>
      </c>
    </row>
    <row r="79" spans="1:21" x14ac:dyDescent="0.3">
      <c r="A79" s="17" t="s">
        <v>110</v>
      </c>
      <c r="B79">
        <v>92</v>
      </c>
      <c r="C79">
        <f t="shared" si="1"/>
        <v>148</v>
      </c>
      <c r="D79">
        <v>6.3189200000000003</v>
      </c>
      <c r="E79">
        <v>2837.6445901408802</v>
      </c>
      <c r="F79">
        <v>449071137.17864448</v>
      </c>
      <c r="G79">
        <v>9011.6230881120973</v>
      </c>
      <c r="H79">
        <v>5.2379865935981103E-2</v>
      </c>
      <c r="I79">
        <v>1.4655499446806011E-4</v>
      </c>
      <c r="J79">
        <v>9.3320566726882095E-6</v>
      </c>
      <c r="K79">
        <v>1.0685258002379582E-7</v>
      </c>
      <c r="L79">
        <v>4.1318417678034602E-14</v>
      </c>
      <c r="N79">
        <v>4.3742743221806043E-3</v>
      </c>
      <c r="O79">
        <v>1.8746405716823329E-4</v>
      </c>
      <c r="P79">
        <v>-1.5345556274442</v>
      </c>
      <c r="Q79">
        <v>2.535977771304565E-2</v>
      </c>
      <c r="R79">
        <v>3.450009158200638E-8</v>
      </c>
      <c r="S79">
        <v>1.6186918647571351E-9</v>
      </c>
      <c r="T79">
        <v>-5.7884660742434084E-5</v>
      </c>
      <c r="U79">
        <v>1.0393073870871859E-4</v>
      </c>
    </row>
    <row r="80" spans="1:21" x14ac:dyDescent="0.3">
      <c r="A80" s="17" t="s">
        <v>110</v>
      </c>
      <c r="B80">
        <v>96</v>
      </c>
      <c r="C80">
        <f t="shared" si="1"/>
        <v>152</v>
      </c>
      <c r="D80">
        <v>6.3189200000000003</v>
      </c>
      <c r="E80">
        <v>2844.5202604442097</v>
      </c>
      <c r="F80">
        <v>450159245.63757885</v>
      </c>
      <c r="G80">
        <v>12638.260311392813</v>
      </c>
      <c r="H80">
        <v>5.2246274862428672E-2</v>
      </c>
      <c r="I80">
        <v>1.3810365401812491E-4</v>
      </c>
      <c r="J80">
        <v>9.2937229709856573E-6</v>
      </c>
      <c r="K80">
        <v>1.0175587707079708E-7</v>
      </c>
      <c r="L80">
        <v>2.9205573424421472E-14</v>
      </c>
      <c r="N80">
        <v>3.6698251875955305E-3</v>
      </c>
      <c r="O80">
        <v>1.8020465623513307E-4</v>
      </c>
      <c r="P80">
        <v>-1.2091833047563127</v>
      </c>
      <c r="Q80">
        <v>2.913000936695298E-2</v>
      </c>
      <c r="R80">
        <v>3.3936181833865762E-8</v>
      </c>
      <c r="S80">
        <v>1.8260954460123615E-9</v>
      </c>
      <c r="T80">
        <v>4.7702984217416556E-5</v>
      </c>
      <c r="U80">
        <v>9.9708669130993156E-5</v>
      </c>
    </row>
    <row r="81" spans="1:21" x14ac:dyDescent="0.3">
      <c r="A81" s="17" t="s">
        <v>110</v>
      </c>
      <c r="B81">
        <v>100</v>
      </c>
      <c r="C81">
        <f t="shared" si="1"/>
        <v>156</v>
      </c>
      <c r="D81">
        <v>6.3189200000000003</v>
      </c>
      <c r="E81">
        <v>2784.7935173662545</v>
      </c>
      <c r="F81">
        <v>440707196.38264996</v>
      </c>
      <c r="G81">
        <v>94301.784498013192</v>
      </c>
      <c r="H81">
        <v>5.0955338194702215E-2</v>
      </c>
      <c r="I81">
        <v>1.3323992163630574E-4</v>
      </c>
      <c r="J81">
        <v>9.2164978679103704E-6</v>
      </c>
      <c r="K81">
        <v>1.0077843891883072E-7</v>
      </c>
      <c r="L81">
        <v>2.2883805833179747E-14</v>
      </c>
      <c r="N81">
        <v>3.7342391300286912E-3</v>
      </c>
      <c r="O81">
        <v>1.966241407409643E-4</v>
      </c>
      <c r="P81">
        <v>-1.974711432845911E-2</v>
      </c>
      <c r="Q81">
        <v>5.2922847368705089E-2</v>
      </c>
      <c r="R81">
        <v>1.8111508868752989E-8</v>
      </c>
      <c r="T81">
        <v>4.0287081267048277E-4</v>
      </c>
      <c r="U81">
        <v>9.7543062653264857E-5</v>
      </c>
    </row>
    <row r="82" spans="1:21" x14ac:dyDescent="0.3">
      <c r="A82" s="17" t="s">
        <v>110</v>
      </c>
      <c r="B82">
        <v>104</v>
      </c>
      <c r="C82">
        <f t="shared" si="1"/>
        <v>160</v>
      </c>
      <c r="D82">
        <v>6.3189200000000003</v>
      </c>
      <c r="E82">
        <v>2951.8436317883875</v>
      </c>
      <c r="F82">
        <v>467143694.14209831</v>
      </c>
      <c r="G82">
        <v>37782.789091611594</v>
      </c>
      <c r="H82">
        <v>4.6733371470446282E-2</v>
      </c>
      <c r="I82">
        <v>1.1963881556405903E-4</v>
      </c>
      <c r="J82">
        <v>8.8675914009507519E-6</v>
      </c>
      <c r="K82">
        <v>1.0214247284518489E-7</v>
      </c>
      <c r="L82">
        <v>2.2463538776995191E-14</v>
      </c>
      <c r="N82">
        <v>5.8741059873917189E-3</v>
      </c>
      <c r="O82">
        <v>2.2575716666995869E-4</v>
      </c>
      <c r="P82">
        <v>-1.7187161292042885</v>
      </c>
      <c r="Q82">
        <v>3.8307916817603149E-2</v>
      </c>
      <c r="R82">
        <v>1.5390543668051046E-8</v>
      </c>
      <c r="T82">
        <v>1.8518680105146721E-4</v>
      </c>
      <c r="U82">
        <v>9.7504191132832753E-5</v>
      </c>
    </row>
    <row r="83" spans="1:21" x14ac:dyDescent="0.3">
      <c r="A83" s="17" t="s">
        <v>110</v>
      </c>
      <c r="B83">
        <v>108</v>
      </c>
      <c r="C83">
        <f t="shared" si="1"/>
        <v>164</v>
      </c>
      <c r="D83">
        <v>6.3189200000000003</v>
      </c>
      <c r="E83">
        <v>3011.2584429590347</v>
      </c>
      <c r="F83">
        <v>476546378.64683121</v>
      </c>
      <c r="G83">
        <v>9861.1932087822042</v>
      </c>
      <c r="H83">
        <v>4.5411818175580647E-2</v>
      </c>
      <c r="I83">
        <v>1.1989266787074127E-4</v>
      </c>
      <c r="J83">
        <v>9.3058806464161825E-6</v>
      </c>
      <c r="K83">
        <v>1.0110243876464579E-7</v>
      </c>
      <c r="L83">
        <v>2.2394178644509686E-14</v>
      </c>
      <c r="N83">
        <v>4.5601528088879432E-3</v>
      </c>
      <c r="O83">
        <v>1.9135887159046037E-4</v>
      </c>
      <c r="P83">
        <v>-2.9114739368508848</v>
      </c>
      <c r="Q83">
        <v>2.4803205166009867E-2</v>
      </c>
      <c r="R83">
        <v>2.7346129963422219E-8</v>
      </c>
      <c r="S83">
        <v>1.1815386888197346E-9</v>
      </c>
      <c r="T83">
        <v>3.1473754024422169E-4</v>
      </c>
      <c r="U83">
        <v>8.5720484098878306E-5</v>
      </c>
    </row>
    <row r="84" spans="1:21" x14ac:dyDescent="0.3">
      <c r="A84" s="17" t="s">
        <v>110</v>
      </c>
      <c r="B84">
        <v>112</v>
      </c>
      <c r="C84">
        <f t="shared" si="1"/>
        <v>168</v>
      </c>
      <c r="D84">
        <v>6.3189200000000003</v>
      </c>
      <c r="E84">
        <v>3037.4177656325501</v>
      </c>
      <c r="F84">
        <v>480686219.42239338</v>
      </c>
      <c r="G84">
        <v>7030.1468356182004</v>
      </c>
      <c r="H84">
        <v>4.6381341683769797E-2</v>
      </c>
      <c r="I84">
        <v>1.3151091428007314E-4</v>
      </c>
      <c r="J84">
        <v>9.1038375564051353E-6</v>
      </c>
      <c r="K84">
        <v>1.0978465723601972E-7</v>
      </c>
      <c r="L84">
        <v>6.4963430247130474E-12</v>
      </c>
      <c r="N84">
        <v>5.6028802987782636E-3</v>
      </c>
      <c r="O84">
        <v>1.9696810960368599E-4</v>
      </c>
      <c r="P84">
        <v>2.29477068049485</v>
      </c>
      <c r="Q84">
        <v>2.074946736639216E-2</v>
      </c>
      <c r="R84">
        <v>2.9921601280012023E-8</v>
      </c>
      <c r="S84">
        <v>1.1046708082741619E-9</v>
      </c>
      <c r="T84">
        <v>1.5324188669872413E-4</v>
      </c>
      <c r="U84">
        <v>9.8682405650852699E-5</v>
      </c>
    </row>
    <row r="85" spans="1:21" x14ac:dyDescent="0.3">
      <c r="A85" s="17" t="s">
        <v>110</v>
      </c>
      <c r="B85">
        <v>116</v>
      </c>
      <c r="C85">
        <f t="shared" si="1"/>
        <v>172</v>
      </c>
      <c r="D85">
        <v>6.3189200000000003</v>
      </c>
      <c r="E85">
        <v>3028.5543962543957</v>
      </c>
      <c r="F85">
        <v>479283547.86172253</v>
      </c>
      <c r="G85">
        <v>10759.070036392426</v>
      </c>
      <c r="H85">
        <v>4.7444308240133071E-2</v>
      </c>
      <c r="I85">
        <v>1.2365481813618115E-4</v>
      </c>
      <c r="J85">
        <v>8.9070577079932366E-6</v>
      </c>
      <c r="K85">
        <v>1.0380856631929385E-7</v>
      </c>
      <c r="L85">
        <v>4.3128092077591208E-14</v>
      </c>
      <c r="N85">
        <v>5.5977255179656118E-3</v>
      </c>
      <c r="O85">
        <v>2.293129801548585E-4</v>
      </c>
      <c r="P85">
        <v>-2.7343650144687133</v>
      </c>
      <c r="Q85">
        <v>2.3975798053889941E-2</v>
      </c>
      <c r="R85">
        <v>2.4836592020017792E-8</v>
      </c>
      <c r="S85">
        <v>1.0197440961754954E-9</v>
      </c>
      <c r="T85">
        <v>4.2464274850156705E-5</v>
      </c>
      <c r="U85">
        <v>9.9872331223941539E-5</v>
      </c>
    </row>
    <row r="86" spans="1:21" x14ac:dyDescent="0.3">
      <c r="A86" s="17" t="s">
        <v>110</v>
      </c>
      <c r="B86">
        <v>120</v>
      </c>
      <c r="C86">
        <f t="shared" si="1"/>
        <v>176</v>
      </c>
      <c r="D86">
        <v>6.3189200000000003</v>
      </c>
      <c r="E86">
        <v>2769.9598943602896</v>
      </c>
      <c r="F86">
        <v>438359702.98093498</v>
      </c>
      <c r="G86">
        <v>129425.62150722314</v>
      </c>
      <c r="H86">
        <v>4.7696281856213218E-2</v>
      </c>
      <c r="I86">
        <v>1.2746745586502545E-4</v>
      </c>
      <c r="J86">
        <v>9.0728868578229976E-6</v>
      </c>
      <c r="K86">
        <v>1.0385358917937454E-7</v>
      </c>
      <c r="L86">
        <v>2.2251653936674231E-14</v>
      </c>
      <c r="N86">
        <v>2.7330388940721866E-2</v>
      </c>
      <c r="O86">
        <v>1.5571854608511931E-3</v>
      </c>
      <c r="P86">
        <v>-0.34965801635413218</v>
      </c>
      <c r="Q86">
        <v>5.8010608608268455E-2</v>
      </c>
      <c r="R86">
        <v>5.7209658144004041E-9</v>
      </c>
      <c r="T86">
        <v>1.4086408231382011E-4</v>
      </c>
      <c r="U86">
        <v>9.6633212256835E-5</v>
      </c>
    </row>
    <row r="87" spans="1:21" x14ac:dyDescent="0.3">
      <c r="A87" s="17" t="s">
        <v>110</v>
      </c>
      <c r="B87">
        <v>124</v>
      </c>
      <c r="C87">
        <f>0</f>
        <v>0</v>
      </c>
      <c r="D87">
        <v>6.3189200000000003</v>
      </c>
      <c r="E87">
        <v>2828.6063228652179</v>
      </c>
      <c r="F87">
        <v>447640787.17015219</v>
      </c>
      <c r="G87">
        <v>18060.055927054953</v>
      </c>
      <c r="H87">
        <v>4.6635016554979154E-2</v>
      </c>
      <c r="I87">
        <v>1.2865663810708236E-4</v>
      </c>
      <c r="J87">
        <v>9.1522974576060639E-6</v>
      </c>
      <c r="K87">
        <v>1.0843619488001164E-7</v>
      </c>
      <c r="L87">
        <v>2.8085948113692282E-14</v>
      </c>
      <c r="N87">
        <v>2.684636864637512E-3</v>
      </c>
      <c r="O87">
        <v>1.7260807923538354E-4</v>
      </c>
      <c r="P87">
        <v>-0.40732710199053462</v>
      </c>
      <c r="Q87">
        <v>3.82294740613493E-2</v>
      </c>
      <c r="R87">
        <v>3.3531745838271543E-8</v>
      </c>
      <c r="S87">
        <v>2.3677683991230156E-9</v>
      </c>
      <c r="T87">
        <v>4.8860731780576332E-4</v>
      </c>
      <c r="U87">
        <v>9.7972901843633507E-5</v>
      </c>
    </row>
    <row r="88" spans="1:21" x14ac:dyDescent="0.3">
      <c r="A88" s="17" t="s">
        <v>110</v>
      </c>
      <c r="B88">
        <v>128</v>
      </c>
      <c r="C88">
        <f>C87+4</f>
        <v>4</v>
      </c>
      <c r="D88">
        <v>6.3189200000000003</v>
      </c>
      <c r="E88">
        <v>2818.7274178491584</v>
      </c>
      <c r="F88">
        <v>446077402.12712908</v>
      </c>
      <c r="G88">
        <v>9294.6950231154187</v>
      </c>
      <c r="H88">
        <v>4.9362247302682113E-2</v>
      </c>
      <c r="I88">
        <v>1.4018659255651822E-4</v>
      </c>
      <c r="J88">
        <v>9.1760428083000345E-6</v>
      </c>
      <c r="K88">
        <v>1.0937272310336556E-7</v>
      </c>
      <c r="L88">
        <v>2.2968089526649036E-14</v>
      </c>
      <c r="N88">
        <v>4.5002064896070976E-3</v>
      </c>
      <c r="O88">
        <v>1.8836020997357178E-4</v>
      </c>
      <c r="P88">
        <v>-1.8377510680869562</v>
      </c>
      <c r="Q88">
        <v>2.4757501089291756E-2</v>
      </c>
      <c r="R88">
        <v>3.318601744782244E-8</v>
      </c>
      <c r="S88">
        <v>1.4935462104281445E-9</v>
      </c>
      <c r="T88">
        <v>3.2238948803691255E-4</v>
      </c>
      <c r="U88">
        <v>1.0315094107466149E-4</v>
      </c>
    </row>
    <row r="89" spans="1:21" x14ac:dyDescent="0.3">
      <c r="A89" s="17" t="s">
        <v>110</v>
      </c>
      <c r="B89">
        <v>132</v>
      </c>
      <c r="C89">
        <f t="shared" ref="C89:C101" si="2">C88+4</f>
        <v>8</v>
      </c>
      <c r="D89">
        <v>6.3189200000000003</v>
      </c>
      <c r="E89">
        <v>2792.5783945273865</v>
      </c>
      <c r="F89">
        <v>441939191.27436119</v>
      </c>
      <c r="G89">
        <v>10293.012383977284</v>
      </c>
      <c r="H89">
        <v>4.9759565805863777E-2</v>
      </c>
      <c r="I89">
        <v>1.4376279431546624E-4</v>
      </c>
      <c r="J89">
        <v>9.1465874531034574E-6</v>
      </c>
      <c r="K89">
        <v>1.13260862460093E-7</v>
      </c>
      <c r="L89">
        <v>3.6905773391523596E-14</v>
      </c>
      <c r="N89">
        <v>4.4427128705054175E-3</v>
      </c>
      <c r="O89">
        <v>1.9023226790687141E-4</v>
      </c>
      <c r="P89">
        <v>-0.82253669193659629</v>
      </c>
      <c r="Q89">
        <v>2.5471644985619546E-2</v>
      </c>
      <c r="R89">
        <v>3.3997831450591624E-8</v>
      </c>
      <c r="S89">
        <v>1.5976469579603805E-9</v>
      </c>
      <c r="T89">
        <v>3.4370470522232012E-4</v>
      </c>
      <c r="U89">
        <v>1.0913338679378477E-4</v>
      </c>
    </row>
    <row r="90" spans="1:21" x14ac:dyDescent="0.3">
      <c r="A90" s="17" t="s">
        <v>110</v>
      </c>
      <c r="B90">
        <v>136</v>
      </c>
      <c r="C90">
        <f t="shared" si="2"/>
        <v>12</v>
      </c>
      <c r="D90">
        <v>6.3189200000000003</v>
      </c>
      <c r="E90">
        <v>2763.468121114448</v>
      </c>
      <c r="F90">
        <v>437332348.10924143</v>
      </c>
      <c r="G90">
        <v>11174.958552101489</v>
      </c>
      <c r="H90">
        <v>5.0348735268701539E-2</v>
      </c>
      <c r="I90">
        <v>1.3611756942123743E-4</v>
      </c>
      <c r="J90">
        <v>9.0780218522727127E-6</v>
      </c>
      <c r="K90">
        <v>1.0708241645453223E-7</v>
      </c>
      <c r="L90">
        <v>5.71294968022632E-10</v>
      </c>
      <c r="N90">
        <v>5.0195726939313281E-3</v>
      </c>
      <c r="O90">
        <v>2.0228892941302279E-4</v>
      </c>
      <c r="P90">
        <v>-0.45039071097573352</v>
      </c>
      <c r="Q90">
        <v>2.4193424407389003E-2</v>
      </c>
      <c r="R90">
        <v>3.0060597281711771E-8</v>
      </c>
      <c r="S90">
        <v>1.2994716543318832E-9</v>
      </c>
      <c r="T90">
        <v>2.9859213847000291E-4</v>
      </c>
      <c r="U90">
        <v>1.0608638442566136E-4</v>
      </c>
    </row>
    <row r="91" spans="1:21" x14ac:dyDescent="0.3">
      <c r="A91" s="17" t="s">
        <v>110</v>
      </c>
      <c r="B91">
        <v>140</v>
      </c>
      <c r="C91">
        <f t="shared" si="2"/>
        <v>16</v>
      </c>
      <c r="D91">
        <v>6.3189200000000003</v>
      </c>
      <c r="E91">
        <v>2742.8082132012469</v>
      </c>
      <c r="F91">
        <v>434062816.62075907</v>
      </c>
      <c r="G91">
        <v>7532.5921365110289</v>
      </c>
      <c r="H91">
        <v>4.8965940251360834E-2</v>
      </c>
      <c r="I91">
        <v>1.968458296801312E-4</v>
      </c>
      <c r="J91">
        <v>9.2609427193101295E-6</v>
      </c>
      <c r="K91">
        <v>1.5175864916681827E-7</v>
      </c>
      <c r="L91">
        <v>3.5077921497917472E-12</v>
      </c>
      <c r="N91">
        <v>3.5617162612337789E-3</v>
      </c>
      <c r="O91">
        <v>3.9648202622454757E-4</v>
      </c>
      <c r="P91">
        <v>-0.71951132102696091</v>
      </c>
      <c r="Q91">
        <v>6.4732353276647225E-2</v>
      </c>
      <c r="R91">
        <v>2.2276959279077449E-8</v>
      </c>
      <c r="S91">
        <v>2.3178015615909313E-9</v>
      </c>
      <c r="T91">
        <v>2.4116787344790694E-5</v>
      </c>
      <c r="U91">
        <v>1.3873920085140083E-4</v>
      </c>
    </row>
    <row r="92" spans="1:21" x14ac:dyDescent="0.3">
      <c r="A92" s="17" t="s">
        <v>110</v>
      </c>
      <c r="B92">
        <v>144</v>
      </c>
      <c r="C92">
        <f t="shared" si="2"/>
        <v>20</v>
      </c>
      <c r="D92">
        <v>6.3189200000000003</v>
      </c>
      <c r="E92">
        <v>2732.0947043199667</v>
      </c>
      <c r="F92">
        <v>432367351.43346751</v>
      </c>
      <c r="G92">
        <v>8189.9976729360442</v>
      </c>
      <c r="H92">
        <v>4.9949387845198978E-2</v>
      </c>
      <c r="I92">
        <v>1.6771232304654132E-4</v>
      </c>
      <c r="J92">
        <v>9.3502621859309066E-6</v>
      </c>
      <c r="K92">
        <v>1.2623096824297929E-7</v>
      </c>
      <c r="L92">
        <v>5.2805225563066221E-10</v>
      </c>
      <c r="N92">
        <v>3.3078382115478504E-3</v>
      </c>
      <c r="O92">
        <v>1.7224599688614429E-4</v>
      </c>
      <c r="P92">
        <v>-0.99030425889157547</v>
      </c>
      <c r="Q92">
        <v>3.1568331287276041E-2</v>
      </c>
      <c r="R92">
        <v>4.3054383567740009E-8</v>
      </c>
      <c r="S92">
        <v>2.5736295588438187E-9</v>
      </c>
      <c r="T92">
        <v>2.5031933271837394E-4</v>
      </c>
      <c r="U92">
        <v>1.1584215483074711E-4</v>
      </c>
    </row>
    <row r="93" spans="1:21" x14ac:dyDescent="0.3">
      <c r="A93" s="17" t="s">
        <v>110</v>
      </c>
      <c r="B93">
        <v>148</v>
      </c>
      <c r="C93">
        <f t="shared" si="2"/>
        <v>24</v>
      </c>
      <c r="D93">
        <v>6.3189200000000003</v>
      </c>
      <c r="E93">
        <v>2726.8730056772592</v>
      </c>
      <c r="F93">
        <v>431540992.08049148</v>
      </c>
      <c r="G93">
        <v>7993.5113897200426</v>
      </c>
      <c r="H93">
        <v>5.0924839499556368E-2</v>
      </c>
      <c r="I93">
        <v>1.9629199672816997E-4</v>
      </c>
      <c r="J93">
        <v>9.3134376905689865E-6</v>
      </c>
      <c r="K93">
        <v>1.4532682027905966E-7</v>
      </c>
      <c r="L93">
        <v>1.3920742183134651E-11</v>
      </c>
      <c r="N93">
        <v>5.5187622912353145E-3</v>
      </c>
      <c r="O93">
        <v>4.1408388319197961E-4</v>
      </c>
      <c r="P93">
        <v>-0.41648367197851671</v>
      </c>
      <c r="Q93">
        <v>4.3430755468782417E-2</v>
      </c>
      <c r="R93">
        <v>2.1324950398183109E-8</v>
      </c>
      <c r="S93">
        <v>1.4677358450060638E-9</v>
      </c>
      <c r="T93">
        <v>3.4404841164393835E-4</v>
      </c>
      <c r="U93">
        <v>1.3694741673155313E-4</v>
      </c>
    </row>
    <row r="94" spans="1:21" x14ac:dyDescent="0.3">
      <c r="A94" s="17" t="s">
        <v>110</v>
      </c>
      <c r="B94">
        <v>152</v>
      </c>
      <c r="C94">
        <f t="shared" si="2"/>
        <v>28</v>
      </c>
      <c r="D94">
        <v>6.3189200000000003</v>
      </c>
      <c r="E94">
        <v>2737.5054033329911</v>
      </c>
      <c r="F94">
        <v>433223621.01957154</v>
      </c>
      <c r="G94">
        <v>8042.7938920768493</v>
      </c>
      <c r="H94">
        <v>4.9725140181209979E-2</v>
      </c>
      <c r="I94">
        <v>2.0845985696067021E-4</v>
      </c>
      <c r="J94">
        <v>9.4624384113011913E-6</v>
      </c>
      <c r="K94">
        <v>1.5553200115793011E-7</v>
      </c>
      <c r="L94">
        <v>1.1362932095223132E-11</v>
      </c>
      <c r="N94">
        <v>5.1219281984685276E-3</v>
      </c>
      <c r="O94">
        <v>3.8890836312757346E-4</v>
      </c>
      <c r="P94">
        <v>-0.47878602736811504</v>
      </c>
      <c r="Q94">
        <v>7.7068730374447003E-2</v>
      </c>
      <c r="R94">
        <v>1.4836646521606706E-8</v>
      </c>
      <c r="T94">
        <v>6.7770299475299078E-4</v>
      </c>
      <c r="U94">
        <v>1.38723534766291E-4</v>
      </c>
    </row>
    <row r="95" spans="1:21" x14ac:dyDescent="0.3">
      <c r="A95" s="17" t="s">
        <v>110</v>
      </c>
      <c r="B95">
        <v>156</v>
      </c>
      <c r="C95">
        <f t="shared" si="2"/>
        <v>32</v>
      </c>
      <c r="D95">
        <v>6.3189200000000003</v>
      </c>
      <c r="E95">
        <v>2762.4649778266103</v>
      </c>
      <c r="F95">
        <v>437173595.77690655</v>
      </c>
      <c r="G95">
        <v>6299.1446679039327</v>
      </c>
      <c r="H95">
        <v>4.908150953118591E-2</v>
      </c>
      <c r="I95">
        <v>1.8768347319968529E-4</v>
      </c>
      <c r="J95">
        <v>9.9105994349870008E-6</v>
      </c>
      <c r="K95">
        <v>1.3850146922174111E-7</v>
      </c>
      <c r="L95">
        <v>1.1231686479149919E-9</v>
      </c>
      <c r="N95">
        <v>5.4823971778443226E-3</v>
      </c>
      <c r="O95">
        <v>2.951177842532883E-4</v>
      </c>
      <c r="P95">
        <v>-0.47523192899748251</v>
      </c>
      <c r="Q95">
        <v>3.183933598239444E-2</v>
      </c>
      <c r="R95">
        <v>2.5884020269911769E-8</v>
      </c>
      <c r="S95">
        <v>1.3964986036588381E-9</v>
      </c>
      <c r="T95">
        <v>6.1019532923808244E-4</v>
      </c>
      <c r="U95">
        <v>1.1243170053337249E-4</v>
      </c>
    </row>
    <row r="96" spans="1:21" x14ac:dyDescent="0.3">
      <c r="A96" s="17" t="s">
        <v>110</v>
      </c>
      <c r="B96">
        <v>160</v>
      </c>
      <c r="C96">
        <f t="shared" si="2"/>
        <v>36</v>
      </c>
      <c r="D96">
        <v>6.3189200000000003</v>
      </c>
      <c r="E96">
        <v>2797.0717504190484</v>
      </c>
      <c r="F96">
        <v>442650286.82418013</v>
      </c>
      <c r="G96">
        <v>6487.5495780769561</v>
      </c>
      <c r="H96">
        <v>4.8727519197880681E-2</v>
      </c>
      <c r="I96">
        <v>1.5317562189132161E-4</v>
      </c>
      <c r="J96">
        <v>9.9595721601438661E-6</v>
      </c>
      <c r="K96">
        <v>1.1222539244583003E-7</v>
      </c>
      <c r="L96">
        <v>3.1425156292079475E-12</v>
      </c>
      <c r="N96">
        <v>5.495434123975E-3</v>
      </c>
      <c r="O96">
        <v>1.9132886817055904E-4</v>
      </c>
      <c r="P96">
        <v>-2.5062218568576218</v>
      </c>
      <c r="Q96">
        <v>2.0509803451640884E-2</v>
      </c>
      <c r="R96">
        <v>3.2506145625094086E-8</v>
      </c>
      <c r="S96">
        <v>1.198254760747855E-9</v>
      </c>
      <c r="T96">
        <v>3.9340231413142183E-4</v>
      </c>
      <c r="U96">
        <v>8.9129689606199313E-5</v>
      </c>
    </row>
    <row r="97" spans="1:21" x14ac:dyDescent="0.3">
      <c r="A97" s="17" t="s">
        <v>110</v>
      </c>
      <c r="B97">
        <v>164</v>
      </c>
      <c r="C97">
        <f t="shared" si="2"/>
        <v>40</v>
      </c>
      <c r="D97">
        <v>6.3189200000000003</v>
      </c>
      <c r="E97">
        <v>2829.4871140266673</v>
      </c>
      <c r="F97">
        <v>447780176.67998129</v>
      </c>
      <c r="G97">
        <v>10502.785514981961</v>
      </c>
      <c r="H97">
        <v>4.8075206308106896E-2</v>
      </c>
      <c r="I97">
        <v>1.3650201951305105E-4</v>
      </c>
      <c r="J97">
        <v>9.6104198134238579E-6</v>
      </c>
      <c r="K97">
        <v>1.0504039782432458E-7</v>
      </c>
      <c r="L97">
        <v>3.9795660255669886E-14</v>
      </c>
      <c r="N97">
        <v>6.3189602471056738E-3</v>
      </c>
      <c r="O97">
        <v>2.2725868534839364E-4</v>
      </c>
      <c r="P97">
        <v>-2.1529612186760079</v>
      </c>
      <c r="Q97">
        <v>2.0726585964849775E-2</v>
      </c>
      <c r="R97">
        <v>2.5688472243312298E-8</v>
      </c>
      <c r="S97">
        <v>9.1538479357405618E-10</v>
      </c>
      <c r="T97">
        <v>2.8420665463325262E-4</v>
      </c>
      <c r="U97">
        <v>8.8393921070194689E-5</v>
      </c>
    </row>
    <row r="98" spans="1:21" x14ac:dyDescent="0.3">
      <c r="A98" s="17" t="s">
        <v>110</v>
      </c>
      <c r="B98">
        <v>168</v>
      </c>
      <c r="C98">
        <f t="shared" si="2"/>
        <v>44</v>
      </c>
      <c r="D98">
        <v>6.3189200000000003</v>
      </c>
      <c r="E98">
        <v>2869.6828873985914</v>
      </c>
      <c r="F98">
        <v>454141354.4400928</v>
      </c>
      <c r="G98">
        <v>8389.9112285623632</v>
      </c>
      <c r="H98">
        <v>4.8746882726074824E-2</v>
      </c>
      <c r="I98">
        <v>1.3188125204280365E-4</v>
      </c>
      <c r="J98">
        <v>9.4688538575207532E-6</v>
      </c>
      <c r="K98">
        <v>1.0118734327408241E-7</v>
      </c>
      <c r="L98">
        <v>2.3323595989214376E-14</v>
      </c>
      <c r="N98">
        <v>6.2779323181337571E-3</v>
      </c>
      <c r="O98">
        <v>2.0610377965903657E-4</v>
      </c>
      <c r="P98">
        <v>-2.5478077999042719</v>
      </c>
      <c r="Q98">
        <v>1.9107233514118693E-2</v>
      </c>
      <c r="R98">
        <v>2.7620035486876672E-8</v>
      </c>
      <c r="S98">
        <v>9.2183942572452793E-10</v>
      </c>
      <c r="T98">
        <v>6.3885170470927683E-6</v>
      </c>
      <c r="U98">
        <v>8.8739415201932506E-5</v>
      </c>
    </row>
    <row r="99" spans="1:21" x14ac:dyDescent="0.3">
      <c r="A99" s="17" t="s">
        <v>110</v>
      </c>
      <c r="B99">
        <v>172</v>
      </c>
      <c r="C99">
        <f t="shared" si="2"/>
        <v>48</v>
      </c>
      <c r="D99">
        <v>6.3189200000000003</v>
      </c>
      <c r="E99">
        <v>2907.5751288555575</v>
      </c>
      <c r="F99">
        <v>460137987.00657028</v>
      </c>
      <c r="G99">
        <v>7548.0364773727879</v>
      </c>
      <c r="H99">
        <v>4.8192920433537234E-2</v>
      </c>
      <c r="I99">
        <v>1.3571506374009459E-4</v>
      </c>
      <c r="J99">
        <v>9.6305800521674303E-6</v>
      </c>
      <c r="K99">
        <v>1.0456670957162195E-7</v>
      </c>
      <c r="L99">
        <v>1.2649831133729562E-12</v>
      </c>
      <c r="N99">
        <v>4.8157781089226337E-3</v>
      </c>
      <c r="O99">
        <v>1.7231244225219709E-4</v>
      </c>
      <c r="P99">
        <v>-2.6836825290961475</v>
      </c>
      <c r="Q99">
        <v>2.1122440851220947E-2</v>
      </c>
      <c r="R99">
        <v>3.3447172753517721E-8</v>
      </c>
      <c r="S99">
        <v>1.2938517439067293E-9</v>
      </c>
      <c r="T99">
        <v>3.5459276369136989E-4</v>
      </c>
      <c r="U99">
        <v>8.8096408298544271E-5</v>
      </c>
    </row>
    <row r="100" spans="1:21" x14ac:dyDescent="0.3">
      <c r="A100" s="17" t="s">
        <v>110</v>
      </c>
      <c r="B100">
        <v>176</v>
      </c>
      <c r="C100">
        <f t="shared" si="2"/>
        <v>52</v>
      </c>
      <c r="D100">
        <v>6.3189200000000003</v>
      </c>
      <c r="E100">
        <v>2932.6348039433847</v>
      </c>
      <c r="F100">
        <v>464103803.17259669</v>
      </c>
      <c r="G100">
        <v>7732.428575851769</v>
      </c>
      <c r="H100">
        <v>4.4710792222510988E-2</v>
      </c>
      <c r="I100">
        <v>1.4953962565120021E-3</v>
      </c>
      <c r="J100">
        <v>9.1499612460838375E-6</v>
      </c>
      <c r="K100">
        <v>2.5223735760646774E-7</v>
      </c>
      <c r="L100">
        <v>5.2622504563299411E-8</v>
      </c>
      <c r="M100">
        <v>2.7148734190679268E-6</v>
      </c>
      <c r="N100">
        <v>3.9847222133403935E-3</v>
      </c>
      <c r="O100">
        <v>1.5205229928245511E-4</v>
      </c>
      <c r="P100">
        <v>-2.8510252632645168</v>
      </c>
      <c r="Q100">
        <v>2.2698574840876118E-2</v>
      </c>
      <c r="R100">
        <v>3.6414310929953103E-8</v>
      </c>
      <c r="S100">
        <v>1.5370582740188289E-9</v>
      </c>
      <c r="T100">
        <v>3.7516518352655165E-4</v>
      </c>
      <c r="U100">
        <v>1.5035073425298314E-4</v>
      </c>
    </row>
    <row r="101" spans="1:21" x14ac:dyDescent="0.3">
      <c r="A101" s="17" t="s">
        <v>110</v>
      </c>
      <c r="B101">
        <v>180</v>
      </c>
      <c r="C101">
        <f t="shared" si="2"/>
        <v>56</v>
      </c>
      <c r="D101">
        <v>6.3189200000000003</v>
      </c>
      <c r="E101">
        <v>2923.8789122226863</v>
      </c>
      <c r="F101">
        <v>462718140.47696221</v>
      </c>
      <c r="G101">
        <v>12047.343694254752</v>
      </c>
      <c r="H101">
        <v>4.1763209639835923E-2</v>
      </c>
      <c r="I101">
        <v>1.8162667850120627E-3</v>
      </c>
      <c r="J101">
        <v>9.1472734038049928E-6</v>
      </c>
      <c r="K101">
        <v>3.3318298597623686E-7</v>
      </c>
      <c r="L101">
        <v>1.4300498270586936E-7</v>
      </c>
      <c r="M101">
        <v>3.5126366100722016E-6</v>
      </c>
      <c r="N101">
        <v>3.1237202901421147E-3</v>
      </c>
      <c r="O101">
        <v>2.4874105998973694E-3</v>
      </c>
      <c r="P101">
        <v>-0.55104413866400836</v>
      </c>
      <c r="Q101">
        <v>0.85164573760376339</v>
      </c>
      <c r="R101">
        <v>5.0005298926274942E-9</v>
      </c>
      <c r="T101">
        <v>4.2917175941920417E-4</v>
      </c>
      <c r="U101">
        <v>1.8683203909219053E-4</v>
      </c>
    </row>
    <row r="102" spans="1:21" x14ac:dyDescent="0.3">
      <c r="A102" s="17" t="s">
        <v>112</v>
      </c>
      <c r="B102">
        <v>0</v>
      </c>
      <c r="C102">
        <f>B102+56</f>
        <v>56</v>
      </c>
      <c r="D102">
        <v>6.3198334689999998</v>
      </c>
      <c r="E102">
        <v>2893.9469065238854</v>
      </c>
      <c r="F102">
        <v>457915057.52790046</v>
      </c>
      <c r="G102">
        <v>4652.2721983410784</v>
      </c>
      <c r="H102">
        <v>4.1168674555672823E-2</v>
      </c>
      <c r="I102">
        <v>7.2395392069067588E-5</v>
      </c>
      <c r="J102">
        <v>8.4115293170168782E-6</v>
      </c>
      <c r="K102">
        <v>7.4837507559971268E-8</v>
      </c>
      <c r="L102">
        <v>4.2835510788385105E-13</v>
      </c>
      <c r="N102">
        <v>4.7801088839260321E-3</v>
      </c>
      <c r="O102">
        <v>9.1476601993878415E-5</v>
      </c>
      <c r="P102">
        <v>-1.2499847752844404</v>
      </c>
      <c r="Q102">
        <v>1.1976152493284653E-2</v>
      </c>
      <c r="R102">
        <v>3.9242391930677342E-8</v>
      </c>
      <c r="S102">
        <v>9.0126802793948301E-10</v>
      </c>
      <c r="T102">
        <v>-5.4770515046814348E-4</v>
      </c>
      <c r="U102">
        <v>7.0377211540375705E-5</v>
      </c>
    </row>
    <row r="103" spans="1:21" x14ac:dyDescent="0.3">
      <c r="A103" s="17" t="s">
        <v>112</v>
      </c>
      <c r="B103">
        <v>4</v>
      </c>
      <c r="C103">
        <f t="shared" ref="C103:C134" si="3">B103+56</f>
        <v>60</v>
      </c>
      <c r="D103">
        <v>6.3198334689999998</v>
      </c>
      <c r="E103">
        <v>2930.8265273557195</v>
      </c>
      <c r="F103">
        <v>463750594.3363837</v>
      </c>
      <c r="G103">
        <v>4359.3170417632891</v>
      </c>
      <c r="H103">
        <v>3.4809911637929042E-2</v>
      </c>
      <c r="I103">
        <v>6.2815338123684006E-4</v>
      </c>
      <c r="J103">
        <v>8.9314988028939895E-6</v>
      </c>
      <c r="K103">
        <v>1.6696756179493853E-7</v>
      </c>
      <c r="L103">
        <v>1.7892860624474911E-7</v>
      </c>
      <c r="M103">
        <v>1.3960836127123017E-6</v>
      </c>
      <c r="N103">
        <v>3.6676556676232233E-3</v>
      </c>
      <c r="O103">
        <v>7.2853076975435034E-5</v>
      </c>
      <c r="P103">
        <v>-0.81497032110444101</v>
      </c>
      <c r="Q103">
        <v>1.2718365506067919E-2</v>
      </c>
      <c r="R103">
        <v>4.2842764740899004E-8</v>
      </c>
      <c r="S103">
        <v>1.0703680009222539E-9</v>
      </c>
      <c r="T103">
        <v>-1.1552606724420015E-4</v>
      </c>
      <c r="U103">
        <v>8.787376751026791E-5</v>
      </c>
    </row>
    <row r="104" spans="1:21" x14ac:dyDescent="0.3">
      <c r="A104" s="17" t="s">
        <v>112</v>
      </c>
      <c r="B104">
        <v>8</v>
      </c>
      <c r="C104">
        <f t="shared" si="3"/>
        <v>64</v>
      </c>
      <c r="D104">
        <v>6.3198334689999998</v>
      </c>
      <c r="E104">
        <v>2924.7152139980249</v>
      </c>
      <c r="F104">
        <v>462783588.89428276</v>
      </c>
      <c r="G104">
        <v>6959.1855551831559</v>
      </c>
      <c r="H104">
        <v>2.4562872404561634E-2</v>
      </c>
      <c r="I104">
        <v>6.6888523436557309E-5</v>
      </c>
      <c r="J104">
        <v>9.5851245765113488E-6</v>
      </c>
      <c r="K104">
        <v>1.0884559069829239E-7</v>
      </c>
      <c r="L104">
        <v>1.9123693060350513E-9</v>
      </c>
      <c r="N104">
        <v>2.487249578519007E-3</v>
      </c>
      <c r="O104">
        <v>7.1734328655517245E-5</v>
      </c>
      <c r="P104">
        <v>-1.4502719442749916</v>
      </c>
      <c r="Q104">
        <v>1.8452230350715637E-2</v>
      </c>
      <c r="R104">
        <v>4.1729027561102518E-8</v>
      </c>
      <c r="S104">
        <v>1.4998371328867353E-9</v>
      </c>
      <c r="T104">
        <v>5.3150661826341646E-5</v>
      </c>
      <c r="U104">
        <v>4.8934475740813642E-5</v>
      </c>
    </row>
    <row r="105" spans="1:21" x14ac:dyDescent="0.3">
      <c r="A105" s="17" t="s">
        <v>112</v>
      </c>
      <c r="B105">
        <v>12</v>
      </c>
      <c r="C105">
        <f t="shared" si="3"/>
        <v>68</v>
      </c>
      <c r="D105">
        <v>6.3198334689999998</v>
      </c>
      <c r="E105">
        <v>2809.6735746050708</v>
      </c>
      <c r="F105">
        <v>444580318.19779128</v>
      </c>
      <c r="G105">
        <v>227521.15789057003</v>
      </c>
      <c r="H105">
        <v>3.8906027199063532E-2</v>
      </c>
      <c r="I105">
        <v>7.1338621919950218E-5</v>
      </c>
      <c r="J105">
        <v>8.4401458802467325E-6</v>
      </c>
      <c r="K105">
        <v>8.0830706702215231E-8</v>
      </c>
      <c r="L105">
        <v>3.0195048960528919E-9</v>
      </c>
      <c r="N105">
        <v>1.4603159900093217E-3</v>
      </c>
      <c r="O105">
        <v>1.2226041711200434E-4</v>
      </c>
      <c r="P105">
        <v>-2.5118318506680288</v>
      </c>
      <c r="Q105">
        <v>5.4978975822841614E-2</v>
      </c>
      <c r="R105">
        <v>2.5671827608634198E-8</v>
      </c>
      <c r="S105">
        <v>2.5769629085581234E-9</v>
      </c>
      <c r="T105">
        <v>-4.3747039290591611E-4</v>
      </c>
      <c r="U105">
        <v>7.3446863826645022E-5</v>
      </c>
    </row>
    <row r="106" spans="1:21" x14ac:dyDescent="0.3">
      <c r="A106" s="17" t="s">
        <v>112</v>
      </c>
      <c r="B106">
        <v>16</v>
      </c>
      <c r="C106">
        <f t="shared" si="3"/>
        <v>72</v>
      </c>
      <c r="D106">
        <v>6.3198334689999998</v>
      </c>
      <c r="E106">
        <v>3282.5848321362437</v>
      </c>
      <c r="F106">
        <v>519410020.57062966</v>
      </c>
      <c r="G106">
        <v>26564.828774056081</v>
      </c>
      <c r="H106">
        <v>3.1952287683127897E-2</v>
      </c>
      <c r="I106">
        <v>6.7750057400905311E-5</v>
      </c>
      <c r="J106">
        <v>8.6428948623716112E-6</v>
      </c>
      <c r="K106">
        <v>8.9407730869025551E-8</v>
      </c>
      <c r="L106">
        <v>3.5926008806314847E-10</v>
      </c>
      <c r="N106">
        <v>2.662941856808535E-3</v>
      </c>
      <c r="O106">
        <v>1.1405043860563562E-4</v>
      </c>
      <c r="P106">
        <v>-3.0865735836372439</v>
      </c>
      <c r="Q106">
        <v>2.7034735124705334E-2</v>
      </c>
      <c r="R106">
        <v>2.6828247253869959E-8</v>
      </c>
      <c r="S106">
        <v>1.2961163608958467E-9</v>
      </c>
      <c r="T106">
        <v>2.2493435229636269E-4</v>
      </c>
      <c r="U106">
        <v>6.24999390811117E-5</v>
      </c>
    </row>
    <row r="107" spans="1:21" x14ac:dyDescent="0.3">
      <c r="A107" s="17" t="s">
        <v>112</v>
      </c>
      <c r="B107">
        <v>20</v>
      </c>
      <c r="C107">
        <f t="shared" si="3"/>
        <v>76</v>
      </c>
      <c r="D107">
        <v>6.3198334689999998</v>
      </c>
      <c r="E107">
        <v>3272.7632815945944</v>
      </c>
      <c r="F107">
        <v>517855936.81354558</v>
      </c>
      <c r="G107">
        <v>9174.41716946632</v>
      </c>
      <c r="H107">
        <v>3.3539163705042167E-2</v>
      </c>
      <c r="I107">
        <v>6.6937095436307714E-5</v>
      </c>
      <c r="J107">
        <v>8.7056594821500812E-6</v>
      </c>
      <c r="K107">
        <v>8.4076068248709811E-8</v>
      </c>
      <c r="L107">
        <v>2.3972968980839666E-14</v>
      </c>
      <c r="N107">
        <v>3.3651653235845843E-3</v>
      </c>
      <c r="O107">
        <v>9.4267675649575876E-5</v>
      </c>
      <c r="P107">
        <v>-2.4734079952880852</v>
      </c>
      <c r="Q107">
        <v>1.7855272300947744E-2</v>
      </c>
      <c r="R107">
        <v>3.2648523267538301E-8</v>
      </c>
      <c r="S107">
        <v>1.0813670625219398E-9</v>
      </c>
      <c r="T107">
        <v>9.8088071620960492E-5</v>
      </c>
      <c r="U107">
        <v>6.1043759466753908E-5</v>
      </c>
    </row>
    <row r="108" spans="1:21" x14ac:dyDescent="0.3">
      <c r="A108" s="17" t="s">
        <v>112</v>
      </c>
      <c r="B108">
        <v>24</v>
      </c>
      <c r="C108">
        <f t="shared" si="3"/>
        <v>80</v>
      </c>
      <c r="D108">
        <v>6.3198334689999998</v>
      </c>
      <c r="E108">
        <v>3256.9488755946641</v>
      </c>
      <c r="F108">
        <v>515353591.4467724</v>
      </c>
      <c r="G108">
        <v>14471.126772941378</v>
      </c>
      <c r="H108">
        <v>3.7886088204567646E-2</v>
      </c>
      <c r="I108">
        <v>1.2286842250910576E-4</v>
      </c>
      <c r="J108">
        <v>1.0435681612404073E-5</v>
      </c>
      <c r="K108">
        <v>9.5194761791628846E-8</v>
      </c>
      <c r="L108">
        <v>2.2861107215679146E-14</v>
      </c>
      <c r="N108">
        <v>4.8789276930496853E-3</v>
      </c>
      <c r="O108">
        <v>1.8496286112271122E-4</v>
      </c>
      <c r="P108">
        <v>1.0451952477463458</v>
      </c>
      <c r="Q108">
        <v>2.0210497091159407E-2</v>
      </c>
      <c r="R108">
        <v>2.6780317534824181E-8</v>
      </c>
      <c r="S108">
        <v>8.6844640263693922E-10</v>
      </c>
      <c r="T108">
        <v>4.3665222788129407E-4</v>
      </c>
      <c r="U108">
        <v>4.9327181577889088E-5</v>
      </c>
    </row>
    <row r="109" spans="1:21" x14ac:dyDescent="0.3">
      <c r="A109" s="17" t="s">
        <v>112</v>
      </c>
      <c r="B109">
        <v>28</v>
      </c>
      <c r="C109">
        <f t="shared" si="3"/>
        <v>84</v>
      </c>
      <c r="D109">
        <v>6.3198334689999998</v>
      </c>
      <c r="E109">
        <v>3251.3015168061215</v>
      </c>
      <c r="F109">
        <v>514459998.47217208</v>
      </c>
      <c r="G109">
        <v>12251.266832241647</v>
      </c>
      <c r="H109">
        <v>3.9030654787463356E-2</v>
      </c>
      <c r="I109">
        <v>7.040694083004298E-4</v>
      </c>
      <c r="J109">
        <v>9.0474660493500179E-6</v>
      </c>
      <c r="K109">
        <v>1.6358808886013951E-7</v>
      </c>
      <c r="L109">
        <v>4.7177504302891821E-6</v>
      </c>
      <c r="M109">
        <v>1.3229486954128447E-6</v>
      </c>
      <c r="N109">
        <v>3.9781963845425053E-3</v>
      </c>
      <c r="O109">
        <v>1.2379753777413179E-4</v>
      </c>
      <c r="P109">
        <v>-1.9407022905078628</v>
      </c>
      <c r="Q109">
        <v>1.9584312080356825E-2</v>
      </c>
      <c r="R109">
        <v>2.394865964220377E-8</v>
      </c>
      <c r="S109">
        <v>8.2492294963235316E-10</v>
      </c>
      <c r="T109">
        <v>2.8362573769983569E-6</v>
      </c>
      <c r="U109">
        <v>9.0495498976852018E-5</v>
      </c>
    </row>
    <row r="110" spans="1:21" x14ac:dyDescent="0.3">
      <c r="A110" s="17" t="s">
        <v>112</v>
      </c>
      <c r="B110">
        <v>32</v>
      </c>
      <c r="C110">
        <f t="shared" si="3"/>
        <v>88</v>
      </c>
      <c r="D110">
        <v>6.3198334689999998</v>
      </c>
      <c r="E110">
        <v>3257.273535753824</v>
      </c>
      <c r="F110">
        <v>515404963.07875484</v>
      </c>
      <c r="G110">
        <v>42491.00371700454</v>
      </c>
      <c r="H110">
        <v>4.0141091290384186E-2</v>
      </c>
      <c r="I110">
        <v>6.7607332794886871E-4</v>
      </c>
      <c r="J110">
        <v>9.3957847807424042E-6</v>
      </c>
      <c r="K110">
        <v>1.6026643743460846E-7</v>
      </c>
      <c r="L110">
        <v>4.224992168629651E-6</v>
      </c>
      <c r="M110">
        <v>1.1994670317071106E-6</v>
      </c>
      <c r="N110">
        <v>4.0637414504408114E-3</v>
      </c>
      <c r="O110">
        <v>1.1381025115707799E-4</v>
      </c>
      <c r="P110">
        <v>-0.10283385097690141</v>
      </c>
      <c r="Q110">
        <v>2.8151396515658074E-2</v>
      </c>
      <c r="R110">
        <v>1.6025402904199037E-8</v>
      </c>
      <c r="T110">
        <v>-1.1950223310251309E-4</v>
      </c>
      <c r="U110">
        <v>8.7183406095615965E-5</v>
      </c>
    </row>
    <row r="111" spans="1:21" x14ac:dyDescent="0.3">
      <c r="A111" s="17" t="s">
        <v>112</v>
      </c>
      <c r="B111">
        <v>36</v>
      </c>
      <c r="C111">
        <f t="shared" si="3"/>
        <v>92</v>
      </c>
      <c r="D111">
        <v>6.3198334689999998</v>
      </c>
      <c r="E111">
        <v>3255.0917165555807</v>
      </c>
      <c r="F111">
        <v>515059729.42521858</v>
      </c>
      <c r="G111">
        <v>10516.29414483557</v>
      </c>
      <c r="H111">
        <v>4.6586388404046955E-2</v>
      </c>
      <c r="I111">
        <v>7.2500818434411557E-4</v>
      </c>
      <c r="J111">
        <v>9.0190280562127549E-6</v>
      </c>
      <c r="K111">
        <v>1.4203757768929838E-7</v>
      </c>
      <c r="L111">
        <v>2.4777928547777977E-6</v>
      </c>
      <c r="M111">
        <v>1.1718221360631778E-6</v>
      </c>
      <c r="N111">
        <v>4.5934415592959509E-3</v>
      </c>
      <c r="O111">
        <v>1.2408192328340877E-4</v>
      </c>
      <c r="P111">
        <v>-1.4104741727375556</v>
      </c>
      <c r="Q111">
        <v>1.6943245628104342E-2</v>
      </c>
      <c r="R111">
        <v>2.530456939573948E-8</v>
      </c>
      <c r="S111">
        <v>7.7184679192286358E-10</v>
      </c>
      <c r="T111">
        <v>-1.9039362135699008E-4</v>
      </c>
      <c r="U111">
        <v>9.6199641927170889E-5</v>
      </c>
    </row>
    <row r="112" spans="1:21" x14ac:dyDescent="0.3">
      <c r="A112" s="17" t="s">
        <v>112</v>
      </c>
      <c r="B112">
        <v>40</v>
      </c>
      <c r="C112">
        <f t="shared" si="3"/>
        <v>96</v>
      </c>
      <c r="D112">
        <v>6.3198334689999998</v>
      </c>
      <c r="E112">
        <v>3264.0104753978885</v>
      </c>
      <c r="F112">
        <v>516470962.63034278</v>
      </c>
      <c r="G112">
        <v>12744.372351880529</v>
      </c>
      <c r="H112">
        <v>4.9685832963203169E-2</v>
      </c>
      <c r="I112">
        <v>8.5523082330132838E-5</v>
      </c>
      <c r="J112">
        <v>8.7952476351914373E-6</v>
      </c>
      <c r="K112">
        <v>7.0816099402507812E-8</v>
      </c>
      <c r="L112">
        <v>1.3491275237226176E-8</v>
      </c>
      <c r="N112">
        <v>3.6536452891560781E-3</v>
      </c>
      <c r="O112">
        <v>1.2390207916985292E-4</v>
      </c>
      <c r="P112">
        <v>1.2012424741095404</v>
      </c>
      <c r="Q112">
        <v>2.1088881738517196E-2</v>
      </c>
      <c r="R112">
        <v>3.1645405145996574E-8</v>
      </c>
      <c r="S112">
        <v>1.2309362716244334E-9</v>
      </c>
      <c r="T112">
        <v>-4.0369627148975824E-4</v>
      </c>
      <c r="U112">
        <v>7.4058489959488456E-5</v>
      </c>
    </row>
    <row r="113" spans="1:21" x14ac:dyDescent="0.3">
      <c r="A113" s="17" t="s">
        <v>112</v>
      </c>
      <c r="B113">
        <v>44</v>
      </c>
      <c r="C113">
        <f t="shared" si="3"/>
        <v>100</v>
      </c>
      <c r="D113">
        <v>6.3198334689999998</v>
      </c>
      <c r="E113">
        <v>3303.8847886163726</v>
      </c>
      <c r="F113">
        <v>522780355.65692735</v>
      </c>
      <c r="G113">
        <v>12101.346503090583</v>
      </c>
      <c r="H113">
        <v>3.343812335612683E-2</v>
      </c>
      <c r="I113">
        <v>7.6091091468864086E-5</v>
      </c>
      <c r="J113">
        <v>9.6421401987315831E-6</v>
      </c>
      <c r="K113">
        <v>8.8362841502093246E-8</v>
      </c>
      <c r="L113">
        <v>2.2509760144481623E-9</v>
      </c>
      <c r="N113">
        <v>3.2390083745431467E-3</v>
      </c>
      <c r="O113">
        <v>1.1073357422218609E-4</v>
      </c>
      <c r="P113">
        <v>0.99905319984279028</v>
      </c>
      <c r="Q113">
        <v>2.1109347550990254E-2</v>
      </c>
      <c r="R113">
        <v>2.8545613665825884E-8</v>
      </c>
      <c r="S113">
        <v>1.0954667182318225E-9</v>
      </c>
      <c r="T113">
        <v>1.9119856089620278E-4</v>
      </c>
      <c r="U113">
        <v>5.2766522386076232E-5</v>
      </c>
    </row>
    <row r="114" spans="1:21" x14ac:dyDescent="0.3">
      <c r="A114" s="17" t="s">
        <v>112</v>
      </c>
      <c r="B114">
        <v>48</v>
      </c>
      <c r="C114">
        <f t="shared" si="3"/>
        <v>104</v>
      </c>
      <c r="D114">
        <v>6.3198334689999998</v>
      </c>
      <c r="E114">
        <v>3338.2829858360719</v>
      </c>
      <c r="F114">
        <v>528223251.8010155</v>
      </c>
      <c r="G114">
        <v>54357.813764505103</v>
      </c>
      <c r="H114">
        <v>3.3396135096905921E-2</v>
      </c>
      <c r="I114">
        <v>7.5397973219544501E-5</v>
      </c>
      <c r="J114">
        <v>9.8695318371190982E-6</v>
      </c>
      <c r="K114">
        <v>8.9910400487357569E-8</v>
      </c>
      <c r="L114">
        <v>1.0020464685364727E-11</v>
      </c>
      <c r="N114">
        <v>2.2055002347275716E-3</v>
      </c>
      <c r="O114">
        <v>1.115763366613693E-4</v>
      </c>
      <c r="P114">
        <v>3.0921947499427267</v>
      </c>
      <c r="Q114">
        <v>3.2447036897000903E-2</v>
      </c>
      <c r="R114">
        <v>2.6785622088958346E-8</v>
      </c>
      <c r="S114">
        <v>1.5873176251215645E-9</v>
      </c>
      <c r="T114">
        <v>1.0093234863686368E-4</v>
      </c>
      <c r="U114">
        <v>5.2518692628059501E-5</v>
      </c>
    </row>
    <row r="115" spans="1:21" x14ac:dyDescent="0.3">
      <c r="A115" s="17" t="s">
        <v>112</v>
      </c>
      <c r="B115">
        <v>52</v>
      </c>
      <c r="C115">
        <f t="shared" si="3"/>
        <v>108</v>
      </c>
      <c r="D115">
        <v>6.3198334689999998</v>
      </c>
      <c r="E115">
        <v>3016.9248503009835</v>
      </c>
      <c r="F115">
        <v>477374105.67850894</v>
      </c>
      <c r="G115">
        <v>9348.6300822287485</v>
      </c>
      <c r="H115">
        <v>5.5569443320844264E-2</v>
      </c>
      <c r="I115">
        <v>9.7396973630296119E-4</v>
      </c>
      <c r="J115">
        <v>9.769508721660147E-6</v>
      </c>
      <c r="K115">
        <v>1.4789419675488382E-7</v>
      </c>
      <c r="L115">
        <v>8.1671007272096863E-6</v>
      </c>
      <c r="M115">
        <v>1.2087362596053604E-6</v>
      </c>
      <c r="N115">
        <v>3.5004836467424413E-3</v>
      </c>
      <c r="O115">
        <v>1.0224332495708415E-4</v>
      </c>
      <c r="P115">
        <v>2.9802680382265678</v>
      </c>
      <c r="Q115">
        <v>1.8163845760556629E-2</v>
      </c>
      <c r="R115">
        <v>3.8169024962533516E-8</v>
      </c>
      <c r="S115">
        <v>1.3200178781284234E-9</v>
      </c>
      <c r="T115">
        <v>1.1979708855768952E-4</v>
      </c>
      <c r="U115">
        <v>9.5151999376507477E-5</v>
      </c>
    </row>
    <row r="116" spans="1:21" x14ac:dyDescent="0.3">
      <c r="A116" s="17" t="s">
        <v>112</v>
      </c>
      <c r="B116">
        <v>56</v>
      </c>
      <c r="C116">
        <f t="shared" si="3"/>
        <v>112</v>
      </c>
      <c r="D116">
        <v>6.3198334689999998</v>
      </c>
      <c r="E116">
        <v>3040.5231674961087</v>
      </c>
      <c r="F116">
        <v>481108115.01766002</v>
      </c>
      <c r="G116">
        <v>6389.5910353828358</v>
      </c>
      <c r="H116">
        <v>5.546384092261971E-2</v>
      </c>
      <c r="I116">
        <v>9.2237437943516395E-4</v>
      </c>
      <c r="J116">
        <v>9.4606074887673735E-6</v>
      </c>
      <c r="K116">
        <v>1.4088691213290514E-7</v>
      </c>
      <c r="L116">
        <v>5.3499087118370712E-6</v>
      </c>
      <c r="M116">
        <v>1.2056554406920133E-6</v>
      </c>
      <c r="N116">
        <v>4.9776156445479293E-3</v>
      </c>
      <c r="O116">
        <v>1.0664644649235411E-4</v>
      </c>
      <c r="P116">
        <v>3.0338359985034562</v>
      </c>
      <c r="Q116">
        <v>1.3295887305536658E-2</v>
      </c>
      <c r="R116">
        <v>3.53401436083251E-8</v>
      </c>
      <c r="S116">
        <v>8.8449442288691158E-10</v>
      </c>
      <c r="T116">
        <v>5.2413472202578627E-4</v>
      </c>
      <c r="U116">
        <v>9.8543736084393343E-5</v>
      </c>
    </row>
    <row r="117" spans="1:21" x14ac:dyDescent="0.3">
      <c r="A117" s="17" t="s">
        <v>112</v>
      </c>
      <c r="B117">
        <v>60</v>
      </c>
      <c r="C117">
        <f t="shared" si="3"/>
        <v>116</v>
      </c>
      <c r="D117">
        <v>6.3198334689999998</v>
      </c>
      <c r="E117">
        <v>3039.5409678583533</v>
      </c>
      <c r="F117">
        <v>480952699.58740008</v>
      </c>
      <c r="G117">
        <v>6433.8642913330805</v>
      </c>
      <c r="H117">
        <v>5.2571869756699682E-2</v>
      </c>
      <c r="I117">
        <v>8.3571625347987274E-4</v>
      </c>
      <c r="J117">
        <v>9.5244789386050946E-6</v>
      </c>
      <c r="K117">
        <v>1.3568289203687687E-7</v>
      </c>
      <c r="L117">
        <v>1.2403803018893435E-6</v>
      </c>
      <c r="M117">
        <v>1.2034284617675755E-6</v>
      </c>
      <c r="N117">
        <v>4.9374175131646006E-3</v>
      </c>
      <c r="O117">
        <v>9.9246337653300168E-5</v>
      </c>
      <c r="P117">
        <v>-1.4630719128816623</v>
      </c>
      <c r="Q117">
        <v>1.2602116491502446E-2</v>
      </c>
      <c r="R117">
        <v>3.5414671399710316E-8</v>
      </c>
      <c r="S117">
        <v>8.4505346217998301E-10</v>
      </c>
      <c r="T117">
        <v>9.5874460226952167E-5</v>
      </c>
      <c r="U117">
        <v>9.216692358626843E-5</v>
      </c>
    </row>
    <row r="118" spans="1:21" x14ac:dyDescent="0.3">
      <c r="A118" s="17" t="s">
        <v>112</v>
      </c>
      <c r="B118">
        <v>64</v>
      </c>
      <c r="C118">
        <f t="shared" si="3"/>
        <v>120</v>
      </c>
      <c r="D118">
        <v>6.3198334689999998</v>
      </c>
      <c r="E118">
        <v>3004.2462177441494</v>
      </c>
      <c r="F118">
        <v>475367940.07002813</v>
      </c>
      <c r="G118">
        <v>9877.1912224737698</v>
      </c>
      <c r="H118">
        <v>5.0960956055032744E-2</v>
      </c>
      <c r="I118">
        <v>7.15863410374145E-4</v>
      </c>
      <c r="J118">
        <v>9.290269796979995E-6</v>
      </c>
      <c r="K118">
        <v>1.3458619592284531E-7</v>
      </c>
      <c r="L118">
        <v>2.3114885403685654E-6</v>
      </c>
      <c r="M118">
        <v>1.027852732532213E-6</v>
      </c>
      <c r="N118">
        <v>4.5313758485002013E-3</v>
      </c>
      <c r="O118">
        <v>1.0447355779356167E-4</v>
      </c>
      <c r="P118">
        <v>1.0411935311550791</v>
      </c>
      <c r="Q118">
        <v>1.4942161402050957E-2</v>
      </c>
      <c r="R118">
        <v>3.2008819653286162E-8</v>
      </c>
      <c r="S118">
        <v>9.0393706833784307E-10</v>
      </c>
      <c r="T118">
        <v>-2.059919335408384E-4</v>
      </c>
      <c r="U118">
        <v>9.6530870219973784E-5</v>
      </c>
    </row>
    <row r="119" spans="1:21" x14ac:dyDescent="0.3">
      <c r="A119" s="17" t="s">
        <v>112</v>
      </c>
      <c r="B119">
        <v>68</v>
      </c>
      <c r="C119">
        <f t="shared" si="3"/>
        <v>124</v>
      </c>
      <c r="D119">
        <v>6.3198334689999998</v>
      </c>
      <c r="E119">
        <v>2968.8745052384152</v>
      </c>
      <c r="F119">
        <v>469771002.6381734</v>
      </c>
      <c r="G119">
        <v>6497.5618999651988</v>
      </c>
      <c r="H119">
        <v>4.6231038244637132E-2</v>
      </c>
      <c r="I119">
        <v>8.246377920746728E-5</v>
      </c>
      <c r="J119">
        <v>9.5050845179105091E-6</v>
      </c>
      <c r="K119">
        <v>6.8759899871897168E-8</v>
      </c>
      <c r="L119">
        <v>6.3327436383352741E-11</v>
      </c>
      <c r="N119">
        <v>4.2049775891746998E-3</v>
      </c>
      <c r="O119">
        <v>9.5223752848268284E-5</v>
      </c>
      <c r="P119">
        <v>2.4219892331597701</v>
      </c>
      <c r="Q119">
        <v>1.4044755585586044E-2</v>
      </c>
      <c r="R119">
        <v>3.7771137473745218E-8</v>
      </c>
      <c r="S119">
        <v>1.0027289869703755E-9</v>
      </c>
      <c r="T119">
        <v>1.7742884019280819E-4</v>
      </c>
      <c r="U119">
        <v>5.7760245439534937E-5</v>
      </c>
    </row>
    <row r="120" spans="1:21" x14ac:dyDescent="0.3">
      <c r="A120" s="17" t="s">
        <v>112</v>
      </c>
      <c r="B120">
        <v>72</v>
      </c>
      <c r="C120">
        <f t="shared" si="3"/>
        <v>128</v>
      </c>
      <c r="D120">
        <v>6.3198334689999998</v>
      </c>
      <c r="E120">
        <v>2932.2230715159053</v>
      </c>
      <c r="F120">
        <v>463971572.33636361</v>
      </c>
      <c r="G120">
        <v>4101.3032509307213</v>
      </c>
      <c r="H120">
        <v>3.9470829324466106E-2</v>
      </c>
      <c r="I120">
        <v>8.025136529790991E-5</v>
      </c>
      <c r="J120">
        <v>9.3040938067445997E-6</v>
      </c>
      <c r="K120">
        <v>8.0165273139576009E-8</v>
      </c>
      <c r="L120">
        <v>6.9381567183033804E-10</v>
      </c>
      <c r="N120">
        <v>4.027003461298341E-3</v>
      </c>
      <c r="O120">
        <v>8.5271518389836961E-5</v>
      </c>
      <c r="P120">
        <v>-2.7338398599587936</v>
      </c>
      <c r="Q120">
        <v>1.3228494690570747E-2</v>
      </c>
      <c r="R120">
        <v>4.3236229215056882E-8</v>
      </c>
      <c r="S120">
        <v>1.1107212851412832E-9</v>
      </c>
      <c r="T120">
        <v>8.9079997643047267E-5</v>
      </c>
      <c r="U120">
        <v>6.0027311041613994E-5</v>
      </c>
    </row>
    <row r="121" spans="1:21" x14ac:dyDescent="0.3">
      <c r="A121" s="17" t="s">
        <v>112</v>
      </c>
      <c r="B121">
        <v>76</v>
      </c>
      <c r="C121">
        <f t="shared" si="3"/>
        <v>132</v>
      </c>
      <c r="D121">
        <v>6.3198334689999998</v>
      </c>
      <c r="E121">
        <v>2907.8959009209207</v>
      </c>
      <c r="F121">
        <v>460122235.05329853</v>
      </c>
      <c r="G121">
        <v>7221.0560617402834</v>
      </c>
      <c r="H121">
        <v>4.1072763243802761E-2</v>
      </c>
      <c r="I121">
        <v>6.1233257996516285E-4</v>
      </c>
      <c r="J121">
        <v>9.0709822023040201E-6</v>
      </c>
      <c r="K121">
        <v>1.4740095269225686E-7</v>
      </c>
      <c r="L121">
        <v>2.2368441257061999E-6</v>
      </c>
      <c r="M121">
        <v>1.0963337791687368E-6</v>
      </c>
      <c r="N121">
        <v>3.4857167483750865E-3</v>
      </c>
      <c r="O121">
        <v>8.2551747560310898E-5</v>
      </c>
      <c r="P121">
        <v>2.1726764453121912</v>
      </c>
      <c r="Q121">
        <v>1.5364613868994015E-2</v>
      </c>
      <c r="R121">
        <v>3.7839502460204892E-8</v>
      </c>
      <c r="S121">
        <v>1.1314382572066327E-9</v>
      </c>
      <c r="T121">
        <v>-1.3043358048092844E-4</v>
      </c>
      <c r="U121">
        <v>9.0122207122386681E-5</v>
      </c>
    </row>
    <row r="122" spans="1:21" x14ac:dyDescent="0.3">
      <c r="A122" s="17" t="s">
        <v>112</v>
      </c>
      <c r="B122">
        <v>80</v>
      </c>
      <c r="C122">
        <f t="shared" si="3"/>
        <v>136</v>
      </c>
      <c r="D122">
        <v>6.3198334689999998</v>
      </c>
      <c r="E122">
        <v>2879.8608959762441</v>
      </c>
      <c r="F122">
        <v>455686199.66056335</v>
      </c>
      <c r="G122">
        <v>5197.1588838906073</v>
      </c>
      <c r="H122">
        <v>4.8219500862409059E-2</v>
      </c>
      <c r="I122">
        <v>7.3817023291787576E-4</v>
      </c>
      <c r="J122">
        <v>9.5586023848382835E-6</v>
      </c>
      <c r="K122">
        <v>1.4313624912875499E-7</v>
      </c>
      <c r="L122">
        <v>4.896441174823199E-6</v>
      </c>
      <c r="M122">
        <v>1.0766377253503414E-6</v>
      </c>
      <c r="N122">
        <v>3.61137714469506E-3</v>
      </c>
      <c r="O122">
        <v>8.0425249885456365E-5</v>
      </c>
      <c r="P122">
        <v>0.76049349787237575</v>
      </c>
      <c r="Q122">
        <v>1.4395074147950659E-2</v>
      </c>
      <c r="R122">
        <v>4.4408276284717067E-8</v>
      </c>
      <c r="S122">
        <v>1.2616181006628668E-9</v>
      </c>
      <c r="T122">
        <v>1.4506545122534669E-4</v>
      </c>
      <c r="U122">
        <v>8.9458457499542464E-5</v>
      </c>
    </row>
    <row r="123" spans="1:21" x14ac:dyDescent="0.3">
      <c r="A123" s="17" t="s">
        <v>112</v>
      </c>
      <c r="B123">
        <v>84</v>
      </c>
      <c r="C123">
        <f t="shared" si="3"/>
        <v>140</v>
      </c>
      <c r="D123">
        <v>6.3198334689999998</v>
      </c>
      <c r="E123">
        <v>2853.2396762471226</v>
      </c>
      <c r="F123">
        <v>451473870.35478276</v>
      </c>
      <c r="G123">
        <v>5168.4167150511939</v>
      </c>
      <c r="H123">
        <v>4.8482220112973706E-2</v>
      </c>
      <c r="I123">
        <v>8.5225071427741383E-4</v>
      </c>
      <c r="J123">
        <v>9.0115152044070405E-6</v>
      </c>
      <c r="K123">
        <v>1.5215092008064669E-7</v>
      </c>
      <c r="L123">
        <v>7.0966395736228803E-7</v>
      </c>
      <c r="M123">
        <v>1.3715155569818427E-6</v>
      </c>
      <c r="N123">
        <v>3.7036386163133857E-3</v>
      </c>
      <c r="O123">
        <v>8.6048781877167855E-5</v>
      </c>
      <c r="P123">
        <v>-0.48682031598312642</v>
      </c>
      <c r="Q123">
        <v>1.4586391820562178E-2</v>
      </c>
      <c r="R123">
        <v>4.5726704637848024E-8</v>
      </c>
      <c r="S123">
        <v>1.3175138116550239E-9</v>
      </c>
      <c r="T123">
        <v>-1.5949122516895482E-4</v>
      </c>
      <c r="U123">
        <v>1.0646025888246438E-4</v>
      </c>
    </row>
    <row r="124" spans="1:21" x14ac:dyDescent="0.3">
      <c r="A124" s="17" t="s">
        <v>112</v>
      </c>
      <c r="B124">
        <v>88</v>
      </c>
      <c r="C124">
        <f t="shared" si="3"/>
        <v>144</v>
      </c>
      <c r="D124">
        <v>6.3198334689999998</v>
      </c>
      <c r="E124">
        <v>2845.5131441509275</v>
      </c>
      <c r="F124">
        <v>450251285.59300137</v>
      </c>
      <c r="G124">
        <v>7465.5209733875963</v>
      </c>
      <c r="H124">
        <v>5.2497073453197325E-2</v>
      </c>
      <c r="I124">
        <v>6.7930550253099756E-4</v>
      </c>
      <c r="J124">
        <v>8.9394775506828583E-6</v>
      </c>
      <c r="K124">
        <v>1.2332045838715466E-7</v>
      </c>
      <c r="L124">
        <v>1.047882191277228E-7</v>
      </c>
      <c r="M124">
        <v>9.9330591671231103E-7</v>
      </c>
      <c r="N124">
        <v>2.6394565235303607E-3</v>
      </c>
      <c r="O124">
        <v>7.0695523729529756E-5</v>
      </c>
      <c r="P124">
        <v>1.1064576851175312</v>
      </c>
      <c r="Q124">
        <v>1.725683429394842E-2</v>
      </c>
      <c r="R124">
        <v>5.3328008708796087E-8</v>
      </c>
      <c r="S124">
        <v>1.8864463564013956E-9</v>
      </c>
      <c r="T124">
        <v>-2.7318792153872596E-4</v>
      </c>
      <c r="U124">
        <v>9.8950039747507497E-5</v>
      </c>
    </row>
    <row r="125" spans="1:21" x14ac:dyDescent="0.3">
      <c r="A125" s="17" t="s">
        <v>112</v>
      </c>
      <c r="B125">
        <v>92</v>
      </c>
      <c r="C125">
        <f t="shared" si="3"/>
        <v>148</v>
      </c>
      <c r="D125">
        <v>6.3198334689999998</v>
      </c>
      <c r="E125">
        <v>2836.0911343091889</v>
      </c>
      <c r="F125">
        <v>448760421.96693349</v>
      </c>
      <c r="G125">
        <v>7936.3787220398945</v>
      </c>
      <c r="H125">
        <v>5.6395814391407464E-2</v>
      </c>
      <c r="I125">
        <v>7.4013727141993349E-4</v>
      </c>
      <c r="J125">
        <v>9.1061240853263245E-6</v>
      </c>
      <c r="K125">
        <v>1.2499917709425481E-7</v>
      </c>
      <c r="L125">
        <v>4.0815517509129606E-6</v>
      </c>
      <c r="M125">
        <v>9.5173010445108768E-7</v>
      </c>
      <c r="N125">
        <v>3.0630536530346125E-3</v>
      </c>
      <c r="O125">
        <v>7.9762437796935788E-5</v>
      </c>
      <c r="P125">
        <v>0.8002603156938326</v>
      </c>
      <c r="Q125">
        <v>1.675472197020289E-2</v>
      </c>
      <c r="R125">
        <v>4.8110642746833236E-8</v>
      </c>
      <c r="S125">
        <v>1.6178034886024043E-9</v>
      </c>
      <c r="T125">
        <v>-2.3268252431340474E-4</v>
      </c>
      <c r="U125">
        <v>1.0116702233406158E-4</v>
      </c>
    </row>
    <row r="126" spans="1:21" x14ac:dyDescent="0.3">
      <c r="A126" s="17" t="s">
        <v>112</v>
      </c>
      <c r="B126">
        <v>96</v>
      </c>
      <c r="C126">
        <f t="shared" si="3"/>
        <v>152</v>
      </c>
      <c r="D126">
        <v>6.3198334689999998</v>
      </c>
      <c r="E126">
        <v>2842.729343819412</v>
      </c>
      <c r="F126">
        <v>449810799.25025672</v>
      </c>
      <c r="G126">
        <v>9124.5967527298071</v>
      </c>
      <c r="H126">
        <v>5.4862847247509346E-2</v>
      </c>
      <c r="I126">
        <v>6.6737755180245814E-4</v>
      </c>
      <c r="J126">
        <v>9.0892069521258928E-6</v>
      </c>
      <c r="K126">
        <v>1.1877577502480487E-7</v>
      </c>
      <c r="L126">
        <v>3.8685712315149529E-6</v>
      </c>
      <c r="M126">
        <v>8.7893776792967547E-7</v>
      </c>
      <c r="N126">
        <v>2.8065988060492044E-3</v>
      </c>
      <c r="O126">
        <v>7.4265712425143626E-5</v>
      </c>
      <c r="P126">
        <v>1.6769737932408415</v>
      </c>
      <c r="Q126">
        <v>1.7120802665545942E-2</v>
      </c>
      <c r="R126">
        <v>4.8228507623178266E-8</v>
      </c>
      <c r="S126">
        <v>1.6614435402896531E-9</v>
      </c>
      <c r="T126">
        <v>-1.4131886539351412E-4</v>
      </c>
      <c r="U126">
        <v>9.4945307428651485E-5</v>
      </c>
    </row>
    <row r="127" spans="1:21" x14ac:dyDescent="0.3">
      <c r="A127" s="17" t="s">
        <v>112</v>
      </c>
      <c r="B127">
        <v>100</v>
      </c>
      <c r="C127">
        <f t="shared" si="3"/>
        <v>156</v>
      </c>
      <c r="D127">
        <v>6.3198334689999998</v>
      </c>
      <c r="E127">
        <v>2839.6190333833042</v>
      </c>
      <c r="F127">
        <v>449318648.55493146</v>
      </c>
      <c r="G127">
        <v>8260.7903800213662</v>
      </c>
      <c r="H127">
        <v>4.8323233137967957E-2</v>
      </c>
      <c r="I127">
        <v>6.0853597562916459E-4</v>
      </c>
      <c r="J127">
        <v>8.294622604539485E-6</v>
      </c>
      <c r="K127">
        <v>1.309991589983357E-7</v>
      </c>
      <c r="L127">
        <v>9.726252539475544E-7</v>
      </c>
      <c r="M127">
        <v>9.7729500620662208E-7</v>
      </c>
      <c r="N127">
        <v>2.5759235689454115E-3</v>
      </c>
      <c r="O127">
        <v>7.3069823631012609E-5</v>
      </c>
      <c r="P127">
        <v>2.8512861318880556</v>
      </c>
      <c r="Q127">
        <v>1.8453755354631562E-2</v>
      </c>
      <c r="R127">
        <v>5.0722773678564395E-8</v>
      </c>
      <c r="S127">
        <v>1.9051785662156974E-9</v>
      </c>
      <c r="T127">
        <v>-8.4913000682573033E-4</v>
      </c>
      <c r="U127">
        <v>1.1328585494929547E-4</v>
      </c>
    </row>
    <row r="128" spans="1:21" x14ac:dyDescent="0.3">
      <c r="A128" s="17" t="s">
        <v>112</v>
      </c>
      <c r="B128">
        <v>104</v>
      </c>
      <c r="C128">
        <f t="shared" si="3"/>
        <v>160</v>
      </c>
      <c r="D128">
        <v>6.3198334689999998</v>
      </c>
      <c r="E128">
        <v>2841.317646527596</v>
      </c>
      <c r="F128">
        <v>449587423.53968757</v>
      </c>
      <c r="G128">
        <v>11076.651728031406</v>
      </c>
      <c r="H128">
        <v>5.4362838031419086E-2</v>
      </c>
      <c r="I128">
        <v>8.5149483876495111E-4</v>
      </c>
      <c r="J128">
        <v>8.2804747002022493E-6</v>
      </c>
      <c r="K128">
        <v>1.3697593058949963E-7</v>
      </c>
      <c r="L128">
        <v>1.5481256906761502E-8</v>
      </c>
      <c r="M128">
        <v>1.2848601586127302E-6</v>
      </c>
      <c r="N128">
        <v>2.8136844628251344E-3</v>
      </c>
      <c r="O128">
        <v>9.4648790876167418E-5</v>
      </c>
      <c r="P128">
        <v>-1.6331937617102135</v>
      </c>
      <c r="Q128">
        <v>2.1007838500778364E-2</v>
      </c>
      <c r="R128">
        <v>4.1859685851172676E-8</v>
      </c>
      <c r="S128">
        <v>1.6965419251921956E-9</v>
      </c>
      <c r="T128">
        <v>-5.8086082980785317E-4</v>
      </c>
      <c r="U128">
        <v>1.2590965951599076E-4</v>
      </c>
    </row>
    <row r="129" spans="1:21" x14ac:dyDescent="0.3">
      <c r="A129" s="17" t="s">
        <v>112</v>
      </c>
      <c r="B129">
        <v>108</v>
      </c>
      <c r="C129">
        <f t="shared" si="3"/>
        <v>164</v>
      </c>
      <c r="D129">
        <v>6.3198334689999998</v>
      </c>
      <c r="E129">
        <v>3070.9902525829784</v>
      </c>
      <c r="F129">
        <v>485928983.35799152</v>
      </c>
      <c r="G129">
        <v>4454.8198808169736</v>
      </c>
      <c r="H129">
        <v>4.3794719560937362E-2</v>
      </c>
      <c r="I129">
        <v>8.1773071472763734E-4</v>
      </c>
      <c r="J129">
        <v>9.5130360025791124E-6</v>
      </c>
      <c r="K129">
        <v>1.5531145947913962E-7</v>
      </c>
      <c r="L129">
        <v>1.6319430651406516E-6</v>
      </c>
      <c r="M129">
        <v>1.4178804147758783E-6</v>
      </c>
      <c r="N129">
        <v>5.9723703815609246E-3</v>
      </c>
      <c r="O129">
        <v>1.039516166856211E-4</v>
      </c>
      <c r="P129">
        <v>-3.1473431716781337</v>
      </c>
      <c r="Q129">
        <v>1.0783289622403602E-2</v>
      </c>
      <c r="R129">
        <v>3.1634098258792443E-8</v>
      </c>
      <c r="S129">
        <v>6.3029423488124773E-10</v>
      </c>
      <c r="T129">
        <v>-3.2726576431984584E-4</v>
      </c>
      <c r="U129">
        <v>8.6747402380150305E-5</v>
      </c>
    </row>
    <row r="130" spans="1:21" x14ac:dyDescent="0.3">
      <c r="A130" s="17" t="s">
        <v>112</v>
      </c>
      <c r="B130">
        <v>112</v>
      </c>
      <c r="C130">
        <f t="shared" si="3"/>
        <v>168</v>
      </c>
      <c r="D130">
        <v>6.3198334689999998</v>
      </c>
      <c r="E130">
        <v>2952.024987854556</v>
      </c>
      <c r="F130">
        <v>467104869.50879437</v>
      </c>
      <c r="G130">
        <v>24612.467934781445</v>
      </c>
      <c r="H130">
        <v>4.470046315977011E-2</v>
      </c>
      <c r="I130">
        <v>5.220110636367202E-4</v>
      </c>
      <c r="J130">
        <v>8.1793374686520144E-6</v>
      </c>
      <c r="K130">
        <v>1.2362807603688888E-7</v>
      </c>
      <c r="L130">
        <v>2.971848921589919E-6</v>
      </c>
      <c r="M130">
        <v>8.8925025176612061E-7</v>
      </c>
      <c r="N130">
        <v>2.757464040413504E-3</v>
      </c>
      <c r="O130">
        <v>1.070903133567325E-4</v>
      </c>
      <c r="P130">
        <v>2.5502863588314</v>
      </c>
      <c r="Q130">
        <v>2.5080439513586184E-2</v>
      </c>
      <c r="R130">
        <v>2.4776265526109387E-8</v>
      </c>
      <c r="S130">
        <v>1.1420530303968575E-9</v>
      </c>
      <c r="T130">
        <v>-2.665220917716725E-4</v>
      </c>
      <c r="U130">
        <v>1.005098558682931E-4</v>
      </c>
    </row>
    <row r="131" spans="1:21" x14ac:dyDescent="0.3">
      <c r="A131" s="17" t="s">
        <v>112</v>
      </c>
      <c r="B131">
        <v>116</v>
      </c>
      <c r="C131">
        <f t="shared" si="3"/>
        <v>172</v>
      </c>
      <c r="D131">
        <v>6.3198334689999998</v>
      </c>
      <c r="E131">
        <v>3013.242087689438</v>
      </c>
      <c r="F131">
        <v>476791374.7205478</v>
      </c>
      <c r="G131">
        <v>8600.1371345789667</v>
      </c>
      <c r="H131">
        <v>4.707981242089436E-2</v>
      </c>
      <c r="I131">
        <v>6.5471244763409472E-4</v>
      </c>
      <c r="J131">
        <v>8.3842884614119086E-6</v>
      </c>
      <c r="K131">
        <v>1.3584610375792645E-7</v>
      </c>
      <c r="L131">
        <v>1.5686918828109433E-6</v>
      </c>
      <c r="M131">
        <v>1.081646099504489E-6</v>
      </c>
      <c r="N131">
        <v>3.8125812643900431E-3</v>
      </c>
      <c r="O131">
        <v>9.5020913545965568E-5</v>
      </c>
      <c r="P131">
        <v>-0.65801825645427447</v>
      </c>
      <c r="Q131">
        <v>1.5994079866840039E-2</v>
      </c>
      <c r="R131">
        <v>3.4578644399118193E-8</v>
      </c>
      <c r="S131">
        <v>1.0527742978666967E-9</v>
      </c>
      <c r="T131">
        <v>-2.5372542331808398E-4</v>
      </c>
      <c r="U131">
        <v>1.0922436573308691E-4</v>
      </c>
    </row>
    <row r="132" spans="1:21" x14ac:dyDescent="0.3">
      <c r="A132" s="17" t="s">
        <v>112</v>
      </c>
      <c r="B132">
        <v>120</v>
      </c>
      <c r="C132">
        <f t="shared" si="3"/>
        <v>176</v>
      </c>
      <c r="D132">
        <v>6.3198334689999998</v>
      </c>
      <c r="E132">
        <v>3026.9671316001522</v>
      </c>
      <c r="F132">
        <v>478963116.10867745</v>
      </c>
      <c r="G132">
        <v>4580.0050450794934</v>
      </c>
      <c r="H132">
        <v>5.3549187411416926E-2</v>
      </c>
      <c r="I132">
        <v>8.3254165443372163E-4</v>
      </c>
      <c r="J132">
        <v>8.4284199387777801E-6</v>
      </c>
      <c r="K132">
        <v>1.3794585962806688E-7</v>
      </c>
      <c r="L132">
        <v>2.7934917720181013E-6</v>
      </c>
      <c r="M132">
        <v>1.219889383238352E-6</v>
      </c>
      <c r="N132">
        <v>5.0842087530301016E-3</v>
      </c>
      <c r="O132">
        <v>9.7147004365712337E-5</v>
      </c>
      <c r="P132">
        <v>-3.0961412275867644</v>
      </c>
      <c r="Q132">
        <v>1.1922082376590648E-2</v>
      </c>
      <c r="R132">
        <v>3.9294291169463113E-8</v>
      </c>
      <c r="S132">
        <v>8.9666333296693083E-10</v>
      </c>
      <c r="T132">
        <v>-2.3260957371426373E-4</v>
      </c>
      <c r="U132">
        <v>1.1938997243955556E-4</v>
      </c>
    </row>
    <row r="133" spans="1:21" x14ac:dyDescent="0.3">
      <c r="A133" s="17" t="s">
        <v>112</v>
      </c>
      <c r="B133">
        <v>124</v>
      </c>
      <c r="C133">
        <f t="shared" si="3"/>
        <v>180</v>
      </c>
      <c r="D133">
        <v>6.3198334689999998</v>
      </c>
      <c r="E133">
        <v>3014.3749771486696</v>
      </c>
      <c r="F133">
        <v>476970634.10527503</v>
      </c>
      <c r="G133">
        <v>16228.413806190778</v>
      </c>
      <c r="H133">
        <v>5.3357146970225242E-2</v>
      </c>
      <c r="I133">
        <v>7.8810560787127143E-5</v>
      </c>
      <c r="J133">
        <v>8.2473680534216302E-6</v>
      </c>
      <c r="K133">
        <v>6.385181734183831E-8</v>
      </c>
      <c r="L133">
        <v>1.4381529187208211E-8</v>
      </c>
      <c r="N133">
        <v>3.4991778761505983E-3</v>
      </c>
      <c r="O133">
        <v>1.172208964418716E-4</v>
      </c>
      <c r="P133">
        <v>-1.0580949834681226</v>
      </c>
      <c r="Q133">
        <v>2.1169086177464269E-2</v>
      </c>
      <c r="R133">
        <v>3.2438720488984411E-8</v>
      </c>
      <c r="S133">
        <v>1.270896139209612E-9</v>
      </c>
      <c r="T133">
        <v>-4.1616329295126605E-4</v>
      </c>
      <c r="U133">
        <v>8.0806661254709922E-5</v>
      </c>
    </row>
    <row r="134" spans="1:21" x14ac:dyDescent="0.3">
      <c r="A134" s="17" t="s">
        <v>112</v>
      </c>
      <c r="B134">
        <v>128</v>
      </c>
      <c r="C134">
        <f t="shared" si="3"/>
        <v>184</v>
      </c>
      <c r="D134">
        <v>6.3198334689999998</v>
      </c>
      <c r="E134">
        <v>2808.841878940922</v>
      </c>
      <c r="F134">
        <v>444448717.31491542</v>
      </c>
      <c r="G134">
        <v>190944.53821968948</v>
      </c>
      <c r="H134">
        <v>4.9499718015603003E-2</v>
      </c>
      <c r="I134">
        <v>7.0747977984670848E-4</v>
      </c>
      <c r="J134">
        <v>8.7431557845308026E-6</v>
      </c>
      <c r="K134">
        <v>1.3687155304641143E-7</v>
      </c>
      <c r="L134">
        <v>3.1002844516934369E-6</v>
      </c>
      <c r="M134">
        <v>1.0714942096624603E-6</v>
      </c>
      <c r="N134">
        <v>1.4649868473163572E-2</v>
      </c>
      <c r="O134">
        <v>6.1792116045261778E-4</v>
      </c>
      <c r="P134">
        <v>1.5690496474073765</v>
      </c>
      <c r="Q134">
        <v>4.3382342406444563E-2</v>
      </c>
      <c r="R134">
        <v>5.3596627115115067E-9</v>
      </c>
      <c r="T134">
        <v>-2.1081066778560928E-4</v>
      </c>
      <c r="U134">
        <v>1.0554216340286811E-4</v>
      </c>
    </row>
    <row r="135" spans="1:21" x14ac:dyDescent="0.3">
      <c r="A135" s="17" t="s">
        <v>112</v>
      </c>
      <c r="B135">
        <v>132</v>
      </c>
      <c r="C135">
        <v>0</v>
      </c>
      <c r="D135">
        <v>6.3198334689999998</v>
      </c>
      <c r="E135">
        <v>2832.8675360809189</v>
      </c>
      <c r="F135">
        <v>448250345.51569748</v>
      </c>
      <c r="G135">
        <v>8750.8071653086281</v>
      </c>
      <c r="H135">
        <v>6.5620436396178997E-2</v>
      </c>
      <c r="I135">
        <v>8.8249333262899188E-4</v>
      </c>
      <c r="J135">
        <v>8.3938742849589613E-6</v>
      </c>
      <c r="K135">
        <v>1.2470117861236891E-7</v>
      </c>
      <c r="L135">
        <v>8.5712647544560004E-6</v>
      </c>
      <c r="M135">
        <v>9.7684045250248356E-7</v>
      </c>
      <c r="N135">
        <v>3.5385230728099018E-3</v>
      </c>
      <c r="O135">
        <v>1.0111888331180183E-4</v>
      </c>
      <c r="P135">
        <v>-0.72075122170636174</v>
      </c>
      <c r="Q135">
        <v>1.7852230084486886E-2</v>
      </c>
      <c r="R135">
        <v>4.1110075907584543E-8</v>
      </c>
      <c r="S135">
        <v>1.4205001295804463E-9</v>
      </c>
      <c r="T135">
        <v>-2.3435908818184037E-4</v>
      </c>
      <c r="U135">
        <v>1.2997274833080282E-4</v>
      </c>
    </row>
    <row r="136" spans="1:21" x14ac:dyDescent="0.3">
      <c r="A136" s="17" t="s">
        <v>112</v>
      </c>
      <c r="B136">
        <v>136</v>
      </c>
      <c r="C136">
        <f t="shared" ref="C136:C153" si="4">C135+4</f>
        <v>4</v>
      </c>
      <c r="D136">
        <v>6.3198334689999998</v>
      </c>
      <c r="E136">
        <v>2816.1169856084493</v>
      </c>
      <c r="F136">
        <v>445599872.12037241</v>
      </c>
      <c r="G136">
        <v>4803.8691471963266</v>
      </c>
      <c r="H136">
        <v>6.4557603569230376E-2</v>
      </c>
      <c r="I136">
        <v>7.6542057757078563E-4</v>
      </c>
      <c r="J136">
        <v>8.213791978113147E-6</v>
      </c>
      <c r="K136">
        <v>1.2334321393159828E-7</v>
      </c>
      <c r="L136">
        <v>7.5729537934373889E-6</v>
      </c>
      <c r="M136">
        <v>8.5562698295951316E-7</v>
      </c>
      <c r="N136">
        <v>4.9453269254377255E-3</v>
      </c>
      <c r="O136">
        <v>9.7922006628063836E-5</v>
      </c>
      <c r="P136">
        <v>1.5324085046679754</v>
      </c>
      <c r="Q136">
        <v>1.2773086351943408E-2</v>
      </c>
      <c r="R136">
        <v>4.3387740403350559E-8</v>
      </c>
      <c r="S136">
        <v>1.0947260766509226E-9</v>
      </c>
      <c r="T136">
        <v>-7.3403474023373189E-4</v>
      </c>
      <c r="U136">
        <v>1.3824930713085483E-4</v>
      </c>
    </row>
    <row r="137" spans="1:21" x14ac:dyDescent="0.3">
      <c r="A137" s="17" t="s">
        <v>112</v>
      </c>
      <c r="B137">
        <v>140</v>
      </c>
      <c r="C137">
        <f t="shared" si="4"/>
        <v>8</v>
      </c>
      <c r="D137">
        <v>6.3198334689999998</v>
      </c>
      <c r="E137">
        <v>2780.1036838094956</v>
      </c>
      <c r="F137">
        <v>439901414.72025168</v>
      </c>
      <c r="G137">
        <v>7202.1746985451164</v>
      </c>
      <c r="H137">
        <v>5.221714040872185E-2</v>
      </c>
      <c r="I137">
        <v>6.9751592644238039E-4</v>
      </c>
      <c r="J137">
        <v>8.5567046293207023E-6</v>
      </c>
      <c r="K137">
        <v>1.3354359905870864E-7</v>
      </c>
      <c r="L137">
        <v>4.4186594443505247E-6</v>
      </c>
      <c r="M137">
        <v>9.8710275325003542E-7</v>
      </c>
      <c r="N137">
        <v>4.7003944655471452E-3</v>
      </c>
      <c r="O137">
        <v>1.0142190407709268E-4</v>
      </c>
      <c r="P137">
        <v>2.0421376857116722</v>
      </c>
      <c r="Q137">
        <v>1.3876634246515751E-2</v>
      </c>
      <c r="R137">
        <v>3.4678501390161506E-8</v>
      </c>
      <c r="S137">
        <v>9.2079748690128604E-10</v>
      </c>
      <c r="T137">
        <v>-7.0449343378714666E-5</v>
      </c>
      <c r="U137">
        <v>1.1368350581303165E-4</v>
      </c>
    </row>
    <row r="138" spans="1:21" x14ac:dyDescent="0.3">
      <c r="A138" s="17" t="s">
        <v>112</v>
      </c>
      <c r="B138">
        <v>144</v>
      </c>
      <c r="C138">
        <f t="shared" si="4"/>
        <v>12</v>
      </c>
      <c r="D138">
        <v>6.3198334689999998</v>
      </c>
      <c r="E138">
        <v>2757.1276298077828</v>
      </c>
      <c r="F138">
        <v>436265867.34160405</v>
      </c>
      <c r="G138">
        <v>6110.0191096619128</v>
      </c>
      <c r="H138">
        <v>5.4748386666425307E-2</v>
      </c>
      <c r="I138">
        <v>8.7537743201786256E-4</v>
      </c>
      <c r="J138">
        <v>8.0815642672549704E-6</v>
      </c>
      <c r="K138">
        <v>1.4055539209510396E-7</v>
      </c>
      <c r="L138">
        <v>2.0820231307992196E-8</v>
      </c>
      <c r="M138">
        <v>1.3283018978045289E-6</v>
      </c>
      <c r="N138">
        <v>5.5636300369416901E-3</v>
      </c>
      <c r="O138">
        <v>1.15545121936659E-4</v>
      </c>
      <c r="P138">
        <v>-1.27164545546651</v>
      </c>
      <c r="Q138">
        <v>1.2809659835642417E-2</v>
      </c>
      <c r="R138">
        <v>3.4345280433414408E-8</v>
      </c>
      <c r="S138">
        <v>8.1994397919681332E-10</v>
      </c>
      <c r="T138">
        <v>-3.1647291717921885E-4</v>
      </c>
      <c r="U138">
        <v>1.3603249997689229E-4</v>
      </c>
    </row>
    <row r="139" spans="1:21" x14ac:dyDescent="0.3">
      <c r="A139" s="17" t="s">
        <v>112</v>
      </c>
      <c r="B139">
        <v>148</v>
      </c>
      <c r="C139">
        <f t="shared" si="4"/>
        <v>16</v>
      </c>
      <c r="D139">
        <v>6.3198334689999998</v>
      </c>
      <c r="E139">
        <v>2743.0211392763422</v>
      </c>
      <c r="F139">
        <v>434033768.88511217</v>
      </c>
      <c r="G139">
        <v>4924.553366758566</v>
      </c>
      <c r="H139">
        <v>5.3894982635859665E-2</v>
      </c>
      <c r="I139">
        <v>9.6593724617360238E-4</v>
      </c>
      <c r="J139">
        <v>8.5593103412287714E-6</v>
      </c>
      <c r="K139">
        <v>1.4644485835892415E-7</v>
      </c>
      <c r="L139">
        <v>4.8043337098060995E-7</v>
      </c>
      <c r="M139">
        <v>1.4613262957650078E-6</v>
      </c>
      <c r="N139">
        <v>5.7861407533585565E-3</v>
      </c>
      <c r="O139">
        <v>1.1077434724670069E-4</v>
      </c>
      <c r="P139">
        <v>3.0456141248268374</v>
      </c>
      <c r="Q139">
        <v>1.1700340230535788E-2</v>
      </c>
      <c r="R139">
        <v>3.6423480005450414E-8</v>
      </c>
      <c r="S139">
        <v>7.9601348580295222E-10</v>
      </c>
      <c r="T139">
        <v>-2.2273398176889938E-4</v>
      </c>
      <c r="U139">
        <v>1.2198590810729318E-4</v>
      </c>
    </row>
    <row r="140" spans="1:21" x14ac:dyDescent="0.3">
      <c r="A140" s="17" t="s">
        <v>112</v>
      </c>
      <c r="B140">
        <v>152</v>
      </c>
      <c r="C140">
        <f t="shared" si="4"/>
        <v>20</v>
      </c>
      <c r="D140">
        <v>6.3198334689999998</v>
      </c>
      <c r="E140">
        <v>2732.4758999074484</v>
      </c>
      <c r="F140">
        <v>432365174.38485819</v>
      </c>
      <c r="G140">
        <v>4865.7142871777469</v>
      </c>
      <c r="H140">
        <v>5.3300458323274347E-2</v>
      </c>
      <c r="I140">
        <v>8.413716760629561E-4</v>
      </c>
      <c r="J140">
        <v>8.3124209521326903E-6</v>
      </c>
      <c r="K140">
        <v>1.3715118637692701E-7</v>
      </c>
      <c r="L140">
        <v>2.9578440017246137E-8</v>
      </c>
      <c r="M140">
        <v>1.2944348052370231E-6</v>
      </c>
      <c r="N140">
        <v>5.8507312619556738E-3</v>
      </c>
      <c r="O140">
        <v>1.0610009619708505E-4</v>
      </c>
      <c r="P140">
        <v>-0.80439331062294506</v>
      </c>
      <c r="Q140">
        <v>1.1205376222395591E-2</v>
      </c>
      <c r="R140">
        <v>3.5494954320037555E-8</v>
      </c>
      <c r="S140">
        <v>7.4682933232228114E-10</v>
      </c>
      <c r="T140">
        <v>-8.5534473275663192E-4</v>
      </c>
      <c r="U140">
        <v>1.2249652133611321E-4</v>
      </c>
    </row>
    <row r="141" spans="1:21" x14ac:dyDescent="0.3">
      <c r="A141" s="17" t="s">
        <v>112</v>
      </c>
      <c r="B141">
        <v>156</v>
      </c>
      <c r="C141">
        <f t="shared" si="4"/>
        <v>24</v>
      </c>
      <c r="D141">
        <v>6.3198334689999998</v>
      </c>
      <c r="E141">
        <v>2730.2102762897312</v>
      </c>
      <c r="F141">
        <v>432006680.18895411</v>
      </c>
      <c r="G141">
        <v>5802.0271658520969</v>
      </c>
      <c r="H141">
        <v>5.301289142124456E-2</v>
      </c>
      <c r="I141">
        <v>9.6804005098680493E-4</v>
      </c>
      <c r="J141">
        <v>8.4652960584433429E-6</v>
      </c>
      <c r="K141">
        <v>1.5123463106917747E-7</v>
      </c>
      <c r="L141">
        <v>3.5522639520477355E-8</v>
      </c>
      <c r="M141">
        <v>1.499507014367116E-6</v>
      </c>
      <c r="N141">
        <v>4.7620855524979893E-3</v>
      </c>
      <c r="O141">
        <v>1.0399876649136355E-4</v>
      </c>
      <c r="P141">
        <v>-2.8257386018033355</v>
      </c>
      <c r="Q141">
        <v>1.3383172453167003E-2</v>
      </c>
      <c r="R141">
        <v>4.0471091575075263E-8</v>
      </c>
      <c r="S141">
        <v>1.0363518378163052E-9</v>
      </c>
      <c r="T141">
        <v>-3.3570191681883064E-4</v>
      </c>
      <c r="U141">
        <v>1.274847640933428E-4</v>
      </c>
    </row>
    <row r="142" spans="1:21" x14ac:dyDescent="0.3">
      <c r="A142" s="17" t="s">
        <v>112</v>
      </c>
      <c r="B142">
        <v>160</v>
      </c>
      <c r="C142">
        <f t="shared" si="4"/>
        <v>28</v>
      </c>
      <c r="D142">
        <v>6.3198334689999998</v>
      </c>
      <c r="E142">
        <v>2744.1672124149763</v>
      </c>
      <c r="F142">
        <v>434215114.35002923</v>
      </c>
      <c r="G142">
        <v>3860.183188458821</v>
      </c>
      <c r="H142">
        <v>6.2845867745467174E-2</v>
      </c>
      <c r="I142">
        <v>7.9239292646177129E-4</v>
      </c>
      <c r="J142">
        <v>8.6663956498860171E-6</v>
      </c>
      <c r="K142">
        <v>1.2205905985364224E-7</v>
      </c>
      <c r="L142">
        <v>5.5257145537609236E-6</v>
      </c>
      <c r="M142">
        <v>9.2041214110892442E-7</v>
      </c>
      <c r="N142">
        <v>5.7238281463790073E-3</v>
      </c>
      <c r="O142">
        <v>9.5026565672250152E-5</v>
      </c>
      <c r="P142">
        <v>1.0485534865848791</v>
      </c>
      <c r="Q142">
        <v>1.0658695370754812E-2</v>
      </c>
      <c r="R142">
        <v>4.219330024403711E-8</v>
      </c>
      <c r="S142">
        <v>8.7961065797390305E-10</v>
      </c>
      <c r="T142">
        <v>-3.304227286439654E-4</v>
      </c>
      <c r="U142">
        <v>1.1974860520042139E-4</v>
      </c>
    </row>
    <row r="143" spans="1:21" x14ac:dyDescent="0.3">
      <c r="A143" s="17" t="s">
        <v>112</v>
      </c>
      <c r="B143">
        <v>164</v>
      </c>
      <c r="C143">
        <f t="shared" si="4"/>
        <v>32</v>
      </c>
      <c r="D143">
        <v>6.3198334689999998</v>
      </c>
      <c r="E143">
        <v>2756.8068971527227</v>
      </c>
      <c r="F143">
        <v>436215117.16651893</v>
      </c>
      <c r="G143">
        <v>5167.1650497797646</v>
      </c>
      <c r="H143">
        <v>5.6542310283448291E-2</v>
      </c>
      <c r="I143">
        <v>7.9769024894401491E-4</v>
      </c>
      <c r="J143">
        <v>9.3330912942178692E-6</v>
      </c>
      <c r="K143">
        <v>1.3174114686241921E-7</v>
      </c>
      <c r="L143">
        <v>6.0342796684379265E-6</v>
      </c>
      <c r="M143">
        <v>9.9118848463711878E-7</v>
      </c>
      <c r="N143">
        <v>4.8184062418303759E-3</v>
      </c>
      <c r="O143">
        <v>9.5837299993488043E-5</v>
      </c>
      <c r="P143">
        <v>0.72038023524674821</v>
      </c>
      <c r="Q143">
        <v>1.2694301243567074E-2</v>
      </c>
      <c r="R143">
        <v>3.8891364341142868E-8</v>
      </c>
      <c r="S143">
        <v>9.5670177898886216E-10</v>
      </c>
      <c r="T143">
        <v>-1.8037920762917526E-4</v>
      </c>
      <c r="U143">
        <v>9.9867139890676162E-5</v>
      </c>
    </row>
    <row r="144" spans="1:21" x14ac:dyDescent="0.3">
      <c r="A144" s="17" t="s">
        <v>112</v>
      </c>
      <c r="B144">
        <v>168</v>
      </c>
      <c r="C144">
        <f t="shared" si="4"/>
        <v>36</v>
      </c>
      <c r="D144">
        <v>6.3198334689999998</v>
      </c>
      <c r="E144">
        <v>2798.132334013394</v>
      </c>
      <c r="F144">
        <v>442754124.41463411</v>
      </c>
      <c r="G144">
        <v>5379.2632751792362</v>
      </c>
      <c r="H144">
        <v>7.0160291560899604E-2</v>
      </c>
      <c r="I144">
        <v>8.539550974576704E-4</v>
      </c>
      <c r="J144">
        <v>9.2026829189722804E-6</v>
      </c>
      <c r="K144">
        <v>1.1708682406409982E-7</v>
      </c>
      <c r="L144">
        <v>8.9454485559481356E-6</v>
      </c>
      <c r="M144">
        <v>8.2332092514671692E-7</v>
      </c>
      <c r="N144">
        <v>5.8929970172924354E-3</v>
      </c>
      <c r="O144">
        <v>1.0486429662241161E-4</v>
      </c>
      <c r="P144">
        <v>0.78486712989845941</v>
      </c>
      <c r="Q144">
        <v>1.1403600093535304E-2</v>
      </c>
      <c r="R144">
        <v>3.8606467508888119E-8</v>
      </c>
      <c r="S144">
        <v>8.5153401430903376E-10</v>
      </c>
      <c r="T144">
        <v>-2.3223228204890932E-4</v>
      </c>
      <c r="U144">
        <v>1.1183805535433202E-4</v>
      </c>
    </row>
    <row r="145" spans="1:21" x14ac:dyDescent="0.3">
      <c r="A145" s="17" t="s">
        <v>112</v>
      </c>
      <c r="B145">
        <v>172</v>
      </c>
      <c r="C145">
        <f t="shared" si="4"/>
        <v>40</v>
      </c>
      <c r="D145">
        <v>6.3198334689999998</v>
      </c>
      <c r="E145">
        <v>2831.8985440665897</v>
      </c>
      <c r="F145">
        <v>448097019.95433861</v>
      </c>
      <c r="G145">
        <v>5493.3885050012514</v>
      </c>
      <c r="H145">
        <v>6.6356618625169436E-2</v>
      </c>
      <c r="I145">
        <v>7.82844937526464E-4</v>
      </c>
      <c r="J145">
        <v>8.7124324195417705E-6</v>
      </c>
      <c r="K145">
        <v>1.2132050061257533E-7</v>
      </c>
      <c r="L145">
        <v>6.7075642687198217E-6</v>
      </c>
      <c r="M145">
        <v>8.3179937516885536E-7</v>
      </c>
      <c r="N145">
        <v>6.1716637693441066E-3</v>
      </c>
      <c r="O145">
        <v>1.0826950863728488E-4</v>
      </c>
      <c r="P145">
        <v>2.6284936306434874</v>
      </c>
      <c r="Q145">
        <v>1.1375549047043076E-2</v>
      </c>
      <c r="R145">
        <v>3.7787972741974536E-8</v>
      </c>
      <c r="S145">
        <v>8.3501955660372625E-10</v>
      </c>
      <c r="T145">
        <v>-4.800661149468375E-4</v>
      </c>
      <c r="U145">
        <v>1.2640877270927506E-4</v>
      </c>
    </row>
    <row r="146" spans="1:21" x14ac:dyDescent="0.3">
      <c r="A146" s="17" t="s">
        <v>112</v>
      </c>
      <c r="B146">
        <v>176</v>
      </c>
      <c r="C146">
        <f t="shared" si="4"/>
        <v>44</v>
      </c>
      <c r="D146">
        <v>6.3198334689999998</v>
      </c>
      <c r="E146">
        <v>2856.7150357793912</v>
      </c>
      <c r="F146">
        <v>452023783.50507629</v>
      </c>
      <c r="G146">
        <v>6274.5014841603106</v>
      </c>
      <c r="H146">
        <v>5.7712102499209446E-2</v>
      </c>
      <c r="I146">
        <v>9.9839562444782592E-5</v>
      </c>
      <c r="J146">
        <v>8.8745010740669942E-6</v>
      </c>
      <c r="K146">
        <v>6.8701125791331668E-8</v>
      </c>
      <c r="L146">
        <v>1.0052020842588016E-9</v>
      </c>
      <c r="N146">
        <v>4.5026165268788991E-3</v>
      </c>
      <c r="O146">
        <v>1.2077804477445692E-4</v>
      </c>
      <c r="P146">
        <v>1.5477798568872001</v>
      </c>
      <c r="Q146">
        <v>1.6418991812921613E-2</v>
      </c>
      <c r="R146">
        <v>3.8808599422228787E-8</v>
      </c>
      <c r="S146">
        <v>1.2058310217790171E-9</v>
      </c>
      <c r="T146">
        <v>-7.1943173654445951E-4</v>
      </c>
      <c r="U146">
        <v>8.0824684711695881E-5</v>
      </c>
    </row>
    <row r="147" spans="1:21" x14ac:dyDescent="0.3">
      <c r="A147" s="17" t="s">
        <v>112</v>
      </c>
      <c r="B147">
        <v>180</v>
      </c>
      <c r="C147">
        <f t="shared" si="4"/>
        <v>48</v>
      </c>
      <c r="D147">
        <v>6.3198334689999998</v>
      </c>
      <c r="E147">
        <v>2905.1131610173566</v>
      </c>
      <c r="F147">
        <v>459681916.50420797</v>
      </c>
      <c r="G147">
        <v>6444.2576285517198</v>
      </c>
      <c r="H147">
        <v>6.9852688599110466E-2</v>
      </c>
      <c r="I147">
        <v>9.1441340156633161E-4</v>
      </c>
      <c r="J147">
        <v>9.2235060368304126E-6</v>
      </c>
      <c r="K147">
        <v>1.2492426863936144E-7</v>
      </c>
      <c r="L147">
        <v>8.8980178534989833E-6</v>
      </c>
      <c r="M147">
        <v>8.868958007619569E-7</v>
      </c>
      <c r="N147">
        <v>5.7549954880482916E-3</v>
      </c>
      <c r="O147">
        <v>1.1693656325818813E-4</v>
      </c>
      <c r="P147">
        <v>-0.43265720748771236</v>
      </c>
      <c r="Q147">
        <v>1.2974021030682237E-2</v>
      </c>
      <c r="R147">
        <v>3.6214603403567656E-8</v>
      </c>
      <c r="S147">
        <v>9.0015439764341971E-10</v>
      </c>
      <c r="T147">
        <v>1.3178583355091434E-4</v>
      </c>
      <c r="U147">
        <v>1.1792838103635347E-4</v>
      </c>
    </row>
    <row r="148" spans="1:21" x14ac:dyDescent="0.3">
      <c r="A148" s="17" t="s">
        <v>112</v>
      </c>
      <c r="B148">
        <v>184</v>
      </c>
      <c r="C148">
        <f t="shared" si="4"/>
        <v>52</v>
      </c>
      <c r="D148">
        <v>6.3198334689999998</v>
      </c>
      <c r="E148">
        <v>2925.2350655260771</v>
      </c>
      <c r="F148">
        <v>462865846.05036169</v>
      </c>
      <c r="G148">
        <v>6281.1625902714495</v>
      </c>
      <c r="H148">
        <v>5.3190375287198485E-2</v>
      </c>
      <c r="I148">
        <v>9.5140870026553734E-4</v>
      </c>
      <c r="J148">
        <v>8.9556041963910334E-6</v>
      </c>
      <c r="K148">
        <v>1.4806988383088048E-7</v>
      </c>
      <c r="L148">
        <v>1.9006553542034282E-8</v>
      </c>
      <c r="M148">
        <v>1.4271442927831895E-6</v>
      </c>
      <c r="N148">
        <v>3.6640425041258142E-3</v>
      </c>
      <c r="O148">
        <v>9.4782535547028451E-5</v>
      </c>
      <c r="P148">
        <v>-3.1312139521496904</v>
      </c>
      <c r="Q148">
        <v>1.6116630072503746E-2</v>
      </c>
      <c r="R148">
        <v>4.3651609380358819E-8</v>
      </c>
      <c r="S148">
        <v>1.3661269091332283E-9</v>
      </c>
      <c r="T148">
        <v>-3.1144170521893108E-4</v>
      </c>
      <c r="U148">
        <v>1.1327233504569863E-4</v>
      </c>
    </row>
    <row r="149" spans="1:21" x14ac:dyDescent="0.3">
      <c r="A149" s="17" t="s">
        <v>112</v>
      </c>
      <c r="B149">
        <v>188</v>
      </c>
      <c r="C149">
        <f t="shared" si="4"/>
        <v>56</v>
      </c>
      <c r="D149">
        <v>6.3198334689999998</v>
      </c>
      <c r="E149">
        <v>2928.700451082359</v>
      </c>
      <c r="F149">
        <v>463414180.99831253</v>
      </c>
      <c r="G149">
        <v>5384.3799904251809</v>
      </c>
      <c r="H149">
        <v>5.8880835586689897E-2</v>
      </c>
      <c r="I149">
        <v>7.1320152415922308E-4</v>
      </c>
      <c r="J149">
        <v>8.3841099645176058E-6</v>
      </c>
      <c r="K149">
        <v>1.225828623093146E-7</v>
      </c>
      <c r="L149">
        <v>5.8860648837350036E-6</v>
      </c>
      <c r="M149">
        <v>8.8713234905344299E-7</v>
      </c>
      <c r="N149">
        <v>3.7834758643445284E-3</v>
      </c>
      <c r="O149">
        <v>8.6953569608459649E-5</v>
      </c>
      <c r="P149">
        <v>0.52460626255570653</v>
      </c>
      <c r="Q149">
        <v>1.4853650476144231E-2</v>
      </c>
      <c r="R149">
        <v>4.474162395126499E-8</v>
      </c>
      <c r="S149">
        <v>1.3154295029032436E-9</v>
      </c>
      <c r="T149">
        <v>-9.7443820584946356E-5</v>
      </c>
      <c r="U149">
        <v>1.2113906132736835E-4</v>
      </c>
    </row>
    <row r="150" spans="1:21" x14ac:dyDescent="0.3">
      <c r="A150" s="17" t="s">
        <v>112</v>
      </c>
      <c r="B150">
        <v>192</v>
      </c>
      <c r="C150">
        <f t="shared" si="4"/>
        <v>60</v>
      </c>
      <c r="D150">
        <v>6.3198334689999998</v>
      </c>
      <c r="E150">
        <v>3311.6514539824525</v>
      </c>
      <c r="F150">
        <v>524009290.78697103</v>
      </c>
      <c r="G150">
        <v>87902.11978071394</v>
      </c>
      <c r="H150">
        <v>6.4055855970882619E-2</v>
      </c>
      <c r="I150">
        <v>9.6528225951928587E-4</v>
      </c>
      <c r="J150">
        <v>8.8230604838823019E-6</v>
      </c>
      <c r="K150">
        <v>1.3963772515703044E-7</v>
      </c>
      <c r="L150">
        <v>6.2592405472832698E-6</v>
      </c>
      <c r="M150">
        <v>1.0934919354421926E-6</v>
      </c>
      <c r="N150">
        <v>2.9063907754664467E-3</v>
      </c>
      <c r="O150">
        <v>1.8646956139157069E-4</v>
      </c>
      <c r="P150">
        <v>-2.6921720675790355</v>
      </c>
      <c r="Q150">
        <v>4.0032016673088755E-2</v>
      </c>
      <c r="R150">
        <v>2.2252811851766866E-8</v>
      </c>
      <c r="S150">
        <v>1.5473671312337345E-9</v>
      </c>
      <c r="T150">
        <v>-4.2426886920417142E-4</v>
      </c>
      <c r="U150">
        <v>1.3226913082852999E-4</v>
      </c>
    </row>
    <row r="151" spans="1:21" x14ac:dyDescent="0.3">
      <c r="A151" s="17" t="s">
        <v>112</v>
      </c>
      <c r="B151">
        <v>196</v>
      </c>
      <c r="C151">
        <f t="shared" si="4"/>
        <v>64</v>
      </c>
      <c r="D151">
        <v>6.3198334689999998</v>
      </c>
      <c r="E151">
        <v>3287.6819021997258</v>
      </c>
      <c r="F151">
        <v>520216540.25006181</v>
      </c>
      <c r="G151">
        <v>9744.5876953150546</v>
      </c>
      <c r="H151">
        <v>6.0684347793750676E-2</v>
      </c>
      <c r="I151">
        <v>9.2398371616669861E-4</v>
      </c>
      <c r="J151">
        <v>8.794302385186085E-6</v>
      </c>
      <c r="K151">
        <v>1.3753461983704586E-7</v>
      </c>
      <c r="L151">
        <v>4.348329471110771E-6</v>
      </c>
      <c r="M151">
        <v>1.1405039484805672E-6</v>
      </c>
      <c r="N151">
        <v>4.6379461007355453E-3</v>
      </c>
      <c r="O151">
        <v>1.2817325532649441E-4</v>
      </c>
      <c r="P151">
        <v>2.925052101183411</v>
      </c>
      <c r="Q151">
        <v>1.7454103078700101E-2</v>
      </c>
      <c r="R151">
        <v>3.1565918979483396E-8</v>
      </c>
      <c r="S151">
        <v>1.0165695825002582E-9</v>
      </c>
      <c r="T151">
        <v>-1.8612977087787148E-4</v>
      </c>
      <c r="U151">
        <v>1.2461147783474964E-4</v>
      </c>
    </row>
    <row r="152" spans="1:21" x14ac:dyDescent="0.3">
      <c r="A152" s="17" t="s">
        <v>112</v>
      </c>
      <c r="B152">
        <v>200</v>
      </c>
      <c r="C152">
        <f t="shared" si="4"/>
        <v>68</v>
      </c>
      <c r="D152">
        <v>6.3198334689999998</v>
      </c>
      <c r="E152">
        <v>3273.3133519792282</v>
      </c>
      <c r="F152">
        <v>517942975.56026769</v>
      </c>
      <c r="G152">
        <v>6313.4272071940777</v>
      </c>
      <c r="H152">
        <v>5.812175883839675E-2</v>
      </c>
      <c r="I152">
        <v>8.8718743963422247E-4</v>
      </c>
      <c r="J152">
        <v>8.4933930212294441E-6</v>
      </c>
      <c r="K152">
        <v>1.3570551063656316E-7</v>
      </c>
      <c r="L152">
        <v>1.0160096863962686E-6</v>
      </c>
      <c r="M152">
        <v>1.2158627635005789E-6</v>
      </c>
      <c r="N152">
        <v>5.7101814844465193E-3</v>
      </c>
      <c r="O152">
        <v>1.2300017774271666E-4</v>
      </c>
      <c r="P152">
        <v>1.9891020206656418</v>
      </c>
      <c r="Q152">
        <v>1.3506557792854368E-2</v>
      </c>
      <c r="R152">
        <v>3.215409792623907E-8</v>
      </c>
      <c r="S152">
        <v>8.0249284292173471E-10</v>
      </c>
      <c r="T152">
        <v>-5.1468600989333462E-4</v>
      </c>
      <c r="U152">
        <v>1.274951980396103E-4</v>
      </c>
    </row>
    <row r="153" spans="1:21" x14ac:dyDescent="0.3">
      <c r="A153" s="17" t="s">
        <v>112</v>
      </c>
      <c r="B153">
        <v>204</v>
      </c>
      <c r="C153">
        <f t="shared" si="4"/>
        <v>72</v>
      </c>
      <c r="D153">
        <v>6.3198334689999998</v>
      </c>
      <c r="E153">
        <v>3264.2795376248932</v>
      </c>
      <c r="F153">
        <v>516513536.88935208</v>
      </c>
      <c r="G153">
        <v>8382.4050529646138</v>
      </c>
      <c r="H153">
        <v>5.9046386198377071E-2</v>
      </c>
      <c r="I153">
        <v>8.381557262384931E-4</v>
      </c>
      <c r="J153">
        <v>8.6713170413177667E-6</v>
      </c>
      <c r="K153">
        <v>1.2510808476215259E-7</v>
      </c>
      <c r="L153">
        <v>1.7642463348618784E-6</v>
      </c>
      <c r="M153">
        <v>1.1107788069590317E-6</v>
      </c>
      <c r="N153">
        <v>6.0115105455116882E-3</v>
      </c>
      <c r="O153">
        <v>1.3362312222451418E-4</v>
      </c>
      <c r="P153">
        <v>1.9422095520141172</v>
      </c>
      <c r="Q153">
        <v>1.3759269374041372E-2</v>
      </c>
      <c r="R153">
        <v>2.7062261890593577E-8</v>
      </c>
      <c r="S153">
        <v>6.6928393207314118E-10</v>
      </c>
      <c r="T153">
        <v>-2.4043700947249245E-4</v>
      </c>
      <c r="U153">
        <v>1.1405624491589874E-4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C2FD-3F75-4F6D-9FC0-9277172AA1BB}">
  <dimension ref="A1:T157"/>
  <sheetViews>
    <sheetView topLeftCell="E101" zoomScale="75" zoomScaleNormal="100" workbookViewId="0">
      <selection activeCell="B132" sqref="B132"/>
    </sheetView>
  </sheetViews>
  <sheetFormatPr defaultColWidth="8.77734375" defaultRowHeight="14.4" x14ac:dyDescent="0.3"/>
  <cols>
    <col min="1" max="1" width="21.44140625" bestFit="1" customWidth="1"/>
    <col min="2" max="2" width="21.44140625" customWidth="1"/>
    <col min="3" max="4" width="18.44140625" customWidth="1"/>
    <col min="5" max="6" width="19" customWidth="1"/>
    <col min="7" max="8" width="15.6640625" customWidth="1"/>
    <col min="9" max="10" width="18.33203125" customWidth="1"/>
    <col min="11" max="12" width="15.44140625" customWidth="1"/>
    <col min="13" max="14" width="15.6640625" customWidth="1"/>
    <col min="15" max="15" width="14.6640625" customWidth="1"/>
    <col min="16" max="17" width="15.44140625" customWidth="1"/>
    <col min="18" max="19" width="16.44140625" customWidth="1"/>
  </cols>
  <sheetData>
    <row r="1" spans="1:20" x14ac:dyDescent="0.3">
      <c r="A1" s="1" t="s">
        <v>40</v>
      </c>
      <c r="B1" t="s">
        <v>41</v>
      </c>
      <c r="C1" t="s">
        <v>42</v>
      </c>
      <c r="D1" t="s">
        <v>43</v>
      </c>
    </row>
    <row r="2" spans="1:20" x14ac:dyDescent="0.3">
      <c r="A2" s="1">
        <v>45410</v>
      </c>
      <c r="B2" t="s">
        <v>44</v>
      </c>
      <c r="C2">
        <v>1000</v>
      </c>
      <c r="D2">
        <v>2</v>
      </c>
    </row>
    <row r="3" spans="1:20" x14ac:dyDescent="0.3">
      <c r="A3" s="1">
        <v>45418</v>
      </c>
      <c r="B3" t="s">
        <v>100</v>
      </c>
      <c r="C3">
        <v>500</v>
      </c>
      <c r="D3">
        <v>1</v>
      </c>
    </row>
    <row r="4" spans="1:20" x14ac:dyDescent="0.3">
      <c r="A4" s="1">
        <v>45450</v>
      </c>
      <c r="B4" t="s">
        <v>48</v>
      </c>
      <c r="C4">
        <v>1000</v>
      </c>
      <c r="D4">
        <v>1</v>
      </c>
    </row>
    <row r="5" spans="1:20" x14ac:dyDescent="0.3">
      <c r="A5" s="22">
        <v>45490</v>
      </c>
      <c r="B5" s="17" t="s">
        <v>137</v>
      </c>
      <c r="C5">
        <v>500</v>
      </c>
      <c r="D5">
        <v>10</v>
      </c>
    </row>
    <row r="6" spans="1:20" x14ac:dyDescent="0.3">
      <c r="A6" t="s">
        <v>29</v>
      </c>
      <c r="B6" t="s">
        <v>101</v>
      </c>
      <c r="C6" t="s">
        <v>101</v>
      </c>
      <c r="D6" t="s">
        <v>101</v>
      </c>
      <c r="E6" t="s">
        <v>101</v>
      </c>
      <c r="F6" t="s">
        <v>101</v>
      </c>
      <c r="G6" t="s">
        <v>101</v>
      </c>
      <c r="H6" t="s">
        <v>101</v>
      </c>
      <c r="I6" t="s">
        <v>101</v>
      </c>
      <c r="J6" t="s">
        <v>101</v>
      </c>
      <c r="K6" t="s">
        <v>101</v>
      </c>
      <c r="L6" t="s">
        <v>101</v>
      </c>
      <c r="M6" t="s">
        <v>101</v>
      </c>
      <c r="N6" t="s">
        <v>101</v>
      </c>
      <c r="O6" t="s">
        <v>101</v>
      </c>
      <c r="P6" t="s">
        <v>101</v>
      </c>
      <c r="Q6" t="s">
        <v>101</v>
      </c>
      <c r="R6" t="s">
        <v>101</v>
      </c>
      <c r="S6" t="s">
        <v>101</v>
      </c>
    </row>
    <row r="7" spans="1:20" x14ac:dyDescent="0.3">
      <c r="A7" t="s">
        <v>4</v>
      </c>
      <c r="B7" s="17" t="s">
        <v>106</v>
      </c>
      <c r="C7" t="s">
        <v>7</v>
      </c>
      <c r="D7" t="s">
        <v>50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  <c r="R7" t="s">
        <v>21</v>
      </c>
      <c r="S7" t="s">
        <v>22</v>
      </c>
      <c r="T7" t="s">
        <v>23</v>
      </c>
    </row>
    <row r="8" spans="1:20" x14ac:dyDescent="0.3">
      <c r="A8">
        <v>-4</v>
      </c>
      <c r="B8">
        <f>A8+4</f>
        <v>0</v>
      </c>
      <c r="C8">
        <v>6.3582700000000001</v>
      </c>
      <c r="D8">
        <v>2830.5794800063973</v>
      </c>
      <c r="E8">
        <v>445180761.43454069</v>
      </c>
      <c r="F8">
        <v>15105.442267099312</v>
      </c>
      <c r="G8">
        <v>9.7002998239810581E-2</v>
      </c>
      <c r="H8">
        <v>7.7303532879170744E-4</v>
      </c>
      <c r="I8">
        <v>8.4897941673842626E-6</v>
      </c>
      <c r="J8">
        <v>8.682868905508504E-8</v>
      </c>
      <c r="K8">
        <v>6.3747774361359279E-6</v>
      </c>
      <c r="L8">
        <v>5.7608187735408782E-7</v>
      </c>
      <c r="M8">
        <v>7.1152962334892454E-3</v>
      </c>
      <c r="N8">
        <v>1.4864767678772354E-4</v>
      </c>
      <c r="O8">
        <v>2.9762904453471775</v>
      </c>
      <c r="P8">
        <v>1.3400952385563603E-2</v>
      </c>
      <c r="Q8">
        <v>2.5343865169151452E-8</v>
      </c>
      <c r="R8">
        <v>6.2567079392104577E-10</v>
      </c>
      <c r="S8">
        <v>-1.5552399787846361E-4</v>
      </c>
      <c r="T8">
        <v>1.4356430904983753E-4</v>
      </c>
    </row>
    <row r="9" spans="1:20" x14ac:dyDescent="0.3">
      <c r="A9">
        <v>0</v>
      </c>
      <c r="B9">
        <f t="shared" ref="B9:B55" si="0">A9+4</f>
        <v>4</v>
      </c>
      <c r="C9">
        <v>6.3582700000000001</v>
      </c>
      <c r="D9">
        <v>2834.9474927685328</v>
      </c>
      <c r="E9">
        <v>445867742.76155823</v>
      </c>
      <c r="F9">
        <v>7612.6199756165743</v>
      </c>
      <c r="G9">
        <v>9.4902984829071918E-2</v>
      </c>
      <c r="H9">
        <v>8.2564635798409308E-4</v>
      </c>
      <c r="I9">
        <v>8.6045106101382668E-6</v>
      </c>
      <c r="J9">
        <v>9.322359850975254E-8</v>
      </c>
      <c r="K9">
        <v>8.4480639085877905E-6</v>
      </c>
      <c r="L9">
        <v>6.1001061566440349E-7</v>
      </c>
      <c r="M9">
        <v>7.1806988429271457E-3</v>
      </c>
      <c r="N9">
        <v>1.2331627045020482E-4</v>
      </c>
      <c r="O9">
        <v>1.925324672925264</v>
      </c>
      <c r="P9">
        <v>1.1027616883014457E-2</v>
      </c>
      <c r="Q9">
        <v>3.3453388142161444E-8</v>
      </c>
      <c r="R9">
        <v>7.0477615709397634E-10</v>
      </c>
      <c r="S9">
        <v>3.4025633191679422E-4</v>
      </c>
      <c r="T9">
        <v>1.4419059396709929E-4</v>
      </c>
    </row>
    <row r="10" spans="1:20" x14ac:dyDescent="0.3">
      <c r="A10">
        <v>4</v>
      </c>
      <c r="B10">
        <f t="shared" si="0"/>
        <v>8</v>
      </c>
      <c r="C10">
        <v>6.3582700000000001</v>
      </c>
      <c r="D10">
        <v>2801.1846019109148</v>
      </c>
      <c r="E10">
        <v>440557667.7163623</v>
      </c>
      <c r="F10">
        <v>8650.6527225693735</v>
      </c>
      <c r="G10">
        <v>0.10010179131798004</v>
      </c>
      <c r="H10">
        <v>7.5267244730732596E-4</v>
      </c>
      <c r="I10">
        <v>8.8398646659781298E-6</v>
      </c>
      <c r="J10">
        <v>8.0898702824003914E-8</v>
      </c>
      <c r="K10">
        <v>1.0927129076735703E-5</v>
      </c>
      <c r="L10">
        <v>5.0089162891444603E-7</v>
      </c>
      <c r="M10">
        <v>7.6735858722604341E-3</v>
      </c>
      <c r="N10">
        <v>1.2129527647937455E-4</v>
      </c>
      <c r="O10">
        <v>2.450254725005566</v>
      </c>
      <c r="P10">
        <v>1.011528836383313E-2</v>
      </c>
      <c r="Q10">
        <v>2.9813370370285425E-8</v>
      </c>
      <c r="R10">
        <v>5.6853129694609664E-10</v>
      </c>
      <c r="S10">
        <v>4.1012464850706548E-4</v>
      </c>
      <c r="T10">
        <v>1.2372714883984674E-4</v>
      </c>
    </row>
    <row r="11" spans="1:20" x14ac:dyDescent="0.3">
      <c r="A11">
        <v>8</v>
      </c>
      <c r="B11">
        <f t="shared" si="0"/>
        <v>12</v>
      </c>
      <c r="C11">
        <v>6.3582700000000001</v>
      </c>
      <c r="D11">
        <v>2769.8093071384606</v>
      </c>
      <c r="E11">
        <v>435623103.00419146</v>
      </c>
      <c r="F11">
        <v>9228.7468715646082</v>
      </c>
      <c r="G11">
        <v>9.8329910493607883E-2</v>
      </c>
      <c r="H11">
        <v>8.0754181785220452E-4</v>
      </c>
      <c r="I11">
        <v>8.9751166554491602E-6</v>
      </c>
      <c r="J11">
        <v>8.7448325818005199E-8</v>
      </c>
      <c r="K11">
        <v>1.1675543890831398E-5</v>
      </c>
      <c r="L11">
        <v>5.379924963048756E-7</v>
      </c>
      <c r="M11">
        <v>7.0316456401154134E-3</v>
      </c>
      <c r="N11">
        <v>1.2497037514753312E-4</v>
      </c>
      <c r="O11">
        <v>2.592734668707295</v>
      </c>
      <c r="P11">
        <v>1.1401307060379784E-2</v>
      </c>
      <c r="Q11">
        <v>3.0525929445401335E-8</v>
      </c>
      <c r="R11">
        <v>6.5592751209094312E-10</v>
      </c>
      <c r="S11">
        <v>5.2982435597335239E-4</v>
      </c>
      <c r="T11">
        <v>1.2663486454519195E-4</v>
      </c>
    </row>
    <row r="12" spans="1:20" x14ac:dyDescent="0.3">
      <c r="A12">
        <v>12</v>
      </c>
      <c r="B12">
        <f t="shared" si="0"/>
        <v>16</v>
      </c>
      <c r="C12">
        <v>6.3582700000000001</v>
      </c>
      <c r="D12">
        <v>2757.3226542473635</v>
      </c>
      <c r="E12">
        <v>433659258.61081135</v>
      </c>
      <c r="F12">
        <v>8179.5960082675647</v>
      </c>
      <c r="G12">
        <v>8.7999361776030238E-2</v>
      </c>
      <c r="H12">
        <v>7.5327165178062233E-4</v>
      </c>
      <c r="I12">
        <v>9.2907030355667378E-6</v>
      </c>
      <c r="J12">
        <v>8.6986441620835784E-8</v>
      </c>
      <c r="K12">
        <v>9.8952286398027771E-6</v>
      </c>
      <c r="L12">
        <v>5.6999761555302948E-7</v>
      </c>
      <c r="M12">
        <v>8.2854846821548526E-3</v>
      </c>
      <c r="N12">
        <v>1.2227188197096867E-4</v>
      </c>
      <c r="O12">
        <v>1.7748146578808717</v>
      </c>
      <c r="P12">
        <v>9.3360551118487622E-3</v>
      </c>
      <c r="Q12">
        <v>2.7288621848814925E-8</v>
      </c>
      <c r="R12">
        <v>4.7182429662632677E-10</v>
      </c>
      <c r="S12">
        <v>7.5516849029101587E-4</v>
      </c>
      <c r="T12">
        <v>1.0544743106502108E-4</v>
      </c>
    </row>
    <row r="13" spans="1:20" x14ac:dyDescent="0.3">
      <c r="A13">
        <v>16</v>
      </c>
      <c r="B13">
        <f t="shared" si="0"/>
        <v>20</v>
      </c>
      <c r="C13">
        <v>6.3582700000000001</v>
      </c>
      <c r="D13">
        <v>2747.8232733375376</v>
      </c>
      <c r="E13">
        <v>432165238.86804706</v>
      </c>
      <c r="F13">
        <v>7772.469126476889</v>
      </c>
      <c r="G13">
        <v>8.2084884130351254E-2</v>
      </c>
      <c r="H13">
        <v>7.1799526382365642E-4</v>
      </c>
      <c r="I13">
        <v>9.3734919929561696E-6</v>
      </c>
      <c r="J13">
        <v>9.0702910885619963E-8</v>
      </c>
      <c r="K13">
        <v>1.0937723114300079E-5</v>
      </c>
      <c r="L13">
        <v>5.6766983421003466E-7</v>
      </c>
      <c r="M13">
        <v>6.8949386063311829E-3</v>
      </c>
      <c r="N13">
        <v>1.1171676641012415E-4</v>
      </c>
      <c r="O13">
        <v>2.6525281082091405</v>
      </c>
      <c r="P13">
        <v>1.0341395997517377E-2</v>
      </c>
      <c r="Q13">
        <v>2.9078813929583943E-8</v>
      </c>
      <c r="R13">
        <v>5.6418624604110194E-10</v>
      </c>
      <c r="S13">
        <v>1.0521140456186925E-3</v>
      </c>
      <c r="T13">
        <v>1.0091743533597951E-4</v>
      </c>
    </row>
    <row r="14" spans="1:20" x14ac:dyDescent="0.3">
      <c r="A14">
        <v>20</v>
      </c>
      <c r="B14">
        <f t="shared" si="0"/>
        <v>24</v>
      </c>
      <c r="C14">
        <v>6.3582700000000001</v>
      </c>
      <c r="D14">
        <v>2746.4835592444133</v>
      </c>
      <c r="E14">
        <v>431954534.68387049</v>
      </c>
      <c r="F14">
        <v>7954.7302077875856</v>
      </c>
      <c r="G14">
        <v>7.8849566614071817E-2</v>
      </c>
      <c r="H14">
        <v>7.6190404102647463E-4</v>
      </c>
      <c r="I14">
        <v>9.3966600497159042E-6</v>
      </c>
      <c r="J14">
        <v>9.7166682280326133E-8</v>
      </c>
      <c r="K14">
        <v>1.019820834846513E-5</v>
      </c>
      <c r="L14">
        <v>6.3849161675776497E-7</v>
      </c>
      <c r="M14">
        <v>6.4770595171590988E-3</v>
      </c>
      <c r="N14">
        <v>1.1426247677032977E-4</v>
      </c>
      <c r="O14">
        <v>1.8980399690463761</v>
      </c>
      <c r="P14">
        <v>1.1270200262398333E-2</v>
      </c>
      <c r="Q14">
        <v>2.9255210547765216E-8</v>
      </c>
      <c r="R14">
        <v>6.1272465132661176E-10</v>
      </c>
      <c r="S14">
        <v>6.9761749747107387E-4</v>
      </c>
      <c r="T14">
        <v>1.02678046699578E-4</v>
      </c>
    </row>
    <row r="15" spans="1:20" x14ac:dyDescent="0.3">
      <c r="A15">
        <v>24</v>
      </c>
      <c r="B15">
        <f t="shared" si="0"/>
        <v>28</v>
      </c>
      <c r="C15">
        <v>6.3582700000000001</v>
      </c>
      <c r="D15">
        <v>2757.5464811921361</v>
      </c>
      <c r="E15">
        <v>433694461.10217661</v>
      </c>
      <c r="F15">
        <v>6971.7621936915557</v>
      </c>
      <c r="G15">
        <v>7.8621622965252422E-2</v>
      </c>
      <c r="H15">
        <v>7.1500208166089957E-4</v>
      </c>
      <c r="I15">
        <v>9.4930242958284517E-6</v>
      </c>
      <c r="J15">
        <v>9.1997528739223927E-8</v>
      </c>
      <c r="K15">
        <v>1.1039896815223163E-5</v>
      </c>
      <c r="L15">
        <v>5.8942429729134647E-7</v>
      </c>
      <c r="M15">
        <v>6.0287407862577337E-3</v>
      </c>
      <c r="N15">
        <v>1.0135271917685379E-4</v>
      </c>
      <c r="O15">
        <v>1.9588572259843924</v>
      </c>
      <c r="P15">
        <v>1.0755726968705859E-2</v>
      </c>
      <c r="Q15">
        <v>3.1335487306048193E-8</v>
      </c>
      <c r="R15">
        <v>6.3448417168547834E-10</v>
      </c>
      <c r="S15">
        <v>4.4876842496804887E-4</v>
      </c>
      <c r="T15">
        <v>9.4731511779530645E-5</v>
      </c>
    </row>
    <row r="16" spans="1:20" x14ac:dyDescent="0.3">
      <c r="A16">
        <v>28</v>
      </c>
      <c r="B16">
        <f t="shared" si="0"/>
        <v>32</v>
      </c>
      <c r="C16">
        <v>6.3582700000000001</v>
      </c>
      <c r="D16">
        <v>2777.2059331860592</v>
      </c>
      <c r="E16">
        <v>436786410.95550507</v>
      </c>
      <c r="F16">
        <v>6806.411227577858</v>
      </c>
      <c r="G16">
        <v>6.789813585011456E-2</v>
      </c>
      <c r="H16">
        <v>6.716300339945705E-4</v>
      </c>
      <c r="I16">
        <v>9.6515714748058448E-6</v>
      </c>
      <c r="J16">
        <v>1.007472979881085E-7</v>
      </c>
      <c r="K16">
        <v>9.181675869788725E-6</v>
      </c>
      <c r="L16">
        <v>6.4946968626326359E-7</v>
      </c>
      <c r="M16">
        <v>6.4767677542204947E-3</v>
      </c>
      <c r="N16">
        <v>1.0178278861443929E-4</v>
      </c>
      <c r="O16">
        <v>2.7090760729264356</v>
      </c>
      <c r="P16">
        <v>1.0061338709014489E-2</v>
      </c>
      <c r="Q16">
        <v>2.9375699326918098E-8</v>
      </c>
      <c r="R16">
        <v>5.5569518682961103E-10</v>
      </c>
      <c r="S16">
        <v>1.1636670465941642E-3</v>
      </c>
      <c r="T16">
        <v>8.8501165093421517E-5</v>
      </c>
    </row>
    <row r="17" spans="1:20" x14ac:dyDescent="0.3">
      <c r="A17">
        <v>32</v>
      </c>
      <c r="B17">
        <f t="shared" si="0"/>
        <v>36</v>
      </c>
      <c r="C17">
        <v>6.3582700000000001</v>
      </c>
      <c r="D17">
        <v>2803.89497224874</v>
      </c>
      <c r="E17">
        <v>440983942.52662128</v>
      </c>
      <c r="F17">
        <v>7723.264087378112</v>
      </c>
      <c r="G17">
        <v>6.3639229030108074E-2</v>
      </c>
      <c r="H17">
        <v>6.911123633745811E-4</v>
      </c>
      <c r="I17">
        <v>9.8803966016805234E-6</v>
      </c>
      <c r="J17">
        <v>1.0848487241222136E-7</v>
      </c>
      <c r="K17">
        <v>1.1018939693906269E-5</v>
      </c>
      <c r="L17">
        <v>6.9053663049961274E-7</v>
      </c>
      <c r="M17">
        <v>6.1468718119422894E-3</v>
      </c>
      <c r="N17">
        <v>1.0699039017998029E-4</v>
      </c>
      <c r="O17">
        <v>1.8755876715996236</v>
      </c>
      <c r="P17">
        <v>1.1102521365726314E-2</v>
      </c>
      <c r="Q17">
        <v>2.7247897553762894E-8</v>
      </c>
      <c r="R17">
        <v>5.5866683907985678E-10</v>
      </c>
      <c r="S17">
        <v>7.007803994765943E-4</v>
      </c>
      <c r="T17">
        <v>8.3559270737660295E-5</v>
      </c>
    </row>
    <row r="18" spans="1:20" x14ac:dyDescent="0.3">
      <c r="A18">
        <v>36</v>
      </c>
      <c r="B18">
        <f t="shared" si="0"/>
        <v>40</v>
      </c>
      <c r="C18">
        <v>6.3582700000000001</v>
      </c>
      <c r="D18">
        <v>2833.1310181402168</v>
      </c>
      <c r="E18">
        <v>445582055.83283138</v>
      </c>
      <c r="F18">
        <v>6425.999270559535</v>
      </c>
      <c r="G18">
        <v>6.2762189644547717E-2</v>
      </c>
      <c r="H18">
        <v>6.4469114962202936E-4</v>
      </c>
      <c r="I18">
        <v>9.9729379681154077E-6</v>
      </c>
      <c r="J18">
        <v>1.0539405588863329E-7</v>
      </c>
      <c r="K18">
        <v>1.1904102056922754E-5</v>
      </c>
      <c r="L18">
        <v>6.3597215123429335E-7</v>
      </c>
      <c r="M18">
        <v>5.9532986630147656E-3</v>
      </c>
      <c r="N18">
        <v>9.5434635996606652E-5</v>
      </c>
      <c r="O18">
        <v>2.7177451539774888</v>
      </c>
      <c r="P18">
        <v>1.0333503835513458E-2</v>
      </c>
      <c r="Q18">
        <v>2.9373175549479743E-8</v>
      </c>
      <c r="R18">
        <v>5.6961490133261027E-10</v>
      </c>
      <c r="S18">
        <v>1.2686074756885857E-3</v>
      </c>
      <c r="T18">
        <v>7.9009386405774675E-5</v>
      </c>
    </row>
    <row r="19" spans="1:20" x14ac:dyDescent="0.3">
      <c r="A19">
        <v>40</v>
      </c>
      <c r="B19">
        <f t="shared" si="0"/>
        <v>44</v>
      </c>
      <c r="C19">
        <v>6.3582700000000001</v>
      </c>
      <c r="D19">
        <v>2876.0446615704077</v>
      </c>
      <c r="E19">
        <v>452331319.92985636</v>
      </c>
      <c r="F19">
        <v>6277.5915306290117</v>
      </c>
      <c r="G19">
        <v>7.8682717925464843E-2</v>
      </c>
      <c r="H19">
        <v>7.0716198098202954E-4</v>
      </c>
      <c r="I19">
        <v>8.9323814790557607E-6</v>
      </c>
      <c r="J19">
        <v>9.3184226794088698E-8</v>
      </c>
      <c r="K19">
        <v>6.3582959949731505E-6</v>
      </c>
      <c r="L19">
        <v>6.3757876588169225E-7</v>
      </c>
      <c r="M19">
        <v>8.8972395577634408E-3</v>
      </c>
      <c r="N19">
        <v>1.1544708923649435E-4</v>
      </c>
      <c r="O19">
        <v>1.7209749123034679</v>
      </c>
      <c r="P19">
        <v>8.3043985524379194E-3</v>
      </c>
      <c r="Q19">
        <v>2.8722970342803216E-8</v>
      </c>
      <c r="R19">
        <v>4.4587356095141939E-10</v>
      </c>
      <c r="S19">
        <v>8.9524864790611512E-4</v>
      </c>
      <c r="T19">
        <v>1.1224541665282961E-4</v>
      </c>
    </row>
    <row r="20" spans="1:20" x14ac:dyDescent="0.3">
      <c r="A20">
        <v>44</v>
      </c>
      <c r="B20">
        <f t="shared" si="0"/>
        <v>48</v>
      </c>
      <c r="C20">
        <v>6.3582700000000001</v>
      </c>
      <c r="D20">
        <v>2916.9954939616846</v>
      </c>
      <c r="E20">
        <v>458771881.96815872</v>
      </c>
      <c r="F20">
        <v>7202.5265380193377</v>
      </c>
      <c r="G20">
        <v>9.038837899669161E-2</v>
      </c>
      <c r="H20">
        <v>7.3926048713101461E-4</v>
      </c>
      <c r="I20">
        <v>9.1768159740066345E-6</v>
      </c>
      <c r="J20">
        <v>8.7108682849007726E-8</v>
      </c>
      <c r="K20">
        <v>1.1569619959847994E-5</v>
      </c>
      <c r="L20">
        <v>5.2872454887907135E-7</v>
      </c>
      <c r="M20">
        <v>7.0103736711189645E-3</v>
      </c>
      <c r="N20">
        <v>1.151965304222102E-4</v>
      </c>
      <c r="O20">
        <v>1.8913710902742531</v>
      </c>
      <c r="P20">
        <v>1.0564194024206608E-2</v>
      </c>
      <c r="Q20">
        <v>3.0107406001923787E-8</v>
      </c>
      <c r="R20">
        <v>6.0025468631533128E-10</v>
      </c>
      <c r="S20">
        <v>1.927885342391543E-4</v>
      </c>
      <c r="T20">
        <v>1.1150936521368149E-4</v>
      </c>
    </row>
    <row r="21" spans="1:20" x14ac:dyDescent="0.3">
      <c r="A21">
        <v>48</v>
      </c>
      <c r="B21">
        <f t="shared" si="0"/>
        <v>52</v>
      </c>
      <c r="C21">
        <v>6.3582700000000001</v>
      </c>
      <c r="D21">
        <v>2936.635336670498</v>
      </c>
      <c r="E21">
        <v>461860747.76165497</v>
      </c>
      <c r="F21">
        <v>8521.4334137884143</v>
      </c>
      <c r="G21">
        <v>8.2615454566091318E-2</v>
      </c>
      <c r="H21">
        <v>7.3415901107613812E-4</v>
      </c>
      <c r="I21">
        <v>8.9601520659508557E-6</v>
      </c>
      <c r="J21">
        <v>9.1674799037737929E-8</v>
      </c>
      <c r="K21">
        <v>7.1210543476568647E-6</v>
      </c>
      <c r="L21">
        <v>6.238406793162022E-7</v>
      </c>
      <c r="M21">
        <v>6.9652846599039435E-3</v>
      </c>
      <c r="N21">
        <v>1.1745683024371812E-4</v>
      </c>
      <c r="O21">
        <v>0.7511865355340831</v>
      </c>
      <c r="P21">
        <v>1.0739485689164219E-2</v>
      </c>
      <c r="Q21">
        <v>2.9240855927915029E-8</v>
      </c>
      <c r="R21">
        <v>5.8915387091415643E-10</v>
      </c>
      <c r="S21">
        <v>3.7180186563406985E-4</v>
      </c>
      <c r="T21">
        <v>1.1437444438763181E-4</v>
      </c>
    </row>
    <row r="22" spans="1:20" x14ac:dyDescent="0.3">
      <c r="A22">
        <v>52</v>
      </c>
      <c r="B22">
        <f t="shared" si="0"/>
        <v>56</v>
      </c>
      <c r="C22">
        <v>6.3582700000000001</v>
      </c>
      <c r="D22">
        <v>2931.8622445078613</v>
      </c>
      <c r="E22">
        <v>461110057.37533349</v>
      </c>
      <c r="F22">
        <v>12082.65825936028</v>
      </c>
      <c r="G22">
        <v>7.636790262059942E-2</v>
      </c>
      <c r="H22">
        <v>7.4913434007551488E-4</v>
      </c>
      <c r="I22">
        <v>9.1823373612577831E-6</v>
      </c>
      <c r="J22">
        <v>9.9094941483056748E-8</v>
      </c>
      <c r="K22">
        <v>6.8523964751666502E-6</v>
      </c>
      <c r="L22">
        <v>6.8497631802031235E-7</v>
      </c>
      <c r="M22">
        <v>5.0526147941059654E-3</v>
      </c>
      <c r="N22">
        <v>1.1522393137394825E-4</v>
      </c>
      <c r="O22">
        <v>0.59324825255666647</v>
      </c>
      <c r="P22">
        <v>1.4528149894441345E-2</v>
      </c>
      <c r="Q22">
        <v>2.9665603765098532E-8</v>
      </c>
      <c r="R22">
        <v>8.0832027928533866E-10</v>
      </c>
      <c r="S22">
        <v>4.1308408696341128E-4</v>
      </c>
      <c r="T22">
        <v>1.087191173265694E-4</v>
      </c>
    </row>
    <row r="23" spans="1:20" x14ac:dyDescent="0.3">
      <c r="A23">
        <v>56</v>
      </c>
      <c r="B23">
        <f t="shared" si="0"/>
        <v>60</v>
      </c>
      <c r="C23">
        <v>6.3582700000000001</v>
      </c>
      <c r="D23">
        <v>2868.758865321191</v>
      </c>
      <c r="E23">
        <v>451185442.78887045</v>
      </c>
      <c r="F23">
        <v>33786.649616424082</v>
      </c>
      <c r="G23">
        <v>7.6612085789126178E-2</v>
      </c>
      <c r="H23">
        <v>7.4114547788907414E-4</v>
      </c>
      <c r="I23">
        <v>8.9298620942934323E-6</v>
      </c>
      <c r="J23">
        <v>1.023027516429973E-7</v>
      </c>
      <c r="K23">
        <v>6.5646222163466041E-6</v>
      </c>
      <c r="L23">
        <v>6.8062340972240348E-7</v>
      </c>
      <c r="M23">
        <v>3.7185047414887841E-3</v>
      </c>
      <c r="N23">
        <v>1.3694473496419558E-4</v>
      </c>
      <c r="O23">
        <v>2.5418086196118512</v>
      </c>
      <c r="P23">
        <v>2.3539095381259534E-2</v>
      </c>
      <c r="Q23">
        <v>2.5369958839690407E-8</v>
      </c>
      <c r="R23">
        <v>1.1028901940651096E-9</v>
      </c>
      <c r="S23">
        <v>6.735272311689266E-4</v>
      </c>
      <c r="T23">
        <v>1.2075729520510497E-4</v>
      </c>
    </row>
    <row r="24" spans="1:20" x14ac:dyDescent="0.3">
      <c r="A24">
        <v>60</v>
      </c>
      <c r="B24">
        <f t="shared" si="0"/>
        <v>64</v>
      </c>
      <c r="C24">
        <v>6.3582700000000001</v>
      </c>
      <c r="D24">
        <v>3294.759630981569</v>
      </c>
      <c r="E24">
        <v>518184919.95174307</v>
      </c>
      <c r="F24">
        <v>24093.52190219094</v>
      </c>
      <c r="G24">
        <v>8.4799368970727165E-2</v>
      </c>
      <c r="H24">
        <v>7.3435343932504171E-4</v>
      </c>
      <c r="I24">
        <v>9.3457961466300347E-6</v>
      </c>
      <c r="J24">
        <v>9.0535132773755477E-8</v>
      </c>
      <c r="K24">
        <v>1.1235823213935777E-5</v>
      </c>
      <c r="L24">
        <v>5.5901232797376644E-7</v>
      </c>
      <c r="M24">
        <v>4.7160013860945323E-3</v>
      </c>
      <c r="N24">
        <v>1.4143602723810456E-4</v>
      </c>
      <c r="O24">
        <v>-1.0814190437395972</v>
      </c>
      <c r="P24">
        <v>1.9233837306008361E-2</v>
      </c>
      <c r="Q24">
        <v>2.2692451726510602E-8</v>
      </c>
      <c r="R24">
        <v>7.8309669155140604E-10</v>
      </c>
      <c r="S24">
        <v>4.7170189983430461E-4</v>
      </c>
      <c r="T24">
        <v>1.0466171790994092E-4</v>
      </c>
    </row>
    <row r="25" spans="1:20" x14ac:dyDescent="0.3">
      <c r="A25">
        <v>64</v>
      </c>
      <c r="B25">
        <f t="shared" si="0"/>
        <v>68</v>
      </c>
      <c r="C25">
        <v>6.3582700000000001</v>
      </c>
      <c r="D25">
        <v>3290.5544743060295</v>
      </c>
      <c r="E25">
        <v>517523551.89478105</v>
      </c>
      <c r="F25">
        <v>14103.667663800668</v>
      </c>
      <c r="G25">
        <v>8.1117202704792349E-2</v>
      </c>
      <c r="H25">
        <v>6.7191734695709604E-4</v>
      </c>
      <c r="I25">
        <v>8.9326513247150805E-6</v>
      </c>
      <c r="J25">
        <v>9.0348172178655817E-8</v>
      </c>
      <c r="K25">
        <v>1.1046996735217444E-5</v>
      </c>
      <c r="L25">
        <v>5.4467056760461943E-7</v>
      </c>
      <c r="M25">
        <v>5.2843217054274784E-3</v>
      </c>
      <c r="N25">
        <v>1.2396641546436483E-4</v>
      </c>
      <c r="O25">
        <v>-7.4342317165350655E-2</v>
      </c>
      <c r="P25">
        <v>1.5205581152303811E-2</v>
      </c>
      <c r="Q25">
        <v>2.5379286851774337E-8</v>
      </c>
      <c r="R25">
        <v>7.0869829334812093E-10</v>
      </c>
      <c r="S25">
        <v>6.3321706594058334E-4</v>
      </c>
      <c r="T25">
        <v>1.1036437063216477E-4</v>
      </c>
    </row>
    <row r="26" spans="1:20" x14ac:dyDescent="0.3">
      <c r="A26">
        <v>68</v>
      </c>
      <c r="B26">
        <f t="shared" si="0"/>
        <v>72</v>
      </c>
      <c r="C26">
        <v>6.3582700000000001</v>
      </c>
      <c r="D26">
        <v>3288.5236831239408</v>
      </c>
      <c r="E26">
        <v>517204158.22604907</v>
      </c>
      <c r="F26">
        <v>11911.409239728777</v>
      </c>
      <c r="G26">
        <v>8.2144386750416853E-2</v>
      </c>
      <c r="H26">
        <v>7.8293665497922854E-4</v>
      </c>
      <c r="I26">
        <v>9.0646829451976781E-6</v>
      </c>
      <c r="J26">
        <v>9.4532381620736391E-8</v>
      </c>
      <c r="K26">
        <v>1.1489593114489051E-5</v>
      </c>
      <c r="L26">
        <v>6.3605103967020772E-7</v>
      </c>
      <c r="M26">
        <v>6.1804762055965076E-3</v>
      </c>
      <c r="N26">
        <v>1.445875179886839E-4</v>
      </c>
      <c r="O26">
        <v>-1.8304951460966348</v>
      </c>
      <c r="P26">
        <v>1.4584166385643416E-2</v>
      </c>
      <c r="Q26">
        <v>2.29394056983347E-8</v>
      </c>
      <c r="R26">
        <v>5.8962149975279949E-10</v>
      </c>
      <c r="S26">
        <v>7.5308906539101582E-4</v>
      </c>
      <c r="T26">
        <v>1.0940645603332931E-4</v>
      </c>
    </row>
    <row r="27" spans="1:20" x14ac:dyDescent="0.3">
      <c r="A27">
        <v>72</v>
      </c>
      <c r="B27">
        <f t="shared" si="0"/>
        <v>76</v>
      </c>
      <c r="C27">
        <v>6.3582700000000001</v>
      </c>
      <c r="D27">
        <v>3280.6372712907528</v>
      </c>
      <c r="E27">
        <v>515963818.97760755</v>
      </c>
      <c r="F27">
        <v>14855.319974749204</v>
      </c>
      <c r="G27">
        <v>8.9763729745003074E-2</v>
      </c>
      <c r="H27">
        <v>6.6959277191364075E-4</v>
      </c>
      <c r="I27">
        <v>9.0766427888423008E-6</v>
      </c>
      <c r="J27">
        <v>8.2810964072017111E-8</v>
      </c>
      <c r="K27">
        <v>1.3352315066400502E-5</v>
      </c>
      <c r="L27">
        <v>4.676216595231126E-7</v>
      </c>
      <c r="M27">
        <v>5.5527522090369147E-3</v>
      </c>
      <c r="N27">
        <v>1.3347214423503097E-4</v>
      </c>
      <c r="O27">
        <v>0.65495401425767463</v>
      </c>
      <c r="P27">
        <v>1.5606570752469295E-2</v>
      </c>
      <c r="Q27">
        <v>2.3113363256238117E-8</v>
      </c>
      <c r="R27">
        <v>6.5484885891246466E-10</v>
      </c>
      <c r="S27">
        <v>4.8092603910104153E-4</v>
      </c>
      <c r="T27">
        <v>1.075896018592636E-4</v>
      </c>
    </row>
    <row r="28" spans="1:20" x14ac:dyDescent="0.3">
      <c r="A28">
        <v>76</v>
      </c>
      <c r="B28">
        <f t="shared" si="0"/>
        <v>80</v>
      </c>
      <c r="C28">
        <v>6.3582700000000001</v>
      </c>
      <c r="D28">
        <v>3268.0848811966562</v>
      </c>
      <c r="E28">
        <v>513989635.73372257</v>
      </c>
      <c r="F28">
        <v>22111.59538956231</v>
      </c>
      <c r="G28">
        <v>8.7203127613911191E-2</v>
      </c>
      <c r="H28">
        <v>6.6069902174138717E-4</v>
      </c>
      <c r="I28">
        <v>9.4288653958592806E-6</v>
      </c>
      <c r="J28">
        <v>8.296177597245971E-8</v>
      </c>
      <c r="K28">
        <v>1.2981570587932105E-5</v>
      </c>
      <c r="L28">
        <v>4.6772874359899159E-7</v>
      </c>
      <c r="M28">
        <v>5.9860155089530463E-3</v>
      </c>
      <c r="N28">
        <v>9.9613523856054587E-5</v>
      </c>
      <c r="O28">
        <v>1.2676293113958219</v>
      </c>
      <c r="P28">
        <v>1.6718427634649036E-2</v>
      </c>
      <c r="Q28">
        <v>1.881266826796934E-8</v>
      </c>
      <c r="S28">
        <v>7.8860533704118831E-4</v>
      </c>
      <c r="T28">
        <v>9.7530317864586509E-5</v>
      </c>
    </row>
    <row r="29" spans="1:20" x14ac:dyDescent="0.3">
      <c r="A29">
        <v>80</v>
      </c>
      <c r="B29">
        <f t="shared" si="0"/>
        <v>84</v>
      </c>
      <c r="C29">
        <v>6.3582700000000001</v>
      </c>
      <c r="D29">
        <v>3273.2857558748051</v>
      </c>
      <c r="E29">
        <v>514807605.82277972</v>
      </c>
      <c r="F29">
        <v>16644.626990025557</v>
      </c>
      <c r="G29">
        <v>8.9023346050616417E-2</v>
      </c>
      <c r="H29">
        <v>7.2804155118039865E-4</v>
      </c>
      <c r="I29">
        <v>9.5789550985481646E-6</v>
      </c>
      <c r="J29">
        <v>8.6299562533744495E-8</v>
      </c>
      <c r="K29">
        <v>1.3795343254114142E-5</v>
      </c>
      <c r="L29">
        <v>5.0017339986186837E-7</v>
      </c>
      <c r="M29">
        <v>6.1968733139450005E-3</v>
      </c>
      <c r="N29">
        <v>1.489897903665157E-4</v>
      </c>
      <c r="O29">
        <v>-0.52109032205317651</v>
      </c>
      <c r="P29">
        <v>1.5448079016719241E-2</v>
      </c>
      <c r="Q29">
        <v>2.0819651497546139E-8</v>
      </c>
      <c r="R29">
        <v>5.6788806716603463E-10</v>
      </c>
      <c r="S29">
        <v>4.918989443671183E-4</v>
      </c>
      <c r="T29">
        <v>9.8435637133830194E-5</v>
      </c>
    </row>
    <row r="30" spans="1:20" x14ac:dyDescent="0.3">
      <c r="A30">
        <v>84</v>
      </c>
      <c r="B30">
        <f t="shared" si="0"/>
        <v>88</v>
      </c>
      <c r="C30">
        <v>6.3582700000000001</v>
      </c>
      <c r="D30">
        <v>3284.3705980489708</v>
      </c>
      <c r="E30">
        <v>516550979.75533772</v>
      </c>
      <c r="F30">
        <v>15229.116565262935</v>
      </c>
      <c r="G30">
        <v>8.2674537045807767E-2</v>
      </c>
      <c r="H30">
        <v>6.5122536129426367E-4</v>
      </c>
      <c r="I30">
        <v>9.3544025642627684E-6</v>
      </c>
      <c r="J30">
        <v>8.4417563807409446E-8</v>
      </c>
      <c r="K30">
        <v>9.7356891257613522E-6</v>
      </c>
      <c r="L30">
        <v>5.1465159930462671E-7</v>
      </c>
      <c r="M30">
        <v>5.3969664499137083E-3</v>
      </c>
      <c r="N30">
        <v>1.1888039289687695E-4</v>
      </c>
      <c r="O30">
        <v>0.70004559847519787</v>
      </c>
      <c r="P30">
        <v>1.4366533411945714E-2</v>
      </c>
      <c r="Q30">
        <v>2.4854081799747417E-8</v>
      </c>
      <c r="R30">
        <v>6.5462863300344497E-10</v>
      </c>
      <c r="S30">
        <v>4.0824162016768212E-4</v>
      </c>
      <c r="T30">
        <v>9.7127217193636388E-5</v>
      </c>
    </row>
    <row r="31" spans="1:20" x14ac:dyDescent="0.3">
      <c r="A31">
        <v>88</v>
      </c>
      <c r="B31">
        <f t="shared" si="0"/>
        <v>92</v>
      </c>
      <c r="C31">
        <v>6.3582700000000001</v>
      </c>
      <c r="D31">
        <v>3315.7170149845601</v>
      </c>
      <c r="E31">
        <v>521481002.69170082</v>
      </c>
      <c r="F31">
        <v>16020.352466783461</v>
      </c>
      <c r="G31">
        <v>8.6106772697952833E-2</v>
      </c>
      <c r="H31">
        <v>6.9557459141279809E-4</v>
      </c>
      <c r="I31">
        <v>9.4927352026135324E-6</v>
      </c>
      <c r="J31">
        <v>8.649825046766737E-8</v>
      </c>
      <c r="K31">
        <v>1.085415250903246E-5</v>
      </c>
      <c r="L31">
        <v>5.1527528561858561E-7</v>
      </c>
      <c r="M31">
        <v>5.3877787233864473E-3</v>
      </c>
      <c r="N31">
        <v>1.2456346972622911E-4</v>
      </c>
      <c r="O31">
        <v>0.33643391573709874</v>
      </c>
      <c r="P31">
        <v>1.5024326228152585E-2</v>
      </c>
      <c r="Q31">
        <v>2.5141674968867294E-8</v>
      </c>
      <c r="R31">
        <v>6.9546881419585479E-10</v>
      </c>
      <c r="S31">
        <v>9.6073629208769497E-4</v>
      </c>
      <c r="T31">
        <v>1.0000702473943906E-4</v>
      </c>
    </row>
    <row r="32" spans="1:20" x14ac:dyDescent="0.3">
      <c r="A32">
        <v>92</v>
      </c>
      <c r="B32">
        <f t="shared" si="0"/>
        <v>96</v>
      </c>
      <c r="C32">
        <v>6.3582700000000001</v>
      </c>
      <c r="D32">
        <v>3349.3826744077514</v>
      </c>
      <c r="E32">
        <v>526775785.61585957</v>
      </c>
      <c r="F32">
        <v>26831.98331604464</v>
      </c>
      <c r="G32">
        <v>9.2224817410387919E-2</v>
      </c>
      <c r="H32">
        <v>8.816946659480282E-4</v>
      </c>
      <c r="I32">
        <v>9.6432274164530421E-6</v>
      </c>
      <c r="J32">
        <v>9.9761476629984879E-8</v>
      </c>
      <c r="K32">
        <v>1.2115251191813498E-5</v>
      </c>
      <c r="L32">
        <v>5.9881248415473774E-7</v>
      </c>
      <c r="M32">
        <v>6.6080252221009878E-3</v>
      </c>
      <c r="N32">
        <v>1.7609389494298647E-4</v>
      </c>
      <c r="O32">
        <v>-1.2641040936865546</v>
      </c>
      <c r="P32">
        <v>1.7049490285474089E-2</v>
      </c>
      <c r="Q32">
        <v>2.1303508079871553E-8</v>
      </c>
      <c r="R32">
        <v>6.4631008518002622E-10</v>
      </c>
      <c r="S32">
        <v>1.0460765097911099E-3</v>
      </c>
      <c r="T32">
        <v>1.1759420755712193E-4</v>
      </c>
    </row>
    <row r="33" spans="1:20" x14ac:dyDescent="0.3">
      <c r="A33">
        <v>96</v>
      </c>
      <c r="B33">
        <f t="shared" si="0"/>
        <v>100</v>
      </c>
      <c r="C33">
        <v>6.3582700000000001</v>
      </c>
      <c r="D33">
        <v>3015.1666233243195</v>
      </c>
      <c r="E33">
        <v>474211793.98237568</v>
      </c>
      <c r="F33">
        <v>12778.290343434806</v>
      </c>
      <c r="G33">
        <v>9.9784446093366702E-2</v>
      </c>
      <c r="H33">
        <v>1.2186835598637577E-3</v>
      </c>
      <c r="I33">
        <v>9.5105356079210983E-6</v>
      </c>
      <c r="J33">
        <v>1.1393345321911217E-7</v>
      </c>
      <c r="K33">
        <v>1.1324894161488965E-5</v>
      </c>
      <c r="L33">
        <v>8.0981123232143412E-7</v>
      </c>
      <c r="M33">
        <v>8.070260258878104E-3</v>
      </c>
      <c r="N33">
        <v>1.8703411186095668E-4</v>
      </c>
      <c r="O33">
        <v>-1.5113142892771088</v>
      </c>
      <c r="P33">
        <v>1.4260896466080641E-2</v>
      </c>
      <c r="Q33">
        <v>2.5885575096620517E-8</v>
      </c>
      <c r="R33">
        <v>6.6112963220785546E-10</v>
      </c>
      <c r="S33">
        <v>3.0674824364287565E-4</v>
      </c>
      <c r="T33">
        <v>1.432947217546668E-4</v>
      </c>
    </row>
    <row r="34" spans="1:20" x14ac:dyDescent="0.3">
      <c r="A34">
        <v>100</v>
      </c>
      <c r="B34">
        <f t="shared" si="0"/>
        <v>104</v>
      </c>
      <c r="C34">
        <v>6.3582700000000001</v>
      </c>
      <c r="D34">
        <v>3060.7226853179468</v>
      </c>
      <c r="E34">
        <v>481376645.74136466</v>
      </c>
      <c r="F34">
        <v>7912.9446843850819</v>
      </c>
      <c r="G34">
        <v>9.3277645941208451E-2</v>
      </c>
      <c r="H34">
        <v>7.5822144686162052E-4</v>
      </c>
      <c r="I34">
        <v>9.7051952685673368E-6</v>
      </c>
      <c r="J34">
        <v>8.5324963138698127E-8</v>
      </c>
      <c r="K34">
        <v>1.2655387886591431E-5</v>
      </c>
      <c r="L34">
        <v>5.0215302453186712E-7</v>
      </c>
      <c r="M34">
        <v>7.2201893997200037E-3</v>
      </c>
      <c r="N34">
        <v>1.1695250779946396E-4</v>
      </c>
      <c r="O34">
        <v>1.0329141935426078</v>
      </c>
      <c r="P34">
        <v>1.0420685282622744E-2</v>
      </c>
      <c r="Q34">
        <v>2.9031206826068319E-8</v>
      </c>
      <c r="R34">
        <v>5.6893979745691659E-10</v>
      </c>
      <c r="S34">
        <v>6.9759855686626123E-4</v>
      </c>
      <c r="T34">
        <v>1.0029320397786845E-4</v>
      </c>
    </row>
    <row r="35" spans="1:20" x14ac:dyDescent="0.3">
      <c r="A35">
        <v>104</v>
      </c>
      <c r="B35">
        <f t="shared" si="0"/>
        <v>108</v>
      </c>
      <c r="C35">
        <v>6.3582700000000001</v>
      </c>
      <c r="D35">
        <v>3055.9518748343075</v>
      </c>
      <c r="E35">
        <v>480626314.20721477</v>
      </c>
      <c r="F35">
        <v>6264.5573635222718</v>
      </c>
      <c r="G35">
        <v>9.2157667538130317E-2</v>
      </c>
      <c r="H35">
        <v>9.2496678581004133E-4</v>
      </c>
      <c r="I35">
        <v>9.662091389254803E-6</v>
      </c>
      <c r="J35">
        <v>9.3042974569007121E-8</v>
      </c>
      <c r="K35">
        <v>1.1053472565047519E-5</v>
      </c>
      <c r="L35">
        <v>6.6257611141667125E-7</v>
      </c>
      <c r="M35">
        <v>8.3714121645654862E-3</v>
      </c>
      <c r="N35">
        <v>1.278534478343276E-4</v>
      </c>
      <c r="O35">
        <v>-1.8274754260854322</v>
      </c>
      <c r="P35">
        <v>9.4297051030276524E-3</v>
      </c>
      <c r="Q35">
        <v>2.8920888547618357E-8</v>
      </c>
      <c r="R35">
        <v>5.0069087837082482E-10</v>
      </c>
      <c r="S35">
        <v>1.1726735695921054E-3</v>
      </c>
      <c r="T35">
        <v>1.0477045117255061E-4</v>
      </c>
    </row>
    <row r="36" spans="1:20" x14ac:dyDescent="0.3">
      <c r="A36">
        <v>108</v>
      </c>
      <c r="B36">
        <f t="shared" si="0"/>
        <v>112</v>
      </c>
      <c r="C36">
        <v>6.3582700000000001</v>
      </c>
      <c r="D36">
        <v>3030.7096396552784</v>
      </c>
      <c r="E36">
        <v>476656329.41905248</v>
      </c>
      <c r="F36">
        <v>7872.4541128782912</v>
      </c>
      <c r="G36">
        <v>8.8223265264161035E-2</v>
      </c>
      <c r="H36">
        <v>7.2973846574824613E-4</v>
      </c>
      <c r="I36">
        <v>9.717071439587541E-6</v>
      </c>
      <c r="J36">
        <v>8.4412654994090511E-8</v>
      </c>
      <c r="K36">
        <v>1.1210048007011172E-5</v>
      </c>
      <c r="L36">
        <v>5.2591857413617595E-7</v>
      </c>
      <c r="M36">
        <v>6.8443910331961394E-3</v>
      </c>
      <c r="N36">
        <v>1.0737793350942782E-4</v>
      </c>
      <c r="O36">
        <v>0.68600759212161055</v>
      </c>
      <c r="P36">
        <v>1.0121229599350967E-2</v>
      </c>
      <c r="Q36">
        <v>2.9823960659353108E-8</v>
      </c>
      <c r="R36">
        <v>5.6486028093378357E-10</v>
      </c>
      <c r="S36">
        <v>1.1912457773848048E-3</v>
      </c>
      <c r="T36">
        <v>9.3652796021770476E-5</v>
      </c>
    </row>
    <row r="37" spans="1:20" x14ac:dyDescent="0.3">
      <c r="A37">
        <v>112</v>
      </c>
      <c r="B37">
        <f t="shared" si="0"/>
        <v>116</v>
      </c>
      <c r="C37">
        <v>6.3582700000000001</v>
      </c>
      <c r="D37">
        <v>3006.3455382909469</v>
      </c>
      <c r="E37">
        <v>472824453.5527662</v>
      </c>
      <c r="F37">
        <v>5867.2828265049493</v>
      </c>
      <c r="G37">
        <v>0.10352767067762075</v>
      </c>
      <c r="H37">
        <v>7.9909107191800804E-4</v>
      </c>
      <c r="I37">
        <v>9.643828438177261E-6</v>
      </c>
      <c r="J37">
        <v>8.154340573244018E-8</v>
      </c>
      <c r="K37">
        <v>1.5357492645939331E-5</v>
      </c>
      <c r="L37">
        <v>4.5964603263367289E-7</v>
      </c>
      <c r="M37">
        <v>1.0157348000319782E-2</v>
      </c>
      <c r="N37">
        <v>1.2438512938142601E-4</v>
      </c>
      <c r="O37">
        <v>0.89584285745475345</v>
      </c>
      <c r="P37">
        <v>7.842092975264281E-3</v>
      </c>
      <c r="Q37">
        <v>2.8422955819548288E-8</v>
      </c>
      <c r="R37">
        <v>4.1686846812744966E-10</v>
      </c>
      <c r="S37">
        <v>1.3232715132956811E-3</v>
      </c>
      <c r="T37">
        <v>1.0553672569430243E-4</v>
      </c>
    </row>
    <row r="38" spans="1:20" x14ac:dyDescent="0.3">
      <c r="A38">
        <v>116</v>
      </c>
      <c r="B38">
        <f t="shared" si="0"/>
        <v>120</v>
      </c>
      <c r="C38">
        <v>6.3582700000000001</v>
      </c>
      <c r="D38">
        <v>2967.0923422691926</v>
      </c>
      <c r="E38">
        <v>466650888.09836525</v>
      </c>
      <c r="F38">
        <v>5846.5841282773208</v>
      </c>
      <c r="G38">
        <v>0.10171609768147177</v>
      </c>
      <c r="H38">
        <v>7.9556430971707698E-4</v>
      </c>
      <c r="I38">
        <v>9.7202553115831408E-6</v>
      </c>
      <c r="J38">
        <v>8.1679855583126152E-8</v>
      </c>
      <c r="K38">
        <v>1.5164275647966449E-5</v>
      </c>
      <c r="L38">
        <v>4.6657270030188294E-7</v>
      </c>
      <c r="M38">
        <v>8.6092729098226437E-3</v>
      </c>
      <c r="N38">
        <v>1.2087640953510701E-4</v>
      </c>
      <c r="O38">
        <v>1.0468704895350815</v>
      </c>
      <c r="P38">
        <v>9.0044927038264166E-3</v>
      </c>
      <c r="Q38">
        <v>2.8763001853745499E-8</v>
      </c>
      <c r="R38">
        <v>4.8362028246154189E-10</v>
      </c>
      <c r="S38">
        <v>3.9031304260262286E-4</v>
      </c>
      <c r="T38">
        <v>1.0200489836863737E-4</v>
      </c>
    </row>
    <row r="39" spans="1:20" x14ac:dyDescent="0.3">
      <c r="A39">
        <v>120</v>
      </c>
      <c r="B39">
        <f t="shared" si="0"/>
        <v>124</v>
      </c>
      <c r="C39">
        <v>6.3582700000000001</v>
      </c>
      <c r="D39">
        <v>2936.5849982784157</v>
      </c>
      <c r="E39">
        <v>461852830.76661032</v>
      </c>
      <c r="F39">
        <v>6714.2326999058978</v>
      </c>
      <c r="G39">
        <v>9.2157896125036581E-2</v>
      </c>
      <c r="H39">
        <v>7.5558821436245982E-4</v>
      </c>
      <c r="I39">
        <v>9.3817554181256078E-6</v>
      </c>
      <c r="J39">
        <v>8.6256180002361732E-8</v>
      </c>
      <c r="K39">
        <v>1.2497489002589664E-5</v>
      </c>
      <c r="L39">
        <v>5.1804367817675142E-7</v>
      </c>
      <c r="M39">
        <v>7.7452425716178185E-3</v>
      </c>
      <c r="N39">
        <v>1.1636550281932416E-4</v>
      </c>
      <c r="O39">
        <v>1.3245747714771472</v>
      </c>
      <c r="P39">
        <v>9.6128678606851592E-3</v>
      </c>
      <c r="Q39">
        <v>2.9685089543961273E-8</v>
      </c>
      <c r="R39">
        <v>5.3770084367160776E-10</v>
      </c>
      <c r="S39">
        <v>8.551186527293018E-4</v>
      </c>
      <c r="T39">
        <v>1.0683152256751622E-4</v>
      </c>
    </row>
    <row r="40" spans="1:20" x14ac:dyDescent="0.3">
      <c r="A40">
        <v>124</v>
      </c>
      <c r="B40">
        <f t="shared" si="0"/>
        <v>128</v>
      </c>
      <c r="C40">
        <v>6.3582700000000001</v>
      </c>
      <c r="D40">
        <v>2900.9993054940492</v>
      </c>
      <c r="E40">
        <v>456256073.66375583</v>
      </c>
      <c r="F40">
        <v>7697.0563097356062</v>
      </c>
      <c r="G40">
        <v>0.10257941049818352</v>
      </c>
      <c r="H40">
        <v>8.0838375075158175E-4</v>
      </c>
      <c r="I40">
        <v>9.6065743468369011E-6</v>
      </c>
      <c r="J40">
        <v>8.1264798732223523E-8</v>
      </c>
      <c r="K40">
        <v>1.426066799491663E-5</v>
      </c>
      <c r="L40">
        <v>4.8186784348717515E-7</v>
      </c>
      <c r="M40">
        <v>7.8148529398701771E-3</v>
      </c>
      <c r="N40">
        <v>1.2300859717013406E-4</v>
      </c>
      <c r="O40">
        <v>1.1179375243293692</v>
      </c>
      <c r="P40">
        <v>1.0079428784506184E-2</v>
      </c>
      <c r="Q40">
        <v>2.8559675497528411E-8</v>
      </c>
      <c r="R40">
        <v>5.3468468743715961E-10</v>
      </c>
      <c r="S40">
        <v>7.9173993292501541E-4</v>
      </c>
      <c r="T40">
        <v>1.0484816133726082E-4</v>
      </c>
    </row>
    <row r="41" spans="1:20" x14ac:dyDescent="0.3">
      <c r="A41">
        <v>128</v>
      </c>
      <c r="B41">
        <f t="shared" si="0"/>
        <v>132</v>
      </c>
      <c r="C41">
        <v>6.3582700000000001</v>
      </c>
      <c r="D41">
        <v>2873.6950776345625</v>
      </c>
      <c r="E41">
        <v>451961787.97606307</v>
      </c>
      <c r="F41">
        <v>9287.1293199126012</v>
      </c>
      <c r="G41">
        <v>9.9658746285656075E-2</v>
      </c>
      <c r="H41">
        <v>7.3747847617321866E-4</v>
      </c>
      <c r="I41">
        <v>9.4441905919513514E-6</v>
      </c>
      <c r="J41">
        <v>7.9284187657141449E-8</v>
      </c>
      <c r="K41">
        <v>1.3980187672225455E-5</v>
      </c>
      <c r="L41">
        <v>4.5326778180805956E-7</v>
      </c>
      <c r="M41">
        <v>6.7752098186582331E-3</v>
      </c>
      <c r="N41">
        <v>1.1597842327153423E-4</v>
      </c>
      <c r="O41">
        <v>2.3195429803718834</v>
      </c>
      <c r="P41">
        <v>1.0974613805216471E-2</v>
      </c>
      <c r="Q41">
        <v>2.9225532778818002E-8</v>
      </c>
      <c r="R41">
        <v>6.0506087350897577E-10</v>
      </c>
      <c r="S41">
        <v>1.1717744429070073E-3</v>
      </c>
      <c r="T41">
        <v>1.0442380875071817E-4</v>
      </c>
    </row>
    <row r="42" spans="1:20" x14ac:dyDescent="0.3">
      <c r="A42">
        <v>132</v>
      </c>
      <c r="B42">
        <f t="shared" si="0"/>
        <v>136</v>
      </c>
      <c r="C42">
        <v>6.3582700000000001</v>
      </c>
      <c r="D42">
        <v>2856.1336230046613</v>
      </c>
      <c r="E42">
        <v>449199801.67634618</v>
      </c>
      <c r="F42">
        <v>7147.9902666315984</v>
      </c>
      <c r="G42">
        <v>0.100758811703201</v>
      </c>
      <c r="H42">
        <v>7.6653710712214912E-4</v>
      </c>
      <c r="I42">
        <v>9.3735573032197806E-6</v>
      </c>
      <c r="J42">
        <v>8.1364981882683398E-8</v>
      </c>
      <c r="K42">
        <v>1.5155692977850373E-5</v>
      </c>
      <c r="L42">
        <v>4.6088878068095569E-7</v>
      </c>
      <c r="M42">
        <v>7.4035089315406446E-3</v>
      </c>
      <c r="N42">
        <v>1.187080820626127E-4</v>
      </c>
      <c r="O42">
        <v>2.2181653948180275</v>
      </c>
      <c r="P42">
        <v>1.0305744386892357E-2</v>
      </c>
      <c r="Q42">
        <v>2.9368834763012778E-8</v>
      </c>
      <c r="R42">
        <v>5.6766209049360068E-10</v>
      </c>
      <c r="S42">
        <v>5.2821162873464941E-4</v>
      </c>
      <c r="T42">
        <v>1.0874701255857286E-4</v>
      </c>
    </row>
    <row r="43" spans="1:20" x14ac:dyDescent="0.3">
      <c r="A43">
        <v>138</v>
      </c>
      <c r="B43">
        <f t="shared" si="0"/>
        <v>142</v>
      </c>
      <c r="C43">
        <v>6.3582700000000001</v>
      </c>
      <c r="D43">
        <v>2846.7984353696334</v>
      </c>
      <c r="E43">
        <v>447731605.51056081</v>
      </c>
      <c r="F43">
        <v>6976.8080035170769</v>
      </c>
      <c r="G43">
        <v>9.6853764406691384E-2</v>
      </c>
      <c r="H43">
        <v>7.7397623268601196E-4</v>
      </c>
      <c r="I43">
        <v>9.0654643923348798E-6</v>
      </c>
      <c r="J43">
        <v>8.642657237956983E-8</v>
      </c>
      <c r="K43">
        <v>1.2814990830590909E-5</v>
      </c>
      <c r="L43">
        <v>5.0985255522855483E-7</v>
      </c>
      <c r="M43">
        <v>8.0265013341749743E-3</v>
      </c>
      <c r="N43">
        <v>1.2130184718046671E-4</v>
      </c>
      <c r="O43">
        <v>2.339009573776798</v>
      </c>
      <c r="P43">
        <v>9.69488093059101E-3</v>
      </c>
      <c r="Q43">
        <v>3.0285010158184812E-8</v>
      </c>
      <c r="R43">
        <v>5.5535815328721561E-10</v>
      </c>
      <c r="S43">
        <v>4.148525618752693E-4</v>
      </c>
      <c r="T43">
        <v>1.2080581745089725E-4</v>
      </c>
    </row>
    <row r="44" spans="1:20" x14ac:dyDescent="0.3">
      <c r="A44">
        <v>142</v>
      </c>
      <c r="B44">
        <f t="shared" si="0"/>
        <v>146</v>
      </c>
      <c r="C44">
        <v>6.3582700000000001</v>
      </c>
      <c r="D44">
        <v>2850.4188695903395</v>
      </c>
      <c r="E44">
        <v>448301011.05966556</v>
      </c>
      <c r="F44">
        <v>13228.387347796745</v>
      </c>
      <c r="G44">
        <v>9.7940756765367731E-2</v>
      </c>
      <c r="H44">
        <v>7.6356848083701523E-4</v>
      </c>
      <c r="I44">
        <v>8.9874251951945717E-6</v>
      </c>
      <c r="J44">
        <v>8.4272875019869857E-8</v>
      </c>
      <c r="K44">
        <v>1.2324685282431076E-5</v>
      </c>
      <c r="L44">
        <v>5.03294217955479E-7</v>
      </c>
      <c r="M44">
        <v>5.7776210121667547E-3</v>
      </c>
      <c r="N44">
        <v>1.2712802506682384E-4</v>
      </c>
      <c r="O44">
        <v>2.2086548175247764</v>
      </c>
      <c r="P44">
        <v>1.4056143141092603E-2</v>
      </c>
      <c r="Q44">
        <v>2.8438877641918759E-8</v>
      </c>
      <c r="R44">
        <v>7.5070320556451935E-10</v>
      </c>
      <c r="S44">
        <v>9.246292047590224E-4</v>
      </c>
      <c r="T44">
        <v>1.2132245705171927E-4</v>
      </c>
    </row>
    <row r="45" spans="1:20" x14ac:dyDescent="0.3">
      <c r="A45">
        <v>146</v>
      </c>
      <c r="B45">
        <f t="shared" si="0"/>
        <v>150</v>
      </c>
      <c r="C45">
        <v>6.3582700000000001</v>
      </c>
      <c r="D45">
        <v>2858.1662071288251</v>
      </c>
      <c r="E45">
        <v>449519477.33091319</v>
      </c>
      <c r="F45">
        <v>12471.329979141243</v>
      </c>
      <c r="G45">
        <v>9.1331282098990108E-2</v>
      </c>
      <c r="H45">
        <v>7.5294970551934709E-4</v>
      </c>
      <c r="I45">
        <v>9.0658442988673228E-6</v>
      </c>
      <c r="J45">
        <v>8.6866609886886976E-8</v>
      </c>
      <c r="K45">
        <v>1.3069690928873579E-5</v>
      </c>
      <c r="L45">
        <v>5.2808426746618647E-7</v>
      </c>
      <c r="M45">
        <v>5.0899849490651248E-3</v>
      </c>
      <c r="N45">
        <v>1.1666808334383867E-4</v>
      </c>
      <c r="O45">
        <v>1.2174298453059063</v>
      </c>
      <c r="P45">
        <v>1.4602597116316396E-2</v>
      </c>
      <c r="Q45">
        <v>2.9762905924184675E-8</v>
      </c>
      <c r="R45">
        <v>8.1552620909381686E-10</v>
      </c>
      <c r="S45">
        <v>6.1304324140405979E-4</v>
      </c>
      <c r="T45">
        <v>1.1300510980938718E-4</v>
      </c>
    </row>
    <row r="46" spans="1:20" x14ac:dyDescent="0.3">
      <c r="A46">
        <v>150</v>
      </c>
      <c r="B46">
        <f t="shared" si="0"/>
        <v>154</v>
      </c>
      <c r="C46">
        <v>6.3582700000000001</v>
      </c>
      <c r="D46">
        <v>2828.8420632909288</v>
      </c>
      <c r="E46">
        <v>444907508.37742478</v>
      </c>
      <c r="F46">
        <v>32660.20495346078</v>
      </c>
      <c r="G46">
        <v>9.8899523851016302E-2</v>
      </c>
      <c r="H46">
        <v>7.6070699581012868E-4</v>
      </c>
      <c r="I46">
        <v>9.1988424600696543E-6</v>
      </c>
      <c r="J46">
        <v>8.4154724401858324E-8</v>
      </c>
      <c r="K46">
        <v>1.4652599358406227E-5</v>
      </c>
      <c r="L46">
        <v>4.7231778578792121E-7</v>
      </c>
      <c r="M46">
        <v>8.2086786137642882E-3</v>
      </c>
      <c r="N46">
        <v>1.3178992392212305E-4</v>
      </c>
      <c r="O46">
        <v>-2.9854465370551475</v>
      </c>
      <c r="P46">
        <v>1.6075214195483412E-2</v>
      </c>
      <c r="Q46">
        <v>1.6119236974374166E-8</v>
      </c>
      <c r="S46">
        <v>1.2545832520258068E-3</v>
      </c>
      <c r="T46">
        <v>1.1591957014052813E-4</v>
      </c>
    </row>
    <row r="47" spans="1:20" x14ac:dyDescent="0.3">
      <c r="A47">
        <v>154</v>
      </c>
      <c r="B47">
        <f t="shared" si="0"/>
        <v>158</v>
      </c>
      <c r="C47">
        <v>6.3582700000000001</v>
      </c>
      <c r="D47">
        <v>2837.5552231422271</v>
      </c>
      <c r="E47">
        <v>446277874.82164598</v>
      </c>
      <c r="F47">
        <v>141177.14374808909</v>
      </c>
      <c r="G47">
        <v>9.1515310838529304E-2</v>
      </c>
      <c r="H47">
        <v>7.7801640008782341E-4</v>
      </c>
      <c r="I47">
        <v>9.373417583007967E-6</v>
      </c>
      <c r="J47">
        <v>9.0526318179828683E-8</v>
      </c>
      <c r="K47">
        <v>1.2304087846544816E-5</v>
      </c>
      <c r="L47">
        <v>5.3714176856019393E-7</v>
      </c>
      <c r="M47">
        <v>7.5329756294830342E-3</v>
      </c>
      <c r="N47">
        <v>2.4779824398549677E-4</v>
      </c>
      <c r="O47">
        <v>-2.6127101575732223</v>
      </c>
      <c r="P47">
        <v>3.3916698810087409E-2</v>
      </c>
      <c r="Q47">
        <v>9.2694939614076772E-9</v>
      </c>
      <c r="S47">
        <v>7.5430237899780806E-4</v>
      </c>
      <c r="T47">
        <v>1.1231422284535498E-4</v>
      </c>
    </row>
    <row r="48" spans="1:20" x14ac:dyDescent="0.3">
      <c r="A48">
        <v>158</v>
      </c>
      <c r="B48">
        <f t="shared" si="0"/>
        <v>162</v>
      </c>
      <c r="C48">
        <v>6.3582700000000001</v>
      </c>
      <c r="D48">
        <v>3007.3079600410711</v>
      </c>
      <c r="E48">
        <v>472975818.90059268</v>
      </c>
      <c r="F48">
        <v>13416.77266167296</v>
      </c>
      <c r="G48">
        <v>9.4260829271277866E-2</v>
      </c>
      <c r="H48">
        <v>6.9182791942198202E-4</v>
      </c>
      <c r="I48">
        <v>9.2748778799605098E-6</v>
      </c>
      <c r="J48">
        <v>7.9197782723729324E-8</v>
      </c>
      <c r="K48">
        <v>1.4620851383911024E-5</v>
      </c>
      <c r="L48">
        <v>4.4986747546488344E-7</v>
      </c>
      <c r="M48">
        <v>8.6228989745062538E-3</v>
      </c>
      <c r="N48">
        <v>1.0079732794367711E-4</v>
      </c>
      <c r="O48">
        <v>1.4277205628510359</v>
      </c>
      <c r="P48">
        <v>1.1631373583197657E-2</v>
      </c>
      <c r="Q48">
        <v>1.9182483142194979E-8</v>
      </c>
      <c r="S48">
        <v>1.1414324388605507E-3</v>
      </c>
      <c r="T48">
        <v>1.0176780869944476E-4</v>
      </c>
    </row>
    <row r="49" spans="1:20" x14ac:dyDescent="0.3">
      <c r="A49">
        <v>160</v>
      </c>
      <c r="B49">
        <f t="shared" si="0"/>
        <v>164</v>
      </c>
      <c r="C49">
        <v>6.3582700000000001</v>
      </c>
      <c r="D49">
        <v>3035.9740260443632</v>
      </c>
      <c r="E49">
        <v>477484288.34327</v>
      </c>
      <c r="F49">
        <v>7641.5338153557059</v>
      </c>
      <c r="G49">
        <v>9.2009363999034935E-2</v>
      </c>
      <c r="H49">
        <v>9.1264956100503558E-4</v>
      </c>
      <c r="I49">
        <v>9.2095804967756241E-6</v>
      </c>
      <c r="J49">
        <v>9.4094591622940265E-8</v>
      </c>
      <c r="K49">
        <v>1.3397066265580998E-5</v>
      </c>
      <c r="L49">
        <v>6.4872125833676088E-7</v>
      </c>
      <c r="M49">
        <v>1.0870907904895106E-2</v>
      </c>
      <c r="N49">
        <v>1.5785124526027008E-4</v>
      </c>
      <c r="O49">
        <v>-2.2608686302580212</v>
      </c>
      <c r="P49">
        <v>8.8598435964153399E-3</v>
      </c>
      <c r="Q49">
        <v>2.3280469540648496E-8</v>
      </c>
      <c r="R49">
        <v>3.5962057582982823E-10</v>
      </c>
      <c r="S49">
        <v>4.481354166843139E-4</v>
      </c>
      <c r="T49">
        <v>1.1467461443558532E-4</v>
      </c>
    </row>
    <row r="50" spans="1:20" x14ac:dyDescent="0.3">
      <c r="A50">
        <v>164</v>
      </c>
      <c r="B50">
        <f t="shared" si="0"/>
        <v>168</v>
      </c>
      <c r="C50">
        <v>6.3582700000000001</v>
      </c>
      <c r="D50">
        <v>3051.2878783844144</v>
      </c>
      <c r="E50">
        <v>479892781.90206057</v>
      </c>
      <c r="F50">
        <v>8531.0786704373422</v>
      </c>
      <c r="G50">
        <v>8.9764972324017617E-2</v>
      </c>
      <c r="H50">
        <v>6.5635130586754603E-4</v>
      </c>
      <c r="I50">
        <v>9.2059265280550647E-6</v>
      </c>
      <c r="J50">
        <v>7.8334527060887426E-8</v>
      </c>
      <c r="K50">
        <v>1.2935687795638815E-5</v>
      </c>
      <c r="L50">
        <v>4.6205568953764302E-7</v>
      </c>
      <c r="M50">
        <v>6.4374690989237645E-3</v>
      </c>
      <c r="N50">
        <v>1.0721198014571531E-4</v>
      </c>
      <c r="O50">
        <v>0.98436124085824683</v>
      </c>
      <c r="P50">
        <v>1.0725780140838082E-2</v>
      </c>
      <c r="Q50">
        <v>2.8225720051602366E-8</v>
      </c>
      <c r="R50">
        <v>5.6498674749768303E-10</v>
      </c>
      <c r="S50">
        <v>8.1438549446591563E-4</v>
      </c>
      <c r="T50">
        <v>9.8169107221198718E-5</v>
      </c>
    </row>
    <row r="51" spans="1:20" x14ac:dyDescent="0.3">
      <c r="A51">
        <v>168</v>
      </c>
      <c r="B51">
        <f t="shared" si="0"/>
        <v>172</v>
      </c>
      <c r="C51">
        <v>6.3582700000000001</v>
      </c>
      <c r="D51">
        <v>3041.5305259595289</v>
      </c>
      <c r="E51">
        <v>478358189.56406832</v>
      </c>
      <c r="F51">
        <v>21550.377688556167</v>
      </c>
      <c r="G51">
        <v>8.6122532471445051E-2</v>
      </c>
      <c r="H51">
        <v>6.5219020706337727E-4</v>
      </c>
      <c r="I51">
        <v>8.962140270422466E-6</v>
      </c>
      <c r="J51">
        <v>8.1321035665793028E-8</v>
      </c>
      <c r="K51">
        <v>1.0894310943039252E-5</v>
      </c>
      <c r="L51">
        <v>5.0025818804662795E-7</v>
      </c>
      <c r="M51">
        <v>6.360499079865866E-3</v>
      </c>
      <c r="N51">
        <v>9.6371216166658835E-5</v>
      </c>
      <c r="O51">
        <v>0.95851978680235927</v>
      </c>
      <c r="P51">
        <v>1.49900983180698E-2</v>
      </c>
      <c r="Q51">
        <v>1.9565202835602636E-8</v>
      </c>
      <c r="S51">
        <v>4.7456749583511088E-4</v>
      </c>
      <c r="T51">
        <v>1.0434163096909618E-4</v>
      </c>
    </row>
    <row r="52" spans="1:20" x14ac:dyDescent="0.3">
      <c r="A52">
        <v>172</v>
      </c>
      <c r="B52">
        <f t="shared" si="0"/>
        <v>176</v>
      </c>
      <c r="C52">
        <v>6.3582700000000001</v>
      </c>
      <c r="D52">
        <v>2836.1689504516967</v>
      </c>
      <c r="E52">
        <v>446059848.11146694</v>
      </c>
      <c r="F52">
        <v>109006.69318453237</v>
      </c>
      <c r="G52">
        <v>8.9053127349814368E-2</v>
      </c>
      <c r="H52">
        <v>1.0160694990850039E-3</v>
      </c>
      <c r="I52">
        <v>9.3338511243255341E-6</v>
      </c>
      <c r="J52">
        <v>1.0767948528566002E-7</v>
      </c>
      <c r="K52">
        <v>1.5045626889249357E-5</v>
      </c>
      <c r="L52">
        <v>7.2440287241307726E-7</v>
      </c>
      <c r="M52">
        <v>4.41815418556964E-3</v>
      </c>
      <c r="N52">
        <v>1.965665745836051E-4</v>
      </c>
      <c r="O52">
        <v>-0.270431328227976</v>
      </c>
      <c r="P52">
        <v>4.4767230920370715E-2</v>
      </c>
      <c r="Q52">
        <v>1.3189251342114121E-8</v>
      </c>
      <c r="S52">
        <v>1.0528784511614759E-3</v>
      </c>
      <c r="T52">
        <v>1.218523720601753E-4</v>
      </c>
    </row>
    <row r="53" spans="1:20" x14ac:dyDescent="0.3">
      <c r="A53">
        <v>176</v>
      </c>
      <c r="B53">
        <f t="shared" si="0"/>
        <v>180</v>
      </c>
      <c r="C53">
        <v>6.3582700000000001</v>
      </c>
      <c r="D53">
        <v>2837.9122589746498</v>
      </c>
      <c r="E53">
        <v>446334027.80546439</v>
      </c>
      <c r="F53">
        <v>16268.366591076778</v>
      </c>
      <c r="G53">
        <v>8.7289103439165114E-2</v>
      </c>
      <c r="H53">
        <v>6.9834360971507414E-4</v>
      </c>
      <c r="I53">
        <v>9.0046136255052635E-6</v>
      </c>
      <c r="J53">
        <v>8.6419053326178102E-8</v>
      </c>
      <c r="K53">
        <v>1.2228123092484495E-5</v>
      </c>
      <c r="L53">
        <v>5.1683105075386573E-7</v>
      </c>
      <c r="M53">
        <v>5.0574028182784423E-3</v>
      </c>
      <c r="N53">
        <v>1.2383356200648026E-4</v>
      </c>
      <c r="O53">
        <v>2.590466604098848</v>
      </c>
      <c r="P53">
        <v>1.5670839043551377E-2</v>
      </c>
      <c r="Q53">
        <v>2.6174391346518924E-8</v>
      </c>
      <c r="R53">
        <v>7.5882423621164673E-10</v>
      </c>
      <c r="S53">
        <v>7.8884935762140417E-4</v>
      </c>
      <c r="T53">
        <v>1.1060038686943338E-4</v>
      </c>
    </row>
    <row r="54" spans="1:20" x14ac:dyDescent="0.3">
      <c r="A54">
        <v>180</v>
      </c>
      <c r="B54">
        <f t="shared" si="0"/>
        <v>184</v>
      </c>
      <c r="C54">
        <v>6.3582700000000001</v>
      </c>
      <c r="D54">
        <v>2824.4643775454083</v>
      </c>
      <c r="E54">
        <v>444219005.72725099</v>
      </c>
      <c r="F54">
        <v>14989.576316598585</v>
      </c>
      <c r="G54">
        <v>8.6726689419046515E-2</v>
      </c>
      <c r="H54">
        <v>7.2016321372792014E-4</v>
      </c>
      <c r="I54">
        <v>8.997679604591763E-6</v>
      </c>
      <c r="J54">
        <v>8.7219492431485961E-8</v>
      </c>
      <c r="K54">
        <v>9.5556566029429109E-6</v>
      </c>
      <c r="L54">
        <v>5.6074603849184399E-7</v>
      </c>
      <c r="M54">
        <v>5.2111965339401746E-3</v>
      </c>
      <c r="N54">
        <v>1.1656694107976687E-4</v>
      </c>
      <c r="O54">
        <v>2.0260756182078694</v>
      </c>
      <c r="P54">
        <v>1.4278342995004523E-2</v>
      </c>
      <c r="Q54">
        <v>2.8886737416471861E-8</v>
      </c>
      <c r="R54">
        <v>7.7296451322132897E-10</v>
      </c>
      <c r="S54">
        <v>4.4730571768239621E-4</v>
      </c>
      <c r="T54">
        <v>1.1211353848505286E-4</v>
      </c>
    </row>
    <row r="55" spans="1:20" x14ac:dyDescent="0.3">
      <c r="A55">
        <v>184</v>
      </c>
      <c r="B55">
        <f t="shared" si="0"/>
        <v>188</v>
      </c>
      <c r="C55">
        <v>6.3582700000000001</v>
      </c>
      <c r="D55">
        <v>2790.2751991894197</v>
      </c>
      <c r="E55">
        <v>438841886.10886604</v>
      </c>
      <c r="F55">
        <v>12029.884481651321</v>
      </c>
      <c r="G55">
        <v>8.0391121195491105E-2</v>
      </c>
      <c r="H55">
        <v>8.1791618967675533E-4</v>
      </c>
      <c r="I55">
        <v>8.8308198246104136E-6</v>
      </c>
      <c r="J55">
        <v>9.4481970543606405E-8</v>
      </c>
      <c r="K55">
        <v>8.0098189471338407E-6</v>
      </c>
      <c r="L55">
        <v>7.3512977075775457E-7</v>
      </c>
      <c r="M55">
        <v>6.058102782000873E-3</v>
      </c>
      <c r="N55">
        <v>1.2720779846377064E-4</v>
      </c>
      <c r="O55">
        <v>-0.2407211438163773</v>
      </c>
      <c r="P55">
        <v>1.2894820156237566E-2</v>
      </c>
      <c r="Q55">
        <v>2.6706845676065715E-8</v>
      </c>
      <c r="R55">
        <v>6.1526077698789786E-10</v>
      </c>
      <c r="S55">
        <v>3.5826055311990833E-4</v>
      </c>
      <c r="T55">
        <v>1.1220113187501917E-4</v>
      </c>
    </row>
    <row r="56" spans="1:20" x14ac:dyDescent="0.3">
      <c r="A56" t="s">
        <v>37</v>
      </c>
      <c r="C56" t="s">
        <v>102</v>
      </c>
      <c r="D56" t="s">
        <v>102</v>
      </c>
      <c r="E56" t="s">
        <v>102</v>
      </c>
      <c r="F56" t="s">
        <v>102</v>
      </c>
      <c r="G56" t="s">
        <v>102</v>
      </c>
      <c r="H56" t="s">
        <v>102</v>
      </c>
      <c r="I56" t="s">
        <v>102</v>
      </c>
      <c r="J56" t="s">
        <v>102</v>
      </c>
      <c r="K56" t="s">
        <v>102</v>
      </c>
      <c r="L56" t="s">
        <v>102</v>
      </c>
      <c r="M56" t="s">
        <v>102</v>
      </c>
      <c r="N56" t="s">
        <v>102</v>
      </c>
      <c r="O56" t="s">
        <v>102</v>
      </c>
      <c r="P56" t="s">
        <v>102</v>
      </c>
      <c r="Q56" t="s">
        <v>102</v>
      </c>
      <c r="R56" t="s">
        <v>102</v>
      </c>
      <c r="S56" t="s">
        <v>102</v>
      </c>
    </row>
    <row r="57" spans="1:20" x14ac:dyDescent="0.3">
      <c r="A57" t="s">
        <v>4</v>
      </c>
      <c r="B57" s="17" t="s">
        <v>103</v>
      </c>
      <c r="C57" t="s">
        <v>7</v>
      </c>
      <c r="D57" t="s">
        <v>50</v>
      </c>
      <c r="E57" t="s">
        <v>8</v>
      </c>
      <c r="F57" t="s">
        <v>9</v>
      </c>
      <c r="G57" t="s">
        <v>10</v>
      </c>
      <c r="H57" t="s">
        <v>11</v>
      </c>
      <c r="I57" t="s">
        <v>12</v>
      </c>
      <c r="J57" t="s">
        <v>13</v>
      </c>
      <c r="K57" t="s">
        <v>14</v>
      </c>
      <c r="L57" t="s">
        <v>15</v>
      </c>
      <c r="M57" t="s">
        <v>16</v>
      </c>
      <c r="N57" t="s">
        <v>17</v>
      </c>
      <c r="O57" t="s">
        <v>18</v>
      </c>
      <c r="P57" t="s">
        <v>19</v>
      </c>
      <c r="Q57" t="s">
        <v>20</v>
      </c>
      <c r="R57" t="s">
        <v>21</v>
      </c>
      <c r="S57" t="s">
        <v>22</v>
      </c>
      <c r="T57" t="s">
        <v>23</v>
      </c>
    </row>
    <row r="58" spans="1:20" x14ac:dyDescent="0.3">
      <c r="A58">
        <v>0</v>
      </c>
      <c r="B58">
        <f>A58+108-52</f>
        <v>56</v>
      </c>
      <c r="C58">
        <v>6.3189200000000003</v>
      </c>
      <c r="D58">
        <v>2912.4696912703689</v>
      </c>
      <c r="E58">
        <v>460912575.4512431</v>
      </c>
      <c r="F58">
        <v>9467.2187573308092</v>
      </c>
      <c r="G58">
        <v>3.6644417020585622E-2</v>
      </c>
      <c r="H58">
        <v>1.429372201488463E-4</v>
      </c>
      <c r="I58">
        <v>9.421092356022449E-6</v>
      </c>
      <c r="J58">
        <v>1.4888083275296432E-7</v>
      </c>
      <c r="K58">
        <v>3.143130957539207E-11</v>
      </c>
      <c r="M58">
        <v>2.8854809518896519E-3</v>
      </c>
      <c r="N58">
        <v>1.8006926903455216E-4</v>
      </c>
      <c r="O58">
        <v>-0.90607268086734027</v>
      </c>
      <c r="P58">
        <v>3.7796959235435024E-2</v>
      </c>
      <c r="Q58">
        <v>3.4223607874866516E-8</v>
      </c>
      <c r="R58">
        <v>2.3622154825824904E-9</v>
      </c>
      <c r="S58">
        <v>2.619965430313913E-4</v>
      </c>
      <c r="T58">
        <v>9.9875066460279285E-5</v>
      </c>
    </row>
    <row r="59" spans="1:20" x14ac:dyDescent="0.3">
      <c r="A59">
        <v>4</v>
      </c>
      <c r="B59">
        <f t="shared" ref="B59:B88" si="1">A59+108-52</f>
        <v>60</v>
      </c>
      <c r="C59">
        <v>6.3189200000000003</v>
      </c>
      <c r="D59">
        <v>2859.2366759746915</v>
      </c>
      <c r="E59">
        <v>452488190.3829596</v>
      </c>
      <c r="F59">
        <v>22184.713032280535</v>
      </c>
      <c r="G59">
        <v>2.6535245795023751E-2</v>
      </c>
      <c r="H59">
        <v>1.1632119990338807E-4</v>
      </c>
      <c r="I59">
        <v>9.5465283084703419E-6</v>
      </c>
      <c r="J59">
        <v>1.6464040588703748E-7</v>
      </c>
      <c r="K59">
        <v>3.4374915513413296E-9</v>
      </c>
      <c r="M59">
        <v>1.5239917595183147E-3</v>
      </c>
      <c r="N59">
        <v>1.3129114460797323E-4</v>
      </c>
      <c r="O59">
        <v>-1.5288305988806119</v>
      </c>
      <c r="P59">
        <v>5.1525743669154078E-2</v>
      </c>
      <c r="Q59">
        <v>3.843625447780385E-8</v>
      </c>
      <c r="R59">
        <v>3.7324962300121865E-9</v>
      </c>
      <c r="S59">
        <v>3.926663002315671E-4</v>
      </c>
      <c r="T59">
        <v>7.7810545454652124E-5</v>
      </c>
    </row>
    <row r="60" spans="1:20" x14ac:dyDescent="0.3">
      <c r="A60">
        <v>8</v>
      </c>
      <c r="B60">
        <f t="shared" si="1"/>
        <v>64</v>
      </c>
      <c r="C60">
        <v>6.3189200000000003</v>
      </c>
      <c r="D60">
        <v>3295.4347238599671</v>
      </c>
      <c r="E60">
        <v>521518665.19278091</v>
      </c>
      <c r="F60">
        <v>18387.575282108326</v>
      </c>
      <c r="G60">
        <v>5.1326300354393367E-2</v>
      </c>
      <c r="H60">
        <v>1.6229996652940629E-4</v>
      </c>
      <c r="I60">
        <v>9.049155117903571E-6</v>
      </c>
      <c r="J60">
        <v>1.1838623926527394E-7</v>
      </c>
      <c r="K60">
        <v>3.8945971621823812E-14</v>
      </c>
      <c r="M60">
        <v>4.5762699355123742E-3</v>
      </c>
      <c r="N60">
        <v>2.8531577847629597E-4</v>
      </c>
      <c r="O60">
        <v>-2.7204362062237708</v>
      </c>
      <c r="P60">
        <v>3.5660061938842524E-2</v>
      </c>
      <c r="Q60">
        <v>2.608505919135502E-8</v>
      </c>
      <c r="R60">
        <v>1.5560043975191486E-9</v>
      </c>
      <c r="S60">
        <v>1.547465665071076E-5</v>
      </c>
      <c r="T60">
        <v>1.1686649341255927E-4</v>
      </c>
    </row>
    <row r="61" spans="1:20" x14ac:dyDescent="0.3">
      <c r="A61">
        <v>12</v>
      </c>
      <c r="B61">
        <f t="shared" si="1"/>
        <v>68</v>
      </c>
      <c r="C61">
        <v>6.3189200000000003</v>
      </c>
      <c r="D61">
        <v>3284.6744733653231</v>
      </c>
      <c r="E61">
        <v>519815802.91653049</v>
      </c>
      <c r="F61">
        <v>4630.6719320710063</v>
      </c>
      <c r="G61">
        <v>5.273216139115762E-2</v>
      </c>
      <c r="H61">
        <v>1.4229740016218767E-4</v>
      </c>
      <c r="I61">
        <v>9.0839039778457979E-6</v>
      </c>
      <c r="J61">
        <v>1.0178620082775823E-7</v>
      </c>
      <c r="K61">
        <v>1.8499825027560825E-9</v>
      </c>
      <c r="M61">
        <v>5.3125712657345111E-3</v>
      </c>
      <c r="N61">
        <v>1.8698361196718347E-4</v>
      </c>
      <c r="O61">
        <v>-1.6485685808165786</v>
      </c>
      <c r="P61">
        <v>2.0537627339823672E-2</v>
      </c>
      <c r="Q61">
        <v>3.4337033756808691E-8</v>
      </c>
      <c r="R61">
        <v>1.2785015779921527E-9</v>
      </c>
      <c r="S61">
        <v>1.2690445301914585E-4</v>
      </c>
      <c r="T61">
        <v>1.0302383544934026E-4</v>
      </c>
    </row>
    <row r="62" spans="1:20" x14ac:dyDescent="0.3">
      <c r="A62">
        <v>16</v>
      </c>
      <c r="B62">
        <f t="shared" si="1"/>
        <v>72</v>
      </c>
      <c r="C62">
        <v>6.3189200000000003</v>
      </c>
      <c r="D62">
        <v>3278.5911183924486</v>
      </c>
      <c r="E62">
        <v>518853082.23437685</v>
      </c>
      <c r="F62">
        <v>6009.5592127051841</v>
      </c>
      <c r="G62">
        <v>5.280032645613509E-2</v>
      </c>
      <c r="H62">
        <v>1.4308702309193122E-4</v>
      </c>
      <c r="I62">
        <v>8.7816813367830652E-6</v>
      </c>
      <c r="J62">
        <v>1.0563120043570188E-7</v>
      </c>
      <c r="K62">
        <v>1.889368822954801E-9</v>
      </c>
      <c r="M62">
        <v>6.0853550287495051E-3</v>
      </c>
      <c r="N62">
        <v>2.3408490106430679E-4</v>
      </c>
      <c r="O62">
        <v>-0.85708226841319923</v>
      </c>
      <c r="P62">
        <v>2.2226388026903132E-2</v>
      </c>
      <c r="Q62">
        <v>2.872784710079235E-8</v>
      </c>
      <c r="R62">
        <v>1.1118706024544024E-9</v>
      </c>
      <c r="S62">
        <v>3.9593075027066115E-4</v>
      </c>
      <c r="T62">
        <v>1.1415915142316416E-4</v>
      </c>
    </row>
    <row r="63" spans="1:20" x14ac:dyDescent="0.3">
      <c r="A63">
        <v>20</v>
      </c>
      <c r="B63">
        <f t="shared" si="1"/>
        <v>76</v>
      </c>
      <c r="C63">
        <v>6.3189200000000003</v>
      </c>
      <c r="D63">
        <v>3269.0360358181269</v>
      </c>
      <c r="E63">
        <v>517340943.67678761</v>
      </c>
      <c r="F63">
        <v>7527.717919564303</v>
      </c>
      <c r="G63">
        <v>5.1622891531056543E-2</v>
      </c>
      <c r="H63">
        <v>1.3882745589054862E-4</v>
      </c>
      <c r="I63">
        <v>8.9685951723930689E-6</v>
      </c>
      <c r="J63">
        <v>1.0238966437396235E-7</v>
      </c>
      <c r="K63">
        <v>4.0992653151843984E-10</v>
      </c>
      <c r="M63">
        <v>6.745362254359454E-3</v>
      </c>
      <c r="N63">
        <v>2.7582283550407457E-4</v>
      </c>
      <c r="O63">
        <v>-1.5130149612473163</v>
      </c>
      <c r="P63">
        <v>2.3066653760170364E-2</v>
      </c>
      <c r="Q63">
        <v>2.3722065432721339E-8</v>
      </c>
      <c r="R63">
        <v>9.0231446421053003E-10</v>
      </c>
      <c r="S63">
        <v>1.8239513392851397E-4</v>
      </c>
      <c r="T63">
        <v>1.0380919864365446E-4</v>
      </c>
    </row>
    <row r="64" spans="1:20" x14ac:dyDescent="0.3">
      <c r="A64">
        <v>24</v>
      </c>
      <c r="B64">
        <f t="shared" si="1"/>
        <v>80</v>
      </c>
      <c r="C64">
        <v>6.3189200000000003</v>
      </c>
      <c r="D64">
        <v>3265.3370507740319</v>
      </c>
      <c r="E64">
        <v>516755561.19938725</v>
      </c>
      <c r="F64">
        <v>10693.821385188152</v>
      </c>
      <c r="G64">
        <v>5.1340807494209155E-2</v>
      </c>
      <c r="H64">
        <v>1.388454286594086E-4</v>
      </c>
      <c r="I64">
        <v>9.0944052157819542E-6</v>
      </c>
      <c r="J64">
        <v>1.0230948378318238E-7</v>
      </c>
      <c r="K64">
        <v>2.5098615688156345E-11</v>
      </c>
      <c r="M64">
        <v>6.0651214215467122E-3</v>
      </c>
      <c r="N64">
        <v>2.9150938080756486E-4</v>
      </c>
      <c r="O64">
        <v>-0.90270603009207695</v>
      </c>
      <c r="P64">
        <v>2.7012925218666606E-2</v>
      </c>
      <c r="Q64">
        <v>2.230376799898645E-8</v>
      </c>
      <c r="R64">
        <v>9.7842342956985718E-10</v>
      </c>
      <c r="S64">
        <v>2.9052461454201543E-5</v>
      </c>
      <c r="T64">
        <v>1.0079915970545368E-4</v>
      </c>
    </row>
    <row r="65" spans="1:20" x14ac:dyDescent="0.3">
      <c r="A65">
        <v>28</v>
      </c>
      <c r="B65">
        <f t="shared" si="1"/>
        <v>84</v>
      </c>
      <c r="C65">
        <v>6.3189200000000003</v>
      </c>
      <c r="D65">
        <v>3264.4340392456538</v>
      </c>
      <c r="E65">
        <v>516612655.20779723</v>
      </c>
      <c r="F65">
        <v>9383.2883049649317</v>
      </c>
      <c r="G65">
        <v>5.3074406240526846E-2</v>
      </c>
      <c r="H65">
        <v>1.4677364731553386E-4</v>
      </c>
      <c r="I65">
        <v>9.5968217154389488E-6</v>
      </c>
      <c r="J65">
        <v>1.0036926313041927E-7</v>
      </c>
      <c r="K65">
        <v>6.7438237541493166E-9</v>
      </c>
      <c r="M65">
        <v>6.0539332970396889E-3</v>
      </c>
      <c r="N65">
        <v>2.7490312693812706E-4</v>
      </c>
      <c r="O65">
        <v>-0.8903966951155351</v>
      </c>
      <c r="P65">
        <v>2.5614564878630508E-2</v>
      </c>
      <c r="Q65">
        <v>2.3341318280280167E-8</v>
      </c>
      <c r="R65">
        <v>9.8573770139483542E-10</v>
      </c>
      <c r="S65">
        <v>1.7966457915834916E-4</v>
      </c>
      <c r="T65">
        <v>9.2574506474819588E-5</v>
      </c>
    </row>
    <row r="66" spans="1:20" x14ac:dyDescent="0.3">
      <c r="A66">
        <v>32</v>
      </c>
      <c r="B66">
        <f t="shared" si="1"/>
        <v>88</v>
      </c>
      <c r="C66">
        <v>6.3189200000000003</v>
      </c>
      <c r="D66">
        <v>3269.9682605335779</v>
      </c>
      <c r="E66">
        <v>517488472.7981329</v>
      </c>
      <c r="F66">
        <v>8917.6777292587776</v>
      </c>
      <c r="G66">
        <v>5.1695765268157425E-2</v>
      </c>
      <c r="H66">
        <v>1.4326385593555618E-4</v>
      </c>
      <c r="I66">
        <v>9.3679501623492691E-6</v>
      </c>
      <c r="J66">
        <v>1.0252082315210945E-7</v>
      </c>
      <c r="K66">
        <v>2.4839038464610641E-9</v>
      </c>
      <c r="M66">
        <v>5.6038701440453064E-3</v>
      </c>
      <c r="N66">
        <v>2.4780816850182488E-4</v>
      </c>
      <c r="O66">
        <v>-0.68185732016144318</v>
      </c>
      <c r="P66">
        <v>2.5343156079392359E-2</v>
      </c>
      <c r="Q66">
        <v>2.5509713115066289E-8</v>
      </c>
      <c r="R66">
        <v>1.0891048053479652E-9</v>
      </c>
      <c r="S66">
        <v>-4.4399970255987824E-5</v>
      </c>
      <c r="T66">
        <v>9.6350779040566415E-5</v>
      </c>
    </row>
    <row r="67" spans="1:20" x14ac:dyDescent="0.3">
      <c r="A67">
        <v>36</v>
      </c>
      <c r="B67">
        <f t="shared" si="1"/>
        <v>92</v>
      </c>
      <c r="C67">
        <v>6.3189200000000003</v>
      </c>
      <c r="D67">
        <v>3290.3163812974376</v>
      </c>
      <c r="E67">
        <v>520708662.44507563</v>
      </c>
      <c r="F67">
        <v>9624.2062682660999</v>
      </c>
      <c r="G67">
        <v>4.9855412572449978E-2</v>
      </c>
      <c r="H67">
        <v>1.5109409144203542E-4</v>
      </c>
      <c r="I67">
        <v>9.405983007105349E-6</v>
      </c>
      <c r="J67">
        <v>1.112171684312951E-7</v>
      </c>
      <c r="K67">
        <v>1.2938577727942108E-12</v>
      </c>
      <c r="M67">
        <v>5.5895720000984387E-3</v>
      </c>
      <c r="N67">
        <v>2.4882598319896825E-4</v>
      </c>
      <c r="O67">
        <v>-1.3110620673410123</v>
      </c>
      <c r="P67">
        <v>2.570518822730683E-2</v>
      </c>
      <c r="Q67">
        <v>2.6479913061006851E-8</v>
      </c>
      <c r="R67">
        <v>1.1494469391205056E-9</v>
      </c>
      <c r="S67">
        <v>3.8356677121696649E-4</v>
      </c>
      <c r="T67">
        <v>9.981499835556993E-5</v>
      </c>
    </row>
    <row r="68" spans="1:20" x14ac:dyDescent="0.3">
      <c r="A68">
        <v>40</v>
      </c>
      <c r="B68">
        <f t="shared" si="1"/>
        <v>96</v>
      </c>
      <c r="C68">
        <v>6.3189200000000003</v>
      </c>
      <c r="D68">
        <v>3328.323430699339</v>
      </c>
      <c r="E68">
        <v>526723463.93044055</v>
      </c>
      <c r="F68">
        <v>17383.107220048099</v>
      </c>
      <c r="G68">
        <v>5.0075353871292833E-2</v>
      </c>
      <c r="H68">
        <v>1.5479600739261301E-4</v>
      </c>
      <c r="I68">
        <v>9.4898687475059724E-6</v>
      </c>
      <c r="J68">
        <v>1.1202791091043481E-7</v>
      </c>
      <c r="K68">
        <v>2.3935067587322963E-14</v>
      </c>
      <c r="M68">
        <v>3.7631010402772794E-3</v>
      </c>
      <c r="N68">
        <v>2.2521712392044617E-4</v>
      </c>
      <c r="O68">
        <v>-2.541695745155109</v>
      </c>
      <c r="P68">
        <v>3.4681086253659732E-2</v>
      </c>
      <c r="Q68">
        <v>2.9467260780282544E-8</v>
      </c>
      <c r="R68">
        <v>1.7731420372088051E-9</v>
      </c>
      <c r="S68">
        <v>2.7479085012704029E-4</v>
      </c>
      <c r="T68">
        <v>9.9065409390421805E-5</v>
      </c>
    </row>
    <row r="69" spans="1:20" x14ac:dyDescent="0.3">
      <c r="A69">
        <v>44</v>
      </c>
      <c r="B69">
        <f t="shared" si="1"/>
        <v>100</v>
      </c>
      <c r="C69">
        <v>6.3189200000000003</v>
      </c>
      <c r="D69">
        <v>3005.7060346632784</v>
      </c>
      <c r="E69">
        <v>475667682.87354141</v>
      </c>
      <c r="F69">
        <v>15810.382937103685</v>
      </c>
      <c r="G69">
        <v>4.9936426357026449E-2</v>
      </c>
      <c r="H69">
        <v>1.4975436923968244E-4</v>
      </c>
      <c r="I69">
        <v>9.3923573817497575E-6</v>
      </c>
      <c r="J69">
        <v>1.1519052695357182E-7</v>
      </c>
      <c r="K69">
        <v>2.2751651623705406E-14</v>
      </c>
      <c r="M69">
        <v>3.5184934453387942E-3</v>
      </c>
      <c r="N69">
        <v>2.0664530957414636E-4</v>
      </c>
      <c r="O69">
        <v>-2.1174385760286434</v>
      </c>
      <c r="P69">
        <v>3.4914938419104757E-2</v>
      </c>
      <c r="Q69">
        <v>3.1512482865353224E-8</v>
      </c>
      <c r="R69">
        <v>2.0020939200673608E-9</v>
      </c>
      <c r="S69">
        <v>3.4909392042907314E-5</v>
      </c>
      <c r="T69">
        <v>1.0611599219826937E-4</v>
      </c>
    </row>
    <row r="70" spans="1:20" x14ac:dyDescent="0.3">
      <c r="A70">
        <v>48</v>
      </c>
      <c r="B70">
        <f t="shared" si="1"/>
        <v>104</v>
      </c>
      <c r="C70">
        <v>6.3189200000000003</v>
      </c>
      <c r="D70">
        <v>3047.5561228132183</v>
      </c>
      <c r="E70">
        <v>482290664.0396173</v>
      </c>
      <c r="F70">
        <v>5025.8667145808286</v>
      </c>
      <c r="G70">
        <v>5.1226933070028798E-2</v>
      </c>
      <c r="H70">
        <v>1.4022686731004347E-4</v>
      </c>
      <c r="I70">
        <v>9.3687276173745151E-6</v>
      </c>
      <c r="J70">
        <v>1.0474956397195542E-7</v>
      </c>
      <c r="K70">
        <v>1.0490262121956698E-10</v>
      </c>
      <c r="M70">
        <v>5.472949896639775E-3</v>
      </c>
      <c r="N70">
        <v>1.796257256682721E-4</v>
      </c>
      <c r="O70">
        <v>3.0433149757942659</v>
      </c>
      <c r="P70">
        <v>1.956084825783333E-2</v>
      </c>
      <c r="Q70">
        <v>3.4199247666952925E-8</v>
      </c>
      <c r="R70">
        <v>1.2343505919746198E-9</v>
      </c>
      <c r="S70">
        <v>1.534583759799374E-4</v>
      </c>
      <c r="T70">
        <v>9.9171212722037986E-5</v>
      </c>
    </row>
    <row r="71" spans="1:20" x14ac:dyDescent="0.3">
      <c r="A71">
        <v>52</v>
      </c>
      <c r="B71">
        <f t="shared" si="1"/>
        <v>108</v>
      </c>
      <c r="C71">
        <v>6.3189200000000003</v>
      </c>
      <c r="D71">
        <v>3050.8835858358802</v>
      </c>
      <c r="E71">
        <v>482817251.33976692</v>
      </c>
      <c r="F71">
        <v>3455.3113450741525</v>
      </c>
      <c r="G71">
        <v>4.9910613343464458E-2</v>
      </c>
      <c r="H71">
        <v>1.419671062512784E-4</v>
      </c>
      <c r="I71">
        <v>9.5504749029465035E-6</v>
      </c>
      <c r="J71">
        <v>1.0742109296887089E-7</v>
      </c>
      <c r="K71">
        <v>4.0444818155635603E-13</v>
      </c>
      <c r="M71">
        <v>5.8848995733936727E-3</v>
      </c>
      <c r="N71">
        <v>1.6235732459039852E-4</v>
      </c>
      <c r="O71">
        <v>-3.0061869402552639</v>
      </c>
      <c r="P71">
        <v>1.6646348003721334E-2</v>
      </c>
      <c r="Q71">
        <v>3.7724051948506965E-8</v>
      </c>
      <c r="R71">
        <v>1.1760325491333162E-9</v>
      </c>
      <c r="S71">
        <v>-1.1357890751195658E-4</v>
      </c>
      <c r="T71">
        <v>9.5693358672933469E-5</v>
      </c>
    </row>
    <row r="72" spans="1:20" x14ac:dyDescent="0.3">
      <c r="A72">
        <v>56</v>
      </c>
      <c r="B72">
        <f t="shared" si="1"/>
        <v>112</v>
      </c>
      <c r="C72">
        <v>6.3189200000000003</v>
      </c>
      <c r="D72">
        <v>3028.909915553967</v>
      </c>
      <c r="E72">
        <v>479339810.52995872</v>
      </c>
      <c r="F72">
        <v>2765.9091611786926</v>
      </c>
      <c r="G72">
        <v>5.0508430538377093E-2</v>
      </c>
      <c r="H72">
        <v>3.1576838308056028E-3</v>
      </c>
      <c r="I72">
        <v>9.5356664777461465E-6</v>
      </c>
      <c r="J72">
        <v>4.7036055329818199E-7</v>
      </c>
      <c r="K72">
        <v>5.7547139285754836E-7</v>
      </c>
      <c r="L72">
        <v>4.9521714290581084E-6</v>
      </c>
      <c r="M72">
        <v>5.4012175056059872E-6</v>
      </c>
      <c r="N72">
        <v>4.1766510059060499E-3</v>
      </c>
      <c r="O72">
        <v>3.5744006827530934</v>
      </c>
      <c r="P72">
        <v>752.94117164118006</v>
      </c>
      <c r="Q72">
        <v>5.0810980336400962E-9</v>
      </c>
      <c r="S72">
        <v>8.7881776325143907E-5</v>
      </c>
      <c r="T72">
        <v>2.9193744706562067E-4</v>
      </c>
    </row>
    <row r="73" spans="1:20" x14ac:dyDescent="0.3">
      <c r="A73">
        <v>60</v>
      </c>
      <c r="B73">
        <f t="shared" si="1"/>
        <v>116</v>
      </c>
      <c r="C73">
        <v>6.3189200000000003</v>
      </c>
      <c r="D73">
        <v>2995.5710172537802</v>
      </c>
      <c r="E73">
        <v>474063766.79144222</v>
      </c>
      <c r="F73">
        <v>3171.951670793982</v>
      </c>
      <c r="G73">
        <v>4.6969322613913081E-2</v>
      </c>
      <c r="H73">
        <v>1.4024746438909275E-4</v>
      </c>
      <c r="I73">
        <v>9.7781490212062283E-6</v>
      </c>
      <c r="J73">
        <v>1.0968744499386586E-7</v>
      </c>
      <c r="K73">
        <v>2.3065549905383268E-9</v>
      </c>
      <c r="M73">
        <v>5.6995832627864066E-3</v>
      </c>
      <c r="N73">
        <v>1.4283905943718788E-4</v>
      </c>
      <c r="O73">
        <v>2.8086444636196828</v>
      </c>
      <c r="P73">
        <v>1.5115842072840113E-2</v>
      </c>
      <c r="Q73">
        <v>4.1697861399465091E-8</v>
      </c>
      <c r="R73">
        <v>1.1999499306047328E-9</v>
      </c>
      <c r="S73">
        <v>4.7170875566855745E-4</v>
      </c>
      <c r="T73">
        <v>8.7567163468126686E-5</v>
      </c>
    </row>
    <row r="74" spans="1:20" x14ac:dyDescent="0.3">
      <c r="A74">
        <v>64</v>
      </c>
      <c r="B74">
        <f t="shared" si="1"/>
        <v>120</v>
      </c>
      <c r="C74">
        <v>6.3189200000000003</v>
      </c>
      <c r="D74">
        <v>2962.8315632957288</v>
      </c>
      <c r="E74">
        <v>468882588.05234575</v>
      </c>
      <c r="F74">
        <v>2786.9383576462069</v>
      </c>
      <c r="G74">
        <v>4.4311776765196244E-2</v>
      </c>
      <c r="H74">
        <v>2.2620370819698143E-4</v>
      </c>
      <c r="I74">
        <v>9.6991822570808431E-6</v>
      </c>
      <c r="J74">
        <v>1.895978334247158E-7</v>
      </c>
      <c r="K74">
        <v>2.9919703957644387E-9</v>
      </c>
      <c r="M74">
        <v>1.1417191141630512E-3</v>
      </c>
      <c r="N74">
        <v>1.5915905836714984E-4</v>
      </c>
      <c r="O74">
        <v>-1.5950805690652452</v>
      </c>
      <c r="P74">
        <v>8.4978507307924889E-2</v>
      </c>
      <c r="Q74">
        <v>6.9866638136082113E-8</v>
      </c>
      <c r="R74">
        <v>1.2971469885550078E-8</v>
      </c>
      <c r="S74">
        <v>2.9345864852530255E-4</v>
      </c>
      <c r="T74">
        <v>1.453384303360345E-4</v>
      </c>
    </row>
    <row r="75" spans="1:20" x14ac:dyDescent="0.3">
      <c r="A75">
        <v>68</v>
      </c>
      <c r="B75">
        <f t="shared" si="1"/>
        <v>124</v>
      </c>
      <c r="C75">
        <v>6.3189200000000003</v>
      </c>
      <c r="D75">
        <v>2928.8707195337925</v>
      </c>
      <c r="E75">
        <v>463508118.40216243</v>
      </c>
      <c r="F75">
        <v>3507.1283285559307</v>
      </c>
      <c r="G75">
        <v>4.3151924589747086E-2</v>
      </c>
      <c r="H75">
        <v>1.3442716151232381E-4</v>
      </c>
      <c r="I75">
        <v>9.6667874051517335E-6</v>
      </c>
      <c r="J75">
        <v>1.1537286556181231E-7</v>
      </c>
      <c r="K75">
        <v>1.1928625016134732E-12</v>
      </c>
      <c r="M75">
        <v>4.912766505164437E-3</v>
      </c>
      <c r="N75">
        <v>1.3842846563231733E-4</v>
      </c>
      <c r="O75">
        <v>-2.834101936169207</v>
      </c>
      <c r="P75">
        <v>1.6927562365908422E-2</v>
      </c>
      <c r="Q75">
        <v>4.1899735783173469E-8</v>
      </c>
      <c r="R75">
        <v>1.3552767020404909E-9</v>
      </c>
      <c r="S75">
        <v>2.4993404071528422E-4</v>
      </c>
      <c r="T75">
        <v>8.6435088495447971E-5</v>
      </c>
    </row>
    <row r="76" spans="1:20" x14ac:dyDescent="0.3">
      <c r="A76">
        <v>72</v>
      </c>
      <c r="B76">
        <f t="shared" si="1"/>
        <v>128</v>
      </c>
      <c r="C76">
        <v>6.3189200000000003</v>
      </c>
      <c r="D76">
        <v>2896.1677365379587</v>
      </c>
      <c r="E76">
        <v>458332711.37124044</v>
      </c>
      <c r="F76">
        <v>3784.3992801434024</v>
      </c>
      <c r="G76">
        <v>4.2877294487302854E-2</v>
      </c>
      <c r="H76">
        <v>2.048639643335317E-3</v>
      </c>
      <c r="I76">
        <v>9.6230807111822504E-6</v>
      </c>
      <c r="J76">
        <v>3.5466343510857924E-7</v>
      </c>
      <c r="K76">
        <v>3.484196672973522E-8</v>
      </c>
      <c r="L76">
        <v>3.8053530531775151E-6</v>
      </c>
      <c r="M76">
        <v>2.5738735260802084E-3</v>
      </c>
      <c r="N76">
        <v>1.4278190886972192E-4</v>
      </c>
      <c r="O76">
        <v>-1.4584340278487988</v>
      </c>
      <c r="P76">
        <v>3.3826687916180709E-2</v>
      </c>
      <c r="Q76">
        <v>5.5303942131379077E-8</v>
      </c>
      <c r="R76">
        <v>3.8016581014448084E-9</v>
      </c>
      <c r="S76">
        <v>3.4932098775420098E-5</v>
      </c>
      <c r="T76">
        <v>1.8332561179274515E-4</v>
      </c>
    </row>
    <row r="77" spans="1:20" x14ac:dyDescent="0.3">
      <c r="A77">
        <v>76</v>
      </c>
      <c r="B77">
        <f t="shared" si="1"/>
        <v>132</v>
      </c>
      <c r="C77">
        <v>6.3189200000000003</v>
      </c>
      <c r="D77">
        <v>2872.2129396235136</v>
      </c>
      <c r="E77">
        <v>454541747.58083874</v>
      </c>
      <c r="F77">
        <v>4359.6300553783167</v>
      </c>
      <c r="G77">
        <v>5.1378962255267578E-2</v>
      </c>
      <c r="H77">
        <v>1.4510880460465864E-4</v>
      </c>
      <c r="I77">
        <v>9.614424984911115E-6</v>
      </c>
      <c r="J77">
        <v>1.0502533369820856E-7</v>
      </c>
      <c r="K77">
        <v>2.2365801273777638E-14</v>
      </c>
      <c r="M77">
        <v>5.509995565805355E-3</v>
      </c>
      <c r="N77">
        <v>1.5962533344798281E-4</v>
      </c>
      <c r="O77">
        <v>-2.3827148632386499</v>
      </c>
      <c r="P77">
        <v>1.7386191276819396E-2</v>
      </c>
      <c r="Q77">
        <v>3.88571497612298E-8</v>
      </c>
      <c r="R77">
        <v>1.2647061474952374E-9</v>
      </c>
      <c r="S77">
        <v>2.2042246358602133E-4</v>
      </c>
      <c r="T77">
        <v>9.4636466931066477E-5</v>
      </c>
    </row>
    <row r="78" spans="1:20" x14ac:dyDescent="0.3">
      <c r="A78">
        <v>80</v>
      </c>
      <c r="B78">
        <f t="shared" si="1"/>
        <v>136</v>
      </c>
      <c r="C78">
        <v>6.3189200000000003</v>
      </c>
      <c r="D78">
        <v>2850.6944865545538</v>
      </c>
      <c r="E78">
        <v>451136347.12174767</v>
      </c>
      <c r="F78">
        <v>4949.574387264066</v>
      </c>
      <c r="G78">
        <v>5.1344487469082975E-2</v>
      </c>
      <c r="H78">
        <v>1.8296924297989819E-4</v>
      </c>
      <c r="I78">
        <v>9.7721279536288111E-6</v>
      </c>
      <c r="J78">
        <v>1.3137262026171149E-7</v>
      </c>
      <c r="K78">
        <v>2.2897617325241985E-10</v>
      </c>
      <c r="M78">
        <v>3.2757366788732029E-3</v>
      </c>
      <c r="N78">
        <v>1.5908003500155659E-4</v>
      </c>
      <c r="O78">
        <v>-1.6310552644246834</v>
      </c>
      <c r="P78">
        <v>2.9652944831590755E-2</v>
      </c>
      <c r="Q78">
        <v>5.020412338221385E-8</v>
      </c>
      <c r="R78">
        <v>2.9346353745298143E-9</v>
      </c>
      <c r="S78">
        <v>6.4363801293799137E-4</v>
      </c>
      <c r="T78">
        <v>1.1496720209654599E-4</v>
      </c>
    </row>
    <row r="79" spans="1:20" x14ac:dyDescent="0.3">
      <c r="A79">
        <v>84</v>
      </c>
      <c r="B79">
        <f t="shared" si="1"/>
        <v>140</v>
      </c>
      <c r="C79">
        <v>6.3189200000000003</v>
      </c>
      <c r="D79">
        <v>2842.4341632584851</v>
      </c>
      <c r="E79">
        <v>449829110.55346251</v>
      </c>
      <c r="F79">
        <v>5690.5482513636143</v>
      </c>
      <c r="G79">
        <v>5.0247377750343776E-2</v>
      </c>
      <c r="H79">
        <v>1.4287699981705218E-4</v>
      </c>
      <c r="I79">
        <v>9.5186258577169303E-6</v>
      </c>
      <c r="J79">
        <v>1.0668827212375235E-7</v>
      </c>
      <c r="K79">
        <v>3.568371515939741E-14</v>
      </c>
      <c r="M79">
        <v>4.1830681539156318E-3</v>
      </c>
      <c r="N79">
        <v>1.513153929011842E-4</v>
      </c>
      <c r="O79">
        <v>-2.3606744881404387</v>
      </c>
      <c r="P79">
        <v>2.1612201492969829E-2</v>
      </c>
      <c r="Q79">
        <v>4.1321595328226648E-8</v>
      </c>
      <c r="R79">
        <v>1.7016996362360541E-9</v>
      </c>
      <c r="S79">
        <v>2.1816193497350059E-4</v>
      </c>
      <c r="T79">
        <v>9.5843187017501227E-5</v>
      </c>
    </row>
    <row r="80" spans="1:20" x14ac:dyDescent="0.3">
      <c r="A80">
        <v>88</v>
      </c>
      <c r="B80">
        <f t="shared" si="1"/>
        <v>144</v>
      </c>
      <c r="C80">
        <v>6.3189200000000003</v>
      </c>
      <c r="D80">
        <v>2835.8737910306909</v>
      </c>
      <c r="E80">
        <v>448790899.55731213</v>
      </c>
      <c r="F80">
        <v>7619.3966384863197</v>
      </c>
      <c r="G80">
        <v>5.2300764771098754E-2</v>
      </c>
      <c r="H80">
        <v>1.9565477168458079E-4</v>
      </c>
      <c r="I80">
        <v>9.5940358164041909E-6</v>
      </c>
      <c r="J80">
        <v>1.4017107944076859E-7</v>
      </c>
      <c r="K80">
        <v>9.2343832238306085E-12</v>
      </c>
      <c r="M80">
        <v>5.3823629217715782E-3</v>
      </c>
      <c r="N80">
        <v>3.8237360923231226E-4</v>
      </c>
      <c r="O80">
        <v>-0.44142926464554194</v>
      </c>
      <c r="P80">
        <v>4.1780053965461889E-2</v>
      </c>
      <c r="Q80">
        <v>2.1874960542603641E-8</v>
      </c>
      <c r="R80">
        <v>1.4857419958970449E-9</v>
      </c>
      <c r="S80">
        <v>4.8988605671780518E-4</v>
      </c>
      <c r="T80">
        <v>1.2946103841850103E-4</v>
      </c>
    </row>
    <row r="81" spans="1:20" x14ac:dyDescent="0.3">
      <c r="A81">
        <v>92</v>
      </c>
      <c r="B81">
        <f t="shared" si="1"/>
        <v>148</v>
      </c>
      <c r="C81">
        <v>6.3189200000000003</v>
      </c>
      <c r="D81">
        <v>2837.6445901408802</v>
      </c>
      <c r="E81">
        <v>449071137.17864448</v>
      </c>
      <c r="F81">
        <v>9011.6230881120973</v>
      </c>
      <c r="G81">
        <v>5.2379865935981103E-2</v>
      </c>
      <c r="H81">
        <v>1.4655499446806011E-4</v>
      </c>
      <c r="I81">
        <v>9.3320566726882095E-6</v>
      </c>
      <c r="J81">
        <v>1.0685258002379582E-7</v>
      </c>
      <c r="K81">
        <v>4.1318417678034602E-14</v>
      </c>
      <c r="M81">
        <v>4.3742743221806043E-3</v>
      </c>
      <c r="N81">
        <v>1.8746405716823329E-4</v>
      </c>
      <c r="O81">
        <v>-1.5345556274442</v>
      </c>
      <c r="P81">
        <v>2.535977771304565E-2</v>
      </c>
      <c r="Q81">
        <v>3.450009158200638E-8</v>
      </c>
      <c r="R81">
        <v>1.6186918647571351E-9</v>
      </c>
      <c r="S81">
        <v>-5.7884660742434084E-5</v>
      </c>
      <c r="T81">
        <v>1.0393073870871859E-4</v>
      </c>
    </row>
    <row r="82" spans="1:20" x14ac:dyDescent="0.3">
      <c r="A82">
        <v>96</v>
      </c>
      <c r="B82">
        <f t="shared" si="1"/>
        <v>152</v>
      </c>
      <c r="C82">
        <v>6.3189200000000003</v>
      </c>
      <c r="D82">
        <v>2844.5202604442097</v>
      </c>
      <c r="E82">
        <v>450159245.63757885</v>
      </c>
      <c r="F82">
        <v>12638.260311392813</v>
      </c>
      <c r="G82">
        <v>5.2246274862428672E-2</v>
      </c>
      <c r="H82">
        <v>1.3810365401812491E-4</v>
      </c>
      <c r="I82">
        <v>9.2937229709856573E-6</v>
      </c>
      <c r="J82">
        <v>1.0175587707079708E-7</v>
      </c>
      <c r="K82">
        <v>2.9205573424421472E-14</v>
      </c>
      <c r="M82">
        <v>3.6698251875955305E-3</v>
      </c>
      <c r="N82">
        <v>1.8020465623513307E-4</v>
      </c>
      <c r="O82">
        <v>-1.2091833047563127</v>
      </c>
      <c r="P82">
        <v>2.913000936695298E-2</v>
      </c>
      <c r="Q82">
        <v>3.3936181833865762E-8</v>
      </c>
      <c r="R82">
        <v>1.8260954460123615E-9</v>
      </c>
      <c r="S82">
        <v>4.7702984217416556E-5</v>
      </c>
      <c r="T82">
        <v>9.9708669130993156E-5</v>
      </c>
    </row>
    <row r="83" spans="1:20" x14ac:dyDescent="0.3">
      <c r="A83">
        <v>100</v>
      </c>
      <c r="B83">
        <f t="shared" si="1"/>
        <v>156</v>
      </c>
      <c r="C83">
        <v>6.3189200000000003</v>
      </c>
      <c r="D83">
        <v>2784.7935173662545</v>
      </c>
      <c r="E83">
        <v>440707196.38264996</v>
      </c>
      <c r="F83">
        <v>94301.784498013192</v>
      </c>
      <c r="G83">
        <v>5.0955338194702215E-2</v>
      </c>
      <c r="H83">
        <v>1.3323992163630574E-4</v>
      </c>
      <c r="I83">
        <v>9.2164978679103704E-6</v>
      </c>
      <c r="J83">
        <v>1.0077843891883072E-7</v>
      </c>
      <c r="K83">
        <v>2.2883805833179747E-14</v>
      </c>
      <c r="M83">
        <v>3.7342391300286912E-3</v>
      </c>
      <c r="N83">
        <v>1.966241407409643E-4</v>
      </c>
      <c r="O83">
        <v>-1.974711432845911E-2</v>
      </c>
      <c r="P83">
        <v>5.2922847368705089E-2</v>
      </c>
      <c r="Q83">
        <v>1.8111508868752989E-8</v>
      </c>
      <c r="S83">
        <v>4.0287081267048277E-4</v>
      </c>
      <c r="T83">
        <v>9.7543062653264857E-5</v>
      </c>
    </row>
    <row r="84" spans="1:20" x14ac:dyDescent="0.3">
      <c r="A84">
        <v>104</v>
      </c>
      <c r="B84">
        <f t="shared" si="1"/>
        <v>160</v>
      </c>
      <c r="C84">
        <v>6.3189200000000003</v>
      </c>
      <c r="D84">
        <v>2951.8436317883875</v>
      </c>
      <c r="E84">
        <v>467143694.14209831</v>
      </c>
      <c r="F84">
        <v>37782.789091611594</v>
      </c>
      <c r="G84">
        <v>4.6733371470446282E-2</v>
      </c>
      <c r="H84">
        <v>1.1963881556405903E-4</v>
      </c>
      <c r="I84">
        <v>8.8675914009507519E-6</v>
      </c>
      <c r="J84">
        <v>1.0214247284518489E-7</v>
      </c>
      <c r="K84">
        <v>2.2463538776995191E-14</v>
      </c>
      <c r="M84">
        <v>5.8741059873917189E-3</v>
      </c>
      <c r="N84">
        <v>2.2575716666995869E-4</v>
      </c>
      <c r="O84">
        <v>-1.7187161292042885</v>
      </c>
      <c r="P84">
        <v>3.8307916817603149E-2</v>
      </c>
      <c r="Q84">
        <v>1.5390543668051046E-8</v>
      </c>
      <c r="S84">
        <v>1.8518680105146721E-4</v>
      </c>
      <c r="T84">
        <v>9.7504191132832753E-5</v>
      </c>
    </row>
    <row r="85" spans="1:20" x14ac:dyDescent="0.3">
      <c r="A85">
        <v>108</v>
      </c>
      <c r="B85">
        <f t="shared" si="1"/>
        <v>164</v>
      </c>
      <c r="C85">
        <v>6.3189200000000003</v>
      </c>
      <c r="D85">
        <v>3011.2584429590347</v>
      </c>
      <c r="E85">
        <v>476546378.64683121</v>
      </c>
      <c r="F85">
        <v>9861.1932087822042</v>
      </c>
      <c r="G85">
        <v>4.5411818175580647E-2</v>
      </c>
      <c r="H85">
        <v>1.1989266787074127E-4</v>
      </c>
      <c r="I85">
        <v>9.3058806464161825E-6</v>
      </c>
      <c r="J85">
        <v>1.0110243876464579E-7</v>
      </c>
      <c r="K85">
        <v>2.2394178644509686E-14</v>
      </c>
      <c r="M85">
        <v>4.5601528088879432E-3</v>
      </c>
      <c r="N85">
        <v>1.9135887159046037E-4</v>
      </c>
      <c r="O85">
        <v>-2.9114739368508848</v>
      </c>
      <c r="P85">
        <v>2.4803205166009867E-2</v>
      </c>
      <c r="Q85">
        <v>2.7346129963422219E-8</v>
      </c>
      <c r="R85">
        <v>1.1815386888197346E-9</v>
      </c>
      <c r="S85">
        <v>3.1473754024422169E-4</v>
      </c>
      <c r="T85">
        <v>8.5720484098878306E-5</v>
      </c>
    </row>
    <row r="86" spans="1:20" x14ac:dyDescent="0.3">
      <c r="A86">
        <v>112</v>
      </c>
      <c r="B86">
        <f t="shared" si="1"/>
        <v>168</v>
      </c>
      <c r="C86">
        <v>6.3189200000000003</v>
      </c>
      <c r="D86">
        <v>3037.4177656325501</v>
      </c>
      <c r="E86">
        <v>480686219.42239338</v>
      </c>
      <c r="F86">
        <v>7030.1468356182004</v>
      </c>
      <c r="G86">
        <v>4.6381341683769797E-2</v>
      </c>
      <c r="H86">
        <v>1.3151091428007314E-4</v>
      </c>
      <c r="I86">
        <v>9.1038375564051353E-6</v>
      </c>
      <c r="J86">
        <v>1.0978465723601972E-7</v>
      </c>
      <c r="K86">
        <v>6.4963430247130474E-12</v>
      </c>
      <c r="M86">
        <v>5.6028802987782636E-3</v>
      </c>
      <c r="N86">
        <v>1.9696810960368599E-4</v>
      </c>
      <c r="O86">
        <v>2.29477068049485</v>
      </c>
      <c r="P86">
        <v>2.074946736639216E-2</v>
      </c>
      <c r="Q86">
        <v>2.9921601280012023E-8</v>
      </c>
      <c r="R86">
        <v>1.1046708082741619E-9</v>
      </c>
      <c r="S86">
        <v>1.5324188669872413E-4</v>
      </c>
      <c r="T86">
        <v>9.8682405650852699E-5</v>
      </c>
    </row>
    <row r="87" spans="1:20" x14ac:dyDescent="0.3">
      <c r="A87">
        <v>116</v>
      </c>
      <c r="B87">
        <f t="shared" si="1"/>
        <v>172</v>
      </c>
      <c r="C87">
        <v>6.3189200000000003</v>
      </c>
      <c r="D87">
        <v>3028.5543962543957</v>
      </c>
      <c r="E87">
        <v>479283547.86172253</v>
      </c>
      <c r="F87">
        <v>10759.070036392426</v>
      </c>
      <c r="G87">
        <v>4.7444308240133071E-2</v>
      </c>
      <c r="H87">
        <v>1.2365481813618115E-4</v>
      </c>
      <c r="I87">
        <v>8.9070577079932366E-6</v>
      </c>
      <c r="J87">
        <v>1.0380856631929385E-7</v>
      </c>
      <c r="K87">
        <v>4.3128092077591208E-14</v>
      </c>
      <c r="M87">
        <v>5.5977255179656118E-3</v>
      </c>
      <c r="N87">
        <v>2.293129801548585E-4</v>
      </c>
      <c r="O87">
        <v>-2.7343650144687133</v>
      </c>
      <c r="P87">
        <v>2.3975798053889941E-2</v>
      </c>
      <c r="Q87">
        <v>2.4836592020017792E-8</v>
      </c>
      <c r="R87">
        <v>1.0197440961754954E-9</v>
      </c>
      <c r="S87">
        <v>4.2464274850156705E-5</v>
      </c>
      <c r="T87">
        <v>9.9872331223941539E-5</v>
      </c>
    </row>
    <row r="88" spans="1:20" x14ac:dyDescent="0.3">
      <c r="A88">
        <v>120</v>
      </c>
      <c r="B88">
        <f t="shared" si="1"/>
        <v>176</v>
      </c>
      <c r="C88">
        <v>6.3189200000000003</v>
      </c>
      <c r="D88">
        <v>2769.9598943602896</v>
      </c>
      <c r="E88">
        <v>438359702.98093498</v>
      </c>
      <c r="F88">
        <v>129425.62150722314</v>
      </c>
      <c r="G88">
        <v>4.7696281856213218E-2</v>
      </c>
      <c r="H88">
        <v>1.2746745586502545E-4</v>
      </c>
      <c r="I88">
        <v>9.0728868578229976E-6</v>
      </c>
      <c r="J88">
        <v>1.0385358917937454E-7</v>
      </c>
      <c r="K88">
        <v>2.2251653936674231E-14</v>
      </c>
      <c r="M88">
        <v>2.7330388940721866E-2</v>
      </c>
      <c r="N88">
        <v>1.5571854608511931E-3</v>
      </c>
      <c r="O88">
        <v>-0.34965801635413218</v>
      </c>
      <c r="P88">
        <v>5.8010608608268455E-2</v>
      </c>
      <c r="Q88">
        <v>5.7209658144004041E-9</v>
      </c>
      <c r="S88">
        <v>1.4086408231382011E-4</v>
      </c>
      <c r="T88">
        <v>9.6633212256835E-5</v>
      </c>
    </row>
    <row r="89" spans="1:20" x14ac:dyDescent="0.3">
      <c r="A89">
        <v>124</v>
      </c>
      <c r="B89">
        <f>0</f>
        <v>0</v>
      </c>
      <c r="C89">
        <v>6.3189200000000003</v>
      </c>
      <c r="D89">
        <v>2828.6063228652179</v>
      </c>
      <c r="E89">
        <v>447640787.17015219</v>
      </c>
      <c r="F89">
        <v>18060.055927054953</v>
      </c>
      <c r="G89">
        <v>4.6635016554979154E-2</v>
      </c>
      <c r="H89">
        <v>1.2865663810708236E-4</v>
      </c>
      <c r="I89">
        <v>9.1522974576060639E-6</v>
      </c>
      <c r="J89">
        <v>1.0843619488001164E-7</v>
      </c>
      <c r="K89">
        <v>2.8085948113692282E-14</v>
      </c>
      <c r="M89">
        <v>2.684636864637512E-3</v>
      </c>
      <c r="N89">
        <v>1.7260807923538354E-4</v>
      </c>
      <c r="O89">
        <v>-0.40732710199053462</v>
      </c>
      <c r="P89">
        <v>3.82294740613493E-2</v>
      </c>
      <c r="Q89">
        <v>3.3531745838271543E-8</v>
      </c>
      <c r="R89">
        <v>2.3677683991230156E-9</v>
      </c>
      <c r="S89">
        <v>4.8860731780576332E-4</v>
      </c>
      <c r="T89">
        <v>9.7972901843633507E-5</v>
      </c>
    </row>
    <row r="90" spans="1:20" x14ac:dyDescent="0.3">
      <c r="A90">
        <v>128</v>
      </c>
      <c r="B90">
        <f>B89+4</f>
        <v>4</v>
      </c>
      <c r="C90">
        <v>6.3189200000000003</v>
      </c>
      <c r="D90">
        <v>2818.7274178491584</v>
      </c>
      <c r="E90">
        <v>446077402.12712908</v>
      </c>
      <c r="F90">
        <v>9294.6950231154187</v>
      </c>
      <c r="G90">
        <v>4.9362247302682113E-2</v>
      </c>
      <c r="H90">
        <v>1.4018659255651822E-4</v>
      </c>
      <c r="I90">
        <v>9.1760428083000345E-6</v>
      </c>
      <c r="J90">
        <v>1.0937272310336556E-7</v>
      </c>
      <c r="K90">
        <v>2.2968089526649036E-14</v>
      </c>
      <c r="M90">
        <v>4.5002064896070976E-3</v>
      </c>
      <c r="N90">
        <v>1.8836020997357178E-4</v>
      </c>
      <c r="O90">
        <v>-1.8377510680869562</v>
      </c>
      <c r="P90">
        <v>2.4757501089291756E-2</v>
      </c>
      <c r="Q90">
        <v>3.318601744782244E-8</v>
      </c>
      <c r="R90">
        <v>1.4935462104281445E-9</v>
      </c>
      <c r="S90">
        <v>3.2238948803691255E-4</v>
      </c>
      <c r="T90">
        <v>1.0315094107466149E-4</v>
      </c>
    </row>
    <row r="91" spans="1:20" x14ac:dyDescent="0.3">
      <c r="A91">
        <v>132</v>
      </c>
      <c r="B91">
        <f t="shared" ref="B91:B103" si="2">B90+4</f>
        <v>8</v>
      </c>
      <c r="C91">
        <v>6.3189200000000003</v>
      </c>
      <c r="D91">
        <v>2792.5783945273865</v>
      </c>
      <c r="E91">
        <v>441939191.27436119</v>
      </c>
      <c r="F91">
        <v>10293.012383977284</v>
      </c>
      <c r="G91">
        <v>4.9759565805863777E-2</v>
      </c>
      <c r="H91">
        <v>1.4376279431546624E-4</v>
      </c>
      <c r="I91">
        <v>9.1465874531034574E-6</v>
      </c>
      <c r="J91">
        <v>1.13260862460093E-7</v>
      </c>
      <c r="K91">
        <v>3.6905773391523596E-14</v>
      </c>
      <c r="M91">
        <v>4.4427128705054175E-3</v>
      </c>
      <c r="N91">
        <v>1.9023226790687141E-4</v>
      </c>
      <c r="O91">
        <v>-0.82253669193659629</v>
      </c>
      <c r="P91">
        <v>2.5471644985619546E-2</v>
      </c>
      <c r="Q91">
        <v>3.3997831450591624E-8</v>
      </c>
      <c r="R91">
        <v>1.5976469579603805E-9</v>
      </c>
      <c r="S91">
        <v>3.4370470522232012E-4</v>
      </c>
      <c r="T91">
        <v>1.0913338679378477E-4</v>
      </c>
    </row>
    <row r="92" spans="1:20" x14ac:dyDescent="0.3">
      <c r="A92">
        <v>136</v>
      </c>
      <c r="B92">
        <f t="shared" si="2"/>
        <v>12</v>
      </c>
      <c r="C92">
        <v>6.3189200000000003</v>
      </c>
      <c r="D92">
        <v>2763.468121114448</v>
      </c>
      <c r="E92">
        <v>437332348.10924143</v>
      </c>
      <c r="F92">
        <v>11174.958552101489</v>
      </c>
      <c r="G92">
        <v>5.0348735268701539E-2</v>
      </c>
      <c r="H92">
        <v>1.3611756942123743E-4</v>
      </c>
      <c r="I92">
        <v>9.0780218522727127E-6</v>
      </c>
      <c r="J92">
        <v>1.0708241645453223E-7</v>
      </c>
      <c r="K92">
        <v>5.71294968022632E-10</v>
      </c>
      <c r="M92">
        <v>5.0195726939313281E-3</v>
      </c>
      <c r="N92">
        <v>2.0228892941302279E-4</v>
      </c>
      <c r="O92">
        <v>-0.45039071097573352</v>
      </c>
      <c r="P92">
        <v>2.4193424407389003E-2</v>
      </c>
      <c r="Q92">
        <v>3.0060597281711771E-8</v>
      </c>
      <c r="R92">
        <v>1.2994716543318832E-9</v>
      </c>
      <c r="S92">
        <v>2.9859213847000291E-4</v>
      </c>
      <c r="T92">
        <v>1.0608638442566136E-4</v>
      </c>
    </row>
    <row r="93" spans="1:20" x14ac:dyDescent="0.3">
      <c r="A93">
        <v>140</v>
      </c>
      <c r="B93">
        <f t="shared" si="2"/>
        <v>16</v>
      </c>
      <c r="C93">
        <v>6.3189200000000003</v>
      </c>
      <c r="D93">
        <v>2742.8082132012469</v>
      </c>
      <c r="E93">
        <v>434062816.62075907</v>
      </c>
      <c r="F93">
        <v>7532.5921365110289</v>
      </c>
      <c r="G93">
        <v>4.8965940251360834E-2</v>
      </c>
      <c r="H93">
        <v>1.968458296801312E-4</v>
      </c>
      <c r="I93">
        <v>9.2609427193101295E-6</v>
      </c>
      <c r="J93">
        <v>1.5175864916681827E-7</v>
      </c>
      <c r="K93">
        <v>3.5077921497917472E-12</v>
      </c>
      <c r="M93">
        <v>3.5617162612337789E-3</v>
      </c>
      <c r="N93">
        <v>3.9648202622454757E-4</v>
      </c>
      <c r="O93">
        <v>-0.71951132102696091</v>
      </c>
      <c r="P93">
        <v>6.4732353276647225E-2</v>
      </c>
      <c r="Q93">
        <v>2.2276959279077449E-8</v>
      </c>
      <c r="R93">
        <v>2.3178015615909313E-9</v>
      </c>
      <c r="S93">
        <v>2.4116787344790694E-5</v>
      </c>
      <c r="T93">
        <v>1.3873920085140083E-4</v>
      </c>
    </row>
    <row r="94" spans="1:20" x14ac:dyDescent="0.3">
      <c r="A94">
        <v>144</v>
      </c>
      <c r="B94">
        <f t="shared" si="2"/>
        <v>20</v>
      </c>
      <c r="C94">
        <v>6.3189200000000003</v>
      </c>
      <c r="D94">
        <v>2732.0947043199667</v>
      </c>
      <c r="E94">
        <v>432367351.43346751</v>
      </c>
      <c r="F94">
        <v>8189.9976729360442</v>
      </c>
      <c r="G94">
        <v>4.9949387845198978E-2</v>
      </c>
      <c r="H94">
        <v>1.6771232304654132E-4</v>
      </c>
      <c r="I94">
        <v>9.3502621859309066E-6</v>
      </c>
      <c r="J94">
        <v>1.2623096824297929E-7</v>
      </c>
      <c r="K94">
        <v>5.2805225563066221E-10</v>
      </c>
      <c r="M94">
        <v>3.3078382115478504E-3</v>
      </c>
      <c r="N94">
        <v>1.7224599688614429E-4</v>
      </c>
      <c r="O94">
        <v>-0.99030425889157547</v>
      </c>
      <c r="P94">
        <v>3.1568331287276041E-2</v>
      </c>
      <c r="Q94">
        <v>4.3054383567740009E-8</v>
      </c>
      <c r="R94">
        <v>2.5736295588438187E-9</v>
      </c>
      <c r="S94">
        <v>2.5031933271837394E-4</v>
      </c>
      <c r="T94">
        <v>1.1584215483074711E-4</v>
      </c>
    </row>
    <row r="95" spans="1:20" x14ac:dyDescent="0.3">
      <c r="A95">
        <v>148</v>
      </c>
      <c r="B95">
        <f t="shared" si="2"/>
        <v>24</v>
      </c>
      <c r="C95">
        <v>6.3189200000000003</v>
      </c>
      <c r="D95">
        <v>2726.8730056772592</v>
      </c>
      <c r="E95">
        <v>431540992.08049148</v>
      </c>
      <c r="F95">
        <v>7993.5113897200426</v>
      </c>
      <c r="G95">
        <v>5.0924839499556368E-2</v>
      </c>
      <c r="H95">
        <v>1.9629199672816997E-4</v>
      </c>
      <c r="I95">
        <v>9.3134376905689865E-6</v>
      </c>
      <c r="J95">
        <v>1.4532682027905966E-7</v>
      </c>
      <c r="K95">
        <v>1.3920742183134651E-11</v>
      </c>
      <c r="M95">
        <v>5.5187622912353145E-3</v>
      </c>
      <c r="N95">
        <v>4.1408388319197961E-4</v>
      </c>
      <c r="O95">
        <v>-0.41648367197851671</v>
      </c>
      <c r="P95">
        <v>4.3430755468782417E-2</v>
      </c>
      <c r="Q95">
        <v>2.1324950398183109E-8</v>
      </c>
      <c r="R95">
        <v>1.4677358450060638E-9</v>
      </c>
      <c r="S95">
        <v>3.4404841164393835E-4</v>
      </c>
      <c r="T95">
        <v>1.3694741673155313E-4</v>
      </c>
    </row>
    <row r="96" spans="1:20" x14ac:dyDescent="0.3">
      <c r="A96">
        <v>152</v>
      </c>
      <c r="B96">
        <f t="shared" si="2"/>
        <v>28</v>
      </c>
      <c r="C96">
        <v>6.3189200000000003</v>
      </c>
      <c r="D96">
        <v>2737.5054033329911</v>
      </c>
      <c r="E96">
        <v>433223621.01957154</v>
      </c>
      <c r="F96">
        <v>8042.7938920768493</v>
      </c>
      <c r="G96">
        <v>4.9725140181209979E-2</v>
      </c>
      <c r="H96">
        <v>2.0845985696067021E-4</v>
      </c>
      <c r="I96">
        <v>9.4624384113011913E-6</v>
      </c>
      <c r="J96">
        <v>1.5553200115793011E-7</v>
      </c>
      <c r="K96">
        <v>1.1362932095223132E-11</v>
      </c>
      <c r="M96">
        <v>5.1219281984685276E-3</v>
      </c>
      <c r="N96">
        <v>3.8890836312757346E-4</v>
      </c>
      <c r="O96">
        <v>-0.47878602736811504</v>
      </c>
      <c r="P96">
        <v>7.7068730374447003E-2</v>
      </c>
      <c r="Q96">
        <v>1.4836646521606706E-8</v>
      </c>
      <c r="S96">
        <v>6.7770299475299078E-4</v>
      </c>
      <c r="T96">
        <v>1.38723534766291E-4</v>
      </c>
    </row>
    <row r="97" spans="1:20" x14ac:dyDescent="0.3">
      <c r="A97">
        <v>156</v>
      </c>
      <c r="B97">
        <f t="shared" si="2"/>
        <v>32</v>
      </c>
      <c r="C97">
        <v>6.3189200000000003</v>
      </c>
      <c r="D97">
        <v>2762.4649778266103</v>
      </c>
      <c r="E97">
        <v>437173595.77690655</v>
      </c>
      <c r="F97">
        <v>6299.1446679039327</v>
      </c>
      <c r="G97">
        <v>4.908150953118591E-2</v>
      </c>
      <c r="H97">
        <v>1.8768347319968529E-4</v>
      </c>
      <c r="I97">
        <v>9.9105994349870008E-6</v>
      </c>
      <c r="J97">
        <v>1.3850146922174111E-7</v>
      </c>
      <c r="K97">
        <v>1.1231686479149919E-9</v>
      </c>
      <c r="M97">
        <v>5.4823971778443226E-3</v>
      </c>
      <c r="N97">
        <v>2.951177842532883E-4</v>
      </c>
      <c r="O97">
        <v>-0.47523192899748251</v>
      </c>
      <c r="P97">
        <v>3.183933598239444E-2</v>
      </c>
      <c r="Q97">
        <v>2.5884020269911769E-8</v>
      </c>
      <c r="R97">
        <v>1.3964986036588381E-9</v>
      </c>
      <c r="S97">
        <v>6.1019532923808244E-4</v>
      </c>
      <c r="T97">
        <v>1.1243170053337249E-4</v>
      </c>
    </row>
    <row r="98" spans="1:20" x14ac:dyDescent="0.3">
      <c r="A98">
        <v>160</v>
      </c>
      <c r="B98">
        <f t="shared" si="2"/>
        <v>36</v>
      </c>
      <c r="C98">
        <v>6.3189200000000003</v>
      </c>
      <c r="D98">
        <v>2797.0717504190484</v>
      </c>
      <c r="E98">
        <v>442650286.82418013</v>
      </c>
      <c r="F98">
        <v>6487.5495780769561</v>
      </c>
      <c r="G98">
        <v>4.8727519197880681E-2</v>
      </c>
      <c r="H98">
        <v>1.5317562189132161E-4</v>
      </c>
      <c r="I98">
        <v>9.9595721601438661E-6</v>
      </c>
      <c r="J98">
        <v>1.1222539244583003E-7</v>
      </c>
      <c r="K98">
        <v>3.1425156292079475E-12</v>
      </c>
      <c r="M98">
        <v>5.495434123975E-3</v>
      </c>
      <c r="N98">
        <v>1.9132886817055904E-4</v>
      </c>
      <c r="O98">
        <v>-2.5062218568576218</v>
      </c>
      <c r="P98">
        <v>2.0509803451640884E-2</v>
      </c>
      <c r="Q98">
        <v>3.2506145625094086E-8</v>
      </c>
      <c r="R98">
        <v>1.198254760747855E-9</v>
      </c>
      <c r="S98">
        <v>3.9340231413142183E-4</v>
      </c>
      <c r="T98">
        <v>8.9129689606199313E-5</v>
      </c>
    </row>
    <row r="99" spans="1:20" x14ac:dyDescent="0.3">
      <c r="A99">
        <v>164</v>
      </c>
      <c r="B99">
        <f t="shared" si="2"/>
        <v>40</v>
      </c>
      <c r="C99">
        <v>6.3189200000000003</v>
      </c>
      <c r="D99">
        <v>2829.4871140266673</v>
      </c>
      <c r="E99">
        <v>447780176.67998129</v>
      </c>
      <c r="F99">
        <v>10502.785514981961</v>
      </c>
      <c r="G99">
        <v>4.8075206308106896E-2</v>
      </c>
      <c r="H99">
        <v>1.3650201951305105E-4</v>
      </c>
      <c r="I99">
        <v>9.6104198134238579E-6</v>
      </c>
      <c r="J99">
        <v>1.0504039782432458E-7</v>
      </c>
      <c r="K99">
        <v>3.9795660255669886E-14</v>
      </c>
      <c r="M99">
        <v>6.3189602471056738E-3</v>
      </c>
      <c r="N99">
        <v>2.2725868534839364E-4</v>
      </c>
      <c r="O99">
        <v>-2.1529612186760079</v>
      </c>
      <c r="P99">
        <v>2.0726585964849775E-2</v>
      </c>
      <c r="Q99">
        <v>2.5688472243312298E-8</v>
      </c>
      <c r="R99">
        <v>9.1538479357405618E-10</v>
      </c>
      <c r="S99">
        <v>2.8420665463325262E-4</v>
      </c>
      <c r="T99">
        <v>8.8393921070194689E-5</v>
      </c>
    </row>
    <row r="100" spans="1:20" x14ac:dyDescent="0.3">
      <c r="A100">
        <v>168</v>
      </c>
      <c r="B100">
        <f t="shared" si="2"/>
        <v>44</v>
      </c>
      <c r="C100">
        <v>6.3189200000000003</v>
      </c>
      <c r="D100">
        <v>2869.6828873985914</v>
      </c>
      <c r="E100">
        <v>454141354.4400928</v>
      </c>
      <c r="F100">
        <v>8389.9112285623632</v>
      </c>
      <c r="G100">
        <v>4.8746882726074824E-2</v>
      </c>
      <c r="H100">
        <v>1.3188125204280365E-4</v>
      </c>
      <c r="I100">
        <v>9.4688538575207532E-6</v>
      </c>
      <c r="J100">
        <v>1.0118734327408241E-7</v>
      </c>
      <c r="K100">
        <v>2.3323595989214376E-14</v>
      </c>
      <c r="M100">
        <v>6.2779323181337571E-3</v>
      </c>
      <c r="N100">
        <v>2.0610377965903657E-4</v>
      </c>
      <c r="O100">
        <v>-2.5478077999042719</v>
      </c>
      <c r="P100">
        <v>1.9107233514118693E-2</v>
      </c>
      <c r="Q100">
        <v>2.7620035486876672E-8</v>
      </c>
      <c r="R100">
        <v>9.2183942572452793E-10</v>
      </c>
      <c r="S100">
        <v>6.3885170470927683E-6</v>
      </c>
      <c r="T100">
        <v>8.8739415201932506E-5</v>
      </c>
    </row>
    <row r="101" spans="1:20" x14ac:dyDescent="0.3">
      <c r="A101">
        <v>172</v>
      </c>
      <c r="B101">
        <f t="shared" si="2"/>
        <v>48</v>
      </c>
      <c r="C101">
        <v>6.3189200000000003</v>
      </c>
      <c r="D101">
        <v>2907.5751288555575</v>
      </c>
      <c r="E101">
        <v>460137987.00657028</v>
      </c>
      <c r="F101">
        <v>7548.0364773727879</v>
      </c>
      <c r="G101">
        <v>4.8192920433537234E-2</v>
      </c>
      <c r="H101">
        <v>1.3571506374009459E-4</v>
      </c>
      <c r="I101">
        <v>9.6305800521674303E-6</v>
      </c>
      <c r="J101">
        <v>1.0456670957162195E-7</v>
      </c>
      <c r="K101">
        <v>1.2649831133729562E-12</v>
      </c>
      <c r="M101">
        <v>4.8157781089226337E-3</v>
      </c>
      <c r="N101">
        <v>1.7231244225219709E-4</v>
      </c>
      <c r="O101">
        <v>-2.6836825290961475</v>
      </c>
      <c r="P101">
        <v>2.1122440851220947E-2</v>
      </c>
      <c r="Q101">
        <v>3.3447172753517721E-8</v>
      </c>
      <c r="R101">
        <v>1.2938517439067293E-9</v>
      </c>
      <c r="S101">
        <v>3.5459276369136989E-4</v>
      </c>
      <c r="T101">
        <v>8.8096408298544271E-5</v>
      </c>
    </row>
    <row r="102" spans="1:20" x14ac:dyDescent="0.3">
      <c r="A102">
        <v>176</v>
      </c>
      <c r="B102">
        <f t="shared" si="2"/>
        <v>52</v>
      </c>
      <c r="C102">
        <v>6.3189200000000003</v>
      </c>
      <c r="D102">
        <v>2932.6348039433847</v>
      </c>
      <c r="E102">
        <v>464103803.17259669</v>
      </c>
      <c r="F102">
        <v>7732.428575851769</v>
      </c>
      <c r="G102">
        <v>4.4710792222510988E-2</v>
      </c>
      <c r="H102">
        <v>1.4953962565120021E-3</v>
      </c>
      <c r="I102">
        <v>9.1499612460838375E-6</v>
      </c>
      <c r="J102">
        <v>2.5223735760646774E-7</v>
      </c>
      <c r="K102">
        <v>5.2622504563299411E-8</v>
      </c>
      <c r="L102">
        <v>2.7148734190679268E-6</v>
      </c>
      <c r="M102">
        <v>3.9847222133403935E-3</v>
      </c>
      <c r="N102">
        <v>1.5205229928245511E-4</v>
      </c>
      <c r="O102">
        <v>-2.8510252632645168</v>
      </c>
      <c r="P102">
        <v>2.2698574840876118E-2</v>
      </c>
      <c r="Q102">
        <v>3.6414310929953103E-8</v>
      </c>
      <c r="R102">
        <v>1.5370582740188289E-9</v>
      </c>
      <c r="S102">
        <v>3.7516518352655165E-4</v>
      </c>
      <c r="T102">
        <v>1.5035073425298314E-4</v>
      </c>
    </row>
    <row r="103" spans="1:20" x14ac:dyDescent="0.3">
      <c r="A103">
        <v>180</v>
      </c>
      <c r="B103">
        <f t="shared" si="2"/>
        <v>56</v>
      </c>
      <c r="C103">
        <v>6.3189200000000003</v>
      </c>
      <c r="D103">
        <v>2923.8789122226863</v>
      </c>
      <c r="E103">
        <v>462718140.47696221</v>
      </c>
      <c r="F103">
        <v>12047.343694254752</v>
      </c>
      <c r="G103">
        <v>4.1763209639835923E-2</v>
      </c>
      <c r="H103">
        <v>1.8162667850120627E-3</v>
      </c>
      <c r="I103">
        <v>9.1472734038049928E-6</v>
      </c>
      <c r="J103">
        <v>3.3318298597623686E-7</v>
      </c>
      <c r="K103">
        <v>1.4300498270586936E-7</v>
      </c>
      <c r="L103">
        <v>3.5126366100722016E-6</v>
      </c>
      <c r="M103">
        <v>3.1237202901421147E-3</v>
      </c>
      <c r="N103">
        <v>2.4874105998973694E-3</v>
      </c>
      <c r="O103">
        <v>-0.55104413866400836</v>
      </c>
      <c r="P103">
        <v>0.85164573760376339</v>
      </c>
      <c r="Q103">
        <v>5.0005298926274942E-9</v>
      </c>
      <c r="S103">
        <v>4.2917175941920417E-4</v>
      </c>
      <c r="T103">
        <v>1.8683203909219053E-4</v>
      </c>
    </row>
    <row r="104" spans="1:20" x14ac:dyDescent="0.3">
      <c r="A104" t="s">
        <v>104</v>
      </c>
      <c r="B104" t="s">
        <v>105</v>
      </c>
      <c r="C104" t="s">
        <v>105</v>
      </c>
      <c r="D104" t="s">
        <v>105</v>
      </c>
      <c r="E104" t="s">
        <v>105</v>
      </c>
      <c r="F104" t="s">
        <v>105</v>
      </c>
      <c r="G104" t="s">
        <v>105</v>
      </c>
      <c r="H104" t="s">
        <v>105</v>
      </c>
      <c r="I104" t="s">
        <v>105</v>
      </c>
      <c r="J104" t="s">
        <v>105</v>
      </c>
      <c r="K104" t="s">
        <v>105</v>
      </c>
      <c r="L104" t="s">
        <v>105</v>
      </c>
      <c r="M104" t="s">
        <v>105</v>
      </c>
      <c r="N104" t="s">
        <v>105</v>
      </c>
      <c r="O104" t="s">
        <v>105</v>
      </c>
      <c r="P104" t="s">
        <v>105</v>
      </c>
      <c r="Q104" t="s">
        <v>105</v>
      </c>
      <c r="R104" t="s">
        <v>105</v>
      </c>
      <c r="S104" t="s">
        <v>105</v>
      </c>
    </row>
    <row r="105" spans="1:20" x14ac:dyDescent="0.3">
      <c r="A105" t="s">
        <v>4</v>
      </c>
      <c r="B105" s="17" t="s">
        <v>103</v>
      </c>
      <c r="C105" t="s">
        <v>7</v>
      </c>
      <c r="D105" t="s">
        <v>50</v>
      </c>
      <c r="E105" t="s">
        <v>8</v>
      </c>
      <c r="F105" t="s">
        <v>9</v>
      </c>
      <c r="G105" t="s">
        <v>10</v>
      </c>
      <c r="H105" t="s">
        <v>11</v>
      </c>
      <c r="I105" t="s">
        <v>12</v>
      </c>
      <c r="J105" t="s">
        <v>13</v>
      </c>
      <c r="K105" t="s">
        <v>14</v>
      </c>
      <c r="L105" t="s">
        <v>15</v>
      </c>
      <c r="M105" t="s">
        <v>16</v>
      </c>
      <c r="N105" t="s">
        <v>17</v>
      </c>
      <c r="O105" t="s">
        <v>18</v>
      </c>
      <c r="P105" t="s">
        <v>19</v>
      </c>
      <c r="Q105" t="s">
        <v>20</v>
      </c>
      <c r="R105" t="s">
        <v>21</v>
      </c>
      <c r="S105" t="s">
        <v>22</v>
      </c>
      <c r="T105" t="s">
        <v>23</v>
      </c>
    </row>
    <row r="106" spans="1:20" x14ac:dyDescent="0.3">
      <c r="A106">
        <v>0</v>
      </c>
      <c r="B106">
        <f>A106+56</f>
        <v>56</v>
      </c>
      <c r="C106">
        <v>6.3198334689999998</v>
      </c>
      <c r="D106">
        <v>2893.9469065238854</v>
      </c>
      <c r="E106">
        <v>457915057.52790046</v>
      </c>
      <c r="F106">
        <v>4652.2721983410784</v>
      </c>
      <c r="G106">
        <v>4.1168674555672823E-2</v>
      </c>
      <c r="H106">
        <v>7.2395392069067588E-5</v>
      </c>
      <c r="I106">
        <v>8.4115293170168782E-6</v>
      </c>
      <c r="J106">
        <v>7.4837507559971268E-8</v>
      </c>
      <c r="K106">
        <v>4.2835510788385105E-13</v>
      </c>
      <c r="M106">
        <v>4.7801088839260321E-3</v>
      </c>
      <c r="N106">
        <v>9.1476601993878415E-5</v>
      </c>
      <c r="O106">
        <v>-1.2499847752844404</v>
      </c>
      <c r="P106">
        <v>1.1976152493284653E-2</v>
      </c>
      <c r="Q106">
        <v>3.9242391930677342E-8</v>
      </c>
      <c r="R106">
        <v>9.0126802793948301E-10</v>
      </c>
      <c r="S106">
        <v>-5.4770515046814348E-4</v>
      </c>
      <c r="T106">
        <v>7.0377211540375705E-5</v>
      </c>
    </row>
    <row r="107" spans="1:20" x14ac:dyDescent="0.3">
      <c r="A107">
        <v>4</v>
      </c>
      <c r="B107">
        <f t="shared" ref="B107:B138" si="3">A107+56</f>
        <v>60</v>
      </c>
      <c r="C107">
        <v>6.3198334689999998</v>
      </c>
      <c r="D107">
        <v>2930.8265273557195</v>
      </c>
      <c r="E107">
        <v>463750594.3363837</v>
      </c>
      <c r="F107">
        <v>4359.3170417632891</v>
      </c>
      <c r="G107">
        <v>3.4809911637929042E-2</v>
      </c>
      <c r="H107">
        <v>6.2815338123684006E-4</v>
      </c>
      <c r="I107">
        <v>8.9314988028939895E-6</v>
      </c>
      <c r="J107">
        <v>1.6696756179493853E-7</v>
      </c>
      <c r="K107">
        <v>1.7892860624474911E-7</v>
      </c>
      <c r="L107">
        <v>1.3960836127123017E-6</v>
      </c>
      <c r="M107">
        <v>3.6676556676232233E-3</v>
      </c>
      <c r="N107">
        <v>7.2853076975435034E-5</v>
      </c>
      <c r="O107">
        <v>-0.81497032110444101</v>
      </c>
      <c r="P107">
        <v>1.2718365506067919E-2</v>
      </c>
      <c r="Q107">
        <v>4.2842764740899004E-8</v>
      </c>
      <c r="R107">
        <v>1.0703680009222539E-9</v>
      </c>
      <c r="S107">
        <v>-1.1552606724420015E-4</v>
      </c>
      <c r="T107">
        <v>8.787376751026791E-5</v>
      </c>
    </row>
    <row r="108" spans="1:20" x14ac:dyDescent="0.3">
      <c r="A108">
        <v>8</v>
      </c>
      <c r="B108">
        <f t="shared" si="3"/>
        <v>64</v>
      </c>
      <c r="C108">
        <v>6.3198334689999998</v>
      </c>
      <c r="D108">
        <v>2924.7152139980249</v>
      </c>
      <c r="E108">
        <v>462783588.89428276</v>
      </c>
      <c r="F108">
        <v>6959.1855551831559</v>
      </c>
      <c r="G108">
        <v>2.4562872404561634E-2</v>
      </c>
      <c r="H108">
        <v>6.6888523436557309E-5</v>
      </c>
      <c r="I108">
        <v>9.5851245765113488E-6</v>
      </c>
      <c r="J108">
        <v>1.0884559069829239E-7</v>
      </c>
      <c r="K108">
        <v>1.9123693060350513E-9</v>
      </c>
      <c r="M108">
        <v>2.487249578519007E-3</v>
      </c>
      <c r="N108">
        <v>7.1734328655517245E-5</v>
      </c>
      <c r="O108">
        <v>-1.4502719442749916</v>
      </c>
      <c r="P108">
        <v>1.8452230350715637E-2</v>
      </c>
      <c r="Q108">
        <v>4.1729027561102518E-8</v>
      </c>
      <c r="R108">
        <v>1.4998371328867353E-9</v>
      </c>
      <c r="S108">
        <v>5.3150661826341646E-5</v>
      </c>
      <c r="T108">
        <v>4.8934475740813642E-5</v>
      </c>
    </row>
    <row r="109" spans="1:20" x14ac:dyDescent="0.3">
      <c r="A109">
        <v>12</v>
      </c>
      <c r="B109">
        <f t="shared" si="3"/>
        <v>68</v>
      </c>
      <c r="C109">
        <v>6.3198334689999998</v>
      </c>
      <c r="D109">
        <v>2809.6735746050708</v>
      </c>
      <c r="E109">
        <v>444580318.19779128</v>
      </c>
      <c r="F109">
        <v>227521.15789057003</v>
      </c>
      <c r="G109">
        <v>3.8906027199063532E-2</v>
      </c>
      <c r="H109">
        <v>7.1338621919950218E-5</v>
      </c>
      <c r="I109">
        <v>8.4401458802467325E-6</v>
      </c>
      <c r="J109">
        <v>8.0830706702215231E-8</v>
      </c>
      <c r="K109">
        <v>3.0195048960528919E-9</v>
      </c>
      <c r="M109">
        <v>1.4603159900093217E-3</v>
      </c>
      <c r="N109">
        <v>1.2226041711200434E-4</v>
      </c>
      <c r="O109">
        <v>-2.5118318506680288</v>
      </c>
      <c r="P109">
        <v>5.4978975822841614E-2</v>
      </c>
      <c r="Q109">
        <v>2.5671827608634198E-8</v>
      </c>
      <c r="R109">
        <v>2.5769629085581234E-9</v>
      </c>
      <c r="S109">
        <v>-4.3747039290591611E-4</v>
      </c>
      <c r="T109">
        <v>7.3446863826645022E-5</v>
      </c>
    </row>
    <row r="110" spans="1:20" x14ac:dyDescent="0.3">
      <c r="A110">
        <v>16</v>
      </c>
      <c r="B110">
        <f t="shared" si="3"/>
        <v>72</v>
      </c>
      <c r="C110">
        <v>6.3198334689999998</v>
      </c>
      <c r="D110">
        <v>3282.5848321362437</v>
      </c>
      <c r="E110">
        <v>519410020.57062966</v>
      </c>
      <c r="F110">
        <v>26564.828774056081</v>
      </c>
      <c r="G110">
        <v>3.1952287683127897E-2</v>
      </c>
      <c r="H110">
        <v>6.7750057400905311E-5</v>
      </c>
      <c r="I110">
        <v>8.6428948623716112E-6</v>
      </c>
      <c r="J110">
        <v>8.9407730869025551E-8</v>
      </c>
      <c r="K110">
        <v>3.5926008806314847E-10</v>
      </c>
      <c r="M110">
        <v>2.662941856808535E-3</v>
      </c>
      <c r="N110">
        <v>1.1405043860563562E-4</v>
      </c>
      <c r="O110">
        <v>-3.0865735836372439</v>
      </c>
      <c r="P110">
        <v>2.7034735124705334E-2</v>
      </c>
      <c r="Q110">
        <v>2.6828247253869959E-8</v>
      </c>
      <c r="R110">
        <v>1.2961163608958467E-9</v>
      </c>
      <c r="S110">
        <v>2.2493435229636269E-4</v>
      </c>
      <c r="T110">
        <v>6.24999390811117E-5</v>
      </c>
    </row>
    <row r="111" spans="1:20" x14ac:dyDescent="0.3">
      <c r="A111">
        <v>20</v>
      </c>
      <c r="B111">
        <f t="shared" si="3"/>
        <v>76</v>
      </c>
      <c r="C111">
        <v>6.3198334689999998</v>
      </c>
      <c r="D111">
        <v>3272.7632815945944</v>
      </c>
      <c r="E111">
        <v>517855936.81354558</v>
      </c>
      <c r="F111">
        <v>9174.41716946632</v>
      </c>
      <c r="G111">
        <v>3.3539163705042167E-2</v>
      </c>
      <c r="H111">
        <v>6.6937095436307714E-5</v>
      </c>
      <c r="I111">
        <v>8.7056594821500812E-6</v>
      </c>
      <c r="J111">
        <v>8.4076068248709811E-8</v>
      </c>
      <c r="K111">
        <v>2.3972968980839666E-14</v>
      </c>
      <c r="M111">
        <v>3.3651653235845843E-3</v>
      </c>
      <c r="N111">
        <v>9.4267675649575876E-5</v>
      </c>
      <c r="O111">
        <v>-2.4734079952880852</v>
      </c>
      <c r="P111">
        <v>1.7855272300947744E-2</v>
      </c>
      <c r="Q111">
        <v>3.2648523267538301E-8</v>
      </c>
      <c r="R111">
        <v>1.0813670625219398E-9</v>
      </c>
      <c r="S111">
        <v>9.8088071620960492E-5</v>
      </c>
      <c r="T111">
        <v>6.1043759466753908E-5</v>
      </c>
    </row>
    <row r="112" spans="1:20" x14ac:dyDescent="0.3">
      <c r="A112">
        <v>24</v>
      </c>
      <c r="B112">
        <f t="shared" si="3"/>
        <v>80</v>
      </c>
      <c r="C112">
        <v>6.3198334689999998</v>
      </c>
      <c r="D112">
        <v>3256.9488755946641</v>
      </c>
      <c r="E112">
        <v>515353591.4467724</v>
      </c>
      <c r="F112">
        <v>14471.126772941378</v>
      </c>
      <c r="G112">
        <v>3.7886088204567646E-2</v>
      </c>
      <c r="H112">
        <v>1.2286842250910576E-4</v>
      </c>
      <c r="I112">
        <v>1.0435681612404073E-5</v>
      </c>
      <c r="J112">
        <v>9.5194761791628846E-8</v>
      </c>
      <c r="K112">
        <v>2.2861107215679146E-14</v>
      </c>
      <c r="M112">
        <v>4.8789276930496853E-3</v>
      </c>
      <c r="N112">
        <v>1.8496286112271122E-4</v>
      </c>
      <c r="O112">
        <v>1.0451952477463458</v>
      </c>
      <c r="P112">
        <v>2.0210497091159407E-2</v>
      </c>
      <c r="Q112">
        <v>2.6780317534824181E-8</v>
      </c>
      <c r="R112">
        <v>8.6844640263693922E-10</v>
      </c>
      <c r="S112">
        <v>4.3665222788129407E-4</v>
      </c>
      <c r="T112">
        <v>4.9327181577889088E-5</v>
      </c>
    </row>
    <row r="113" spans="1:20" x14ac:dyDescent="0.3">
      <c r="A113">
        <v>28</v>
      </c>
      <c r="B113">
        <f t="shared" si="3"/>
        <v>84</v>
      </c>
      <c r="C113">
        <v>6.3198334689999998</v>
      </c>
      <c r="D113">
        <v>3251.3015168061215</v>
      </c>
      <c r="E113">
        <v>514459998.47217208</v>
      </c>
      <c r="F113">
        <v>12251.266832241647</v>
      </c>
      <c r="G113">
        <v>3.9030654787463356E-2</v>
      </c>
      <c r="H113">
        <v>7.040694083004298E-4</v>
      </c>
      <c r="I113">
        <v>9.0474660493500179E-6</v>
      </c>
      <c r="J113">
        <v>1.6358808886013951E-7</v>
      </c>
      <c r="K113">
        <v>4.7177504302891821E-6</v>
      </c>
      <c r="L113">
        <v>1.3229486954128447E-6</v>
      </c>
      <c r="M113">
        <v>3.9781963845425053E-3</v>
      </c>
      <c r="N113">
        <v>1.2379753777413179E-4</v>
      </c>
      <c r="O113">
        <v>-1.9407022905078628</v>
      </c>
      <c r="P113">
        <v>1.9584312080356825E-2</v>
      </c>
      <c r="Q113">
        <v>2.394865964220377E-8</v>
      </c>
      <c r="R113">
        <v>8.2492294963235316E-10</v>
      </c>
      <c r="S113">
        <v>2.8362573769983569E-6</v>
      </c>
      <c r="T113">
        <v>9.0495498976852018E-5</v>
      </c>
    </row>
    <row r="114" spans="1:20" x14ac:dyDescent="0.3">
      <c r="A114">
        <v>32</v>
      </c>
      <c r="B114">
        <f t="shared" si="3"/>
        <v>88</v>
      </c>
      <c r="C114">
        <v>6.3198334689999998</v>
      </c>
      <c r="D114">
        <v>3257.273535753824</v>
      </c>
      <c r="E114">
        <v>515404963.07875484</v>
      </c>
      <c r="F114">
        <v>42491.00371700454</v>
      </c>
      <c r="G114">
        <v>4.0141091290384186E-2</v>
      </c>
      <c r="H114">
        <v>6.7607332794886871E-4</v>
      </c>
      <c r="I114">
        <v>9.3957847807424042E-6</v>
      </c>
      <c r="J114">
        <v>1.6026643743460846E-7</v>
      </c>
      <c r="K114">
        <v>4.224992168629651E-6</v>
      </c>
      <c r="L114">
        <v>1.1994670317071106E-6</v>
      </c>
      <c r="M114">
        <v>4.0637414504408114E-3</v>
      </c>
      <c r="N114">
        <v>1.1381025115707799E-4</v>
      </c>
      <c r="O114">
        <v>-0.10283385097690141</v>
      </c>
      <c r="P114">
        <v>2.8151396515658074E-2</v>
      </c>
      <c r="Q114">
        <v>1.6025402904199037E-8</v>
      </c>
      <c r="S114">
        <v>-1.1950223310251309E-4</v>
      </c>
      <c r="T114">
        <v>8.7183406095615965E-5</v>
      </c>
    </row>
    <row r="115" spans="1:20" x14ac:dyDescent="0.3">
      <c r="A115">
        <v>36</v>
      </c>
      <c r="B115">
        <f t="shared" si="3"/>
        <v>92</v>
      </c>
      <c r="C115">
        <v>6.3198334689999998</v>
      </c>
      <c r="D115">
        <v>3255.0917165555807</v>
      </c>
      <c r="E115">
        <v>515059729.42521858</v>
      </c>
      <c r="F115">
        <v>10516.29414483557</v>
      </c>
      <c r="G115">
        <v>4.6586388404046955E-2</v>
      </c>
      <c r="H115">
        <v>7.2500818434411557E-4</v>
      </c>
      <c r="I115">
        <v>9.0190280562127549E-6</v>
      </c>
      <c r="J115">
        <v>1.4203757768929838E-7</v>
      </c>
      <c r="K115">
        <v>2.4777928547777977E-6</v>
      </c>
      <c r="L115">
        <v>1.1718221360631778E-6</v>
      </c>
      <c r="M115">
        <v>4.5934415592959509E-3</v>
      </c>
      <c r="N115">
        <v>1.2408192328340877E-4</v>
      </c>
      <c r="O115">
        <v>-1.4104741727375556</v>
      </c>
      <c r="P115">
        <v>1.6943245628104342E-2</v>
      </c>
      <c r="Q115">
        <v>2.530456939573948E-8</v>
      </c>
      <c r="R115">
        <v>7.7184679192286358E-10</v>
      </c>
      <c r="S115">
        <v>-1.9039362135699008E-4</v>
      </c>
      <c r="T115">
        <v>9.6199641927170889E-5</v>
      </c>
    </row>
    <row r="116" spans="1:20" x14ac:dyDescent="0.3">
      <c r="A116">
        <v>40</v>
      </c>
      <c r="B116">
        <f t="shared" si="3"/>
        <v>96</v>
      </c>
      <c r="C116">
        <v>6.3198334689999998</v>
      </c>
      <c r="D116">
        <v>3264.0104753978885</v>
      </c>
      <c r="E116">
        <v>516470962.63034278</v>
      </c>
      <c r="F116">
        <v>12744.372351880529</v>
      </c>
      <c r="G116">
        <v>4.9685832963203169E-2</v>
      </c>
      <c r="H116">
        <v>8.5523082330132838E-5</v>
      </c>
      <c r="I116">
        <v>8.7952476351914373E-6</v>
      </c>
      <c r="J116">
        <v>7.0816099402507812E-8</v>
      </c>
      <c r="K116">
        <v>1.3491275237226176E-8</v>
      </c>
      <c r="M116">
        <v>3.6536452891560781E-3</v>
      </c>
      <c r="N116">
        <v>1.2390207916985292E-4</v>
      </c>
      <c r="O116">
        <v>1.2012424741095404</v>
      </c>
      <c r="P116">
        <v>2.1088881738517196E-2</v>
      </c>
      <c r="Q116">
        <v>3.1645405145996574E-8</v>
      </c>
      <c r="R116">
        <v>1.2309362716244334E-9</v>
      </c>
      <c r="S116">
        <v>-4.0369627148975824E-4</v>
      </c>
      <c r="T116">
        <v>7.4058489959488456E-5</v>
      </c>
    </row>
    <row r="117" spans="1:20" x14ac:dyDescent="0.3">
      <c r="A117">
        <v>44</v>
      </c>
      <c r="B117">
        <f t="shared" si="3"/>
        <v>100</v>
      </c>
      <c r="C117">
        <v>6.3198334689999998</v>
      </c>
      <c r="D117">
        <v>3303.8847886163726</v>
      </c>
      <c r="E117">
        <v>522780355.65692735</v>
      </c>
      <c r="F117">
        <v>12101.346503090583</v>
      </c>
      <c r="G117">
        <v>3.343812335612683E-2</v>
      </c>
      <c r="H117">
        <v>7.6091091468864086E-5</v>
      </c>
      <c r="I117">
        <v>9.6421401987315831E-6</v>
      </c>
      <c r="J117">
        <v>8.8362841502093246E-8</v>
      </c>
      <c r="K117">
        <v>2.2509760144481623E-9</v>
      </c>
      <c r="M117">
        <v>3.2390083745431467E-3</v>
      </c>
      <c r="N117">
        <v>1.1073357422218609E-4</v>
      </c>
      <c r="O117">
        <v>0.99905319984279028</v>
      </c>
      <c r="P117">
        <v>2.1109347550990254E-2</v>
      </c>
      <c r="Q117">
        <v>2.8545613665825884E-8</v>
      </c>
      <c r="R117">
        <v>1.0954667182318225E-9</v>
      </c>
      <c r="S117">
        <v>1.9119856089620278E-4</v>
      </c>
      <c r="T117">
        <v>5.2766522386076232E-5</v>
      </c>
    </row>
    <row r="118" spans="1:20" x14ac:dyDescent="0.3">
      <c r="A118">
        <v>48</v>
      </c>
      <c r="B118">
        <f t="shared" si="3"/>
        <v>104</v>
      </c>
      <c r="C118">
        <v>6.3198334689999998</v>
      </c>
      <c r="D118">
        <v>3338.2829858360719</v>
      </c>
      <c r="E118">
        <v>528223251.8010155</v>
      </c>
      <c r="F118">
        <v>54357.813764505103</v>
      </c>
      <c r="G118">
        <v>3.3396135096905921E-2</v>
      </c>
      <c r="H118">
        <v>7.5397973219544501E-5</v>
      </c>
      <c r="I118">
        <v>9.8695318371190982E-6</v>
      </c>
      <c r="J118">
        <v>8.9910400487357569E-8</v>
      </c>
      <c r="K118">
        <v>1.0020464685364727E-11</v>
      </c>
      <c r="M118">
        <v>2.2055002347275716E-3</v>
      </c>
      <c r="N118">
        <v>1.115763366613693E-4</v>
      </c>
      <c r="O118">
        <v>3.0921947499427267</v>
      </c>
      <c r="P118">
        <v>3.2447036897000903E-2</v>
      </c>
      <c r="Q118">
        <v>2.6785622088958346E-8</v>
      </c>
      <c r="R118">
        <v>1.5873176251215645E-9</v>
      </c>
      <c r="S118">
        <v>1.0093234863686368E-4</v>
      </c>
      <c r="T118">
        <v>5.2518692628059501E-5</v>
      </c>
    </row>
    <row r="119" spans="1:20" x14ac:dyDescent="0.3">
      <c r="A119">
        <v>52</v>
      </c>
      <c r="B119">
        <f t="shared" si="3"/>
        <v>108</v>
      </c>
      <c r="C119">
        <v>6.3198334689999998</v>
      </c>
      <c r="D119">
        <v>3016.9248503009835</v>
      </c>
      <c r="E119">
        <v>477374105.67850894</v>
      </c>
      <c r="F119">
        <v>9348.6300822287485</v>
      </c>
      <c r="G119">
        <v>5.5569443320844264E-2</v>
      </c>
      <c r="H119">
        <v>9.7396973630296119E-4</v>
      </c>
      <c r="I119">
        <v>9.769508721660147E-6</v>
      </c>
      <c r="J119">
        <v>1.4789419675488382E-7</v>
      </c>
      <c r="K119">
        <v>8.1671007272096863E-6</v>
      </c>
      <c r="L119">
        <v>1.2087362596053604E-6</v>
      </c>
      <c r="M119">
        <v>3.5004836467424413E-3</v>
      </c>
      <c r="N119">
        <v>1.0224332495708415E-4</v>
      </c>
      <c r="O119">
        <v>2.9802680382265678</v>
      </c>
      <c r="P119">
        <v>1.8163845760556629E-2</v>
      </c>
      <c r="Q119">
        <v>3.8169024962533516E-8</v>
      </c>
      <c r="R119">
        <v>1.3200178781284234E-9</v>
      </c>
      <c r="S119">
        <v>1.1979708855768952E-4</v>
      </c>
      <c r="T119">
        <v>9.5151999376507477E-5</v>
      </c>
    </row>
    <row r="120" spans="1:20" x14ac:dyDescent="0.3">
      <c r="A120">
        <v>56</v>
      </c>
      <c r="B120">
        <f t="shared" si="3"/>
        <v>112</v>
      </c>
      <c r="C120">
        <v>6.3198334689999998</v>
      </c>
      <c r="D120">
        <v>3040.5231674961087</v>
      </c>
      <c r="E120">
        <v>481108115.01766002</v>
      </c>
      <c r="F120">
        <v>6389.5910353828358</v>
      </c>
      <c r="G120">
        <v>5.546384092261971E-2</v>
      </c>
      <c r="H120">
        <v>9.2237437943516395E-4</v>
      </c>
      <c r="I120">
        <v>9.4606074887673735E-6</v>
      </c>
      <c r="J120">
        <v>1.4088691213290514E-7</v>
      </c>
      <c r="K120">
        <v>5.3499087118370712E-6</v>
      </c>
      <c r="L120">
        <v>1.2056554406920133E-6</v>
      </c>
      <c r="M120">
        <v>4.9776156445479293E-3</v>
      </c>
      <c r="N120">
        <v>1.0664644649235411E-4</v>
      </c>
      <c r="O120">
        <v>3.0338359985034562</v>
      </c>
      <c r="P120">
        <v>1.3295887305536658E-2</v>
      </c>
      <c r="Q120">
        <v>3.53401436083251E-8</v>
      </c>
      <c r="R120">
        <v>8.8449442288691158E-10</v>
      </c>
      <c r="S120">
        <v>5.2413472202578627E-4</v>
      </c>
      <c r="T120">
        <v>9.8543736084393343E-5</v>
      </c>
    </row>
    <row r="121" spans="1:20" x14ac:dyDescent="0.3">
      <c r="A121">
        <v>60</v>
      </c>
      <c r="B121">
        <f t="shared" si="3"/>
        <v>116</v>
      </c>
      <c r="C121">
        <v>6.3198334689999998</v>
      </c>
      <c r="D121">
        <v>3039.5409678583533</v>
      </c>
      <c r="E121">
        <v>480952699.58740008</v>
      </c>
      <c r="F121">
        <v>6433.8642913330805</v>
      </c>
      <c r="G121">
        <v>5.2571869756699682E-2</v>
      </c>
      <c r="H121">
        <v>8.3571625347987274E-4</v>
      </c>
      <c r="I121">
        <v>9.5244789386050946E-6</v>
      </c>
      <c r="J121">
        <v>1.3568289203687687E-7</v>
      </c>
      <c r="K121">
        <v>1.2403803018893435E-6</v>
      </c>
      <c r="L121">
        <v>1.2034284617675755E-6</v>
      </c>
      <c r="M121">
        <v>4.9374175131646006E-3</v>
      </c>
      <c r="N121">
        <v>9.9246337653300168E-5</v>
      </c>
      <c r="O121">
        <v>-1.4630719128816623</v>
      </c>
      <c r="P121">
        <v>1.2602116491502446E-2</v>
      </c>
      <c r="Q121">
        <v>3.5414671399710316E-8</v>
      </c>
      <c r="R121">
        <v>8.4505346217998301E-10</v>
      </c>
      <c r="S121">
        <v>9.5874460226952167E-5</v>
      </c>
      <c r="T121">
        <v>9.216692358626843E-5</v>
      </c>
    </row>
    <row r="122" spans="1:20" x14ac:dyDescent="0.3">
      <c r="A122">
        <v>64</v>
      </c>
      <c r="B122">
        <f t="shared" si="3"/>
        <v>120</v>
      </c>
      <c r="C122">
        <v>6.3198334689999998</v>
      </c>
      <c r="D122">
        <v>3004.2462177441494</v>
      </c>
      <c r="E122">
        <v>475367940.07002813</v>
      </c>
      <c r="F122">
        <v>9877.1912224737698</v>
      </c>
      <c r="G122">
        <v>5.0960956055032744E-2</v>
      </c>
      <c r="H122">
        <v>7.15863410374145E-4</v>
      </c>
      <c r="I122">
        <v>9.290269796979995E-6</v>
      </c>
      <c r="J122">
        <v>1.3458619592284531E-7</v>
      </c>
      <c r="K122">
        <v>2.3114885403685654E-6</v>
      </c>
      <c r="L122">
        <v>1.027852732532213E-6</v>
      </c>
      <c r="M122">
        <v>4.5313758485002013E-3</v>
      </c>
      <c r="N122">
        <v>1.0447355779356167E-4</v>
      </c>
      <c r="O122">
        <v>1.0411935311550791</v>
      </c>
      <c r="P122">
        <v>1.4942161402050957E-2</v>
      </c>
      <c r="Q122">
        <v>3.2008819653286162E-8</v>
      </c>
      <c r="R122">
        <v>9.0393706833784307E-10</v>
      </c>
      <c r="S122">
        <v>-2.059919335408384E-4</v>
      </c>
      <c r="T122">
        <v>9.6530870219973784E-5</v>
      </c>
    </row>
    <row r="123" spans="1:20" x14ac:dyDescent="0.3">
      <c r="A123">
        <v>68</v>
      </c>
      <c r="B123">
        <f t="shared" si="3"/>
        <v>124</v>
      </c>
      <c r="C123">
        <v>6.3198334689999998</v>
      </c>
      <c r="D123">
        <v>2968.8745052384152</v>
      </c>
      <c r="E123">
        <v>469771002.6381734</v>
      </c>
      <c r="F123">
        <v>6497.5618999651988</v>
      </c>
      <c r="G123">
        <v>4.6231038244637132E-2</v>
      </c>
      <c r="H123">
        <v>8.246377920746728E-5</v>
      </c>
      <c r="I123">
        <v>9.5050845179105091E-6</v>
      </c>
      <c r="J123">
        <v>6.8759899871897168E-8</v>
      </c>
      <c r="K123">
        <v>6.3327436383352741E-11</v>
      </c>
      <c r="M123">
        <v>4.2049775891746998E-3</v>
      </c>
      <c r="N123">
        <v>9.5223752848268284E-5</v>
      </c>
      <c r="O123">
        <v>2.4219892331597701</v>
      </c>
      <c r="P123">
        <v>1.4044755585586044E-2</v>
      </c>
      <c r="Q123">
        <v>3.7771137473745218E-8</v>
      </c>
      <c r="R123">
        <v>1.0027289869703755E-9</v>
      </c>
      <c r="S123">
        <v>1.7742884019280819E-4</v>
      </c>
      <c r="T123">
        <v>5.7760245439534937E-5</v>
      </c>
    </row>
    <row r="124" spans="1:20" x14ac:dyDescent="0.3">
      <c r="A124">
        <v>72</v>
      </c>
      <c r="B124">
        <f t="shared" si="3"/>
        <v>128</v>
      </c>
      <c r="C124">
        <v>6.3198334689999998</v>
      </c>
      <c r="D124">
        <v>2932.2230715159053</v>
      </c>
      <c r="E124">
        <v>463971572.33636361</v>
      </c>
      <c r="F124">
        <v>4101.3032509307213</v>
      </c>
      <c r="G124">
        <v>3.9470829324466106E-2</v>
      </c>
      <c r="H124">
        <v>8.025136529790991E-5</v>
      </c>
      <c r="I124">
        <v>9.3040938067445997E-6</v>
      </c>
      <c r="J124">
        <v>8.0165273139576009E-8</v>
      </c>
      <c r="K124">
        <v>6.9381567183033804E-10</v>
      </c>
      <c r="M124">
        <v>4.027003461298341E-3</v>
      </c>
      <c r="N124">
        <v>8.5271518389836961E-5</v>
      </c>
      <c r="O124">
        <v>-2.7338398599587936</v>
      </c>
      <c r="P124">
        <v>1.3228494690570747E-2</v>
      </c>
      <c r="Q124">
        <v>4.3236229215056882E-8</v>
      </c>
      <c r="R124">
        <v>1.1107212851412832E-9</v>
      </c>
      <c r="S124">
        <v>8.9079997643047267E-5</v>
      </c>
      <c r="T124">
        <v>6.0027311041613994E-5</v>
      </c>
    </row>
    <row r="125" spans="1:20" x14ac:dyDescent="0.3">
      <c r="A125">
        <v>76</v>
      </c>
      <c r="B125">
        <f t="shared" si="3"/>
        <v>132</v>
      </c>
      <c r="C125">
        <v>6.3198334689999998</v>
      </c>
      <c r="D125">
        <v>2907.8959009209207</v>
      </c>
      <c r="E125">
        <v>460122235.05329853</v>
      </c>
      <c r="F125">
        <v>7221.0560617402834</v>
      </c>
      <c r="G125">
        <v>4.1072763243802761E-2</v>
      </c>
      <c r="H125">
        <v>6.1233257996516285E-4</v>
      </c>
      <c r="I125">
        <v>9.0709822023040201E-6</v>
      </c>
      <c r="J125">
        <v>1.4740095269225686E-7</v>
      </c>
      <c r="K125">
        <v>2.2368441257061999E-6</v>
      </c>
      <c r="L125">
        <v>1.0963337791687368E-6</v>
      </c>
      <c r="M125">
        <v>3.4857167483750865E-3</v>
      </c>
      <c r="N125">
        <v>8.2551747560310898E-5</v>
      </c>
      <c r="O125">
        <v>2.1726764453121912</v>
      </c>
      <c r="P125">
        <v>1.5364613868994015E-2</v>
      </c>
      <c r="Q125">
        <v>3.7839502460204892E-8</v>
      </c>
      <c r="R125">
        <v>1.1314382572066327E-9</v>
      </c>
      <c r="S125">
        <v>-1.3043358048092844E-4</v>
      </c>
      <c r="T125">
        <v>9.0122207122386681E-5</v>
      </c>
    </row>
    <row r="126" spans="1:20" x14ac:dyDescent="0.3">
      <c r="A126">
        <v>80</v>
      </c>
      <c r="B126">
        <f t="shared" si="3"/>
        <v>136</v>
      </c>
      <c r="C126">
        <v>6.3198334689999998</v>
      </c>
      <c r="D126">
        <v>2879.8608959762441</v>
      </c>
      <c r="E126">
        <v>455686199.66056335</v>
      </c>
      <c r="F126">
        <v>5197.1588838906073</v>
      </c>
      <c r="G126">
        <v>4.8219500862409059E-2</v>
      </c>
      <c r="H126">
        <v>7.3817023291787576E-4</v>
      </c>
      <c r="I126">
        <v>9.5586023848382835E-6</v>
      </c>
      <c r="J126">
        <v>1.4313624912875499E-7</v>
      </c>
      <c r="K126">
        <v>4.896441174823199E-6</v>
      </c>
      <c r="L126">
        <v>1.0766377253503414E-6</v>
      </c>
      <c r="M126">
        <v>3.61137714469506E-3</v>
      </c>
      <c r="N126">
        <v>8.0425249885456365E-5</v>
      </c>
      <c r="O126">
        <v>0.76049349787237575</v>
      </c>
      <c r="P126">
        <v>1.4395074147950659E-2</v>
      </c>
      <c r="Q126">
        <v>4.4408276284717067E-8</v>
      </c>
      <c r="R126">
        <v>1.2616181006628668E-9</v>
      </c>
      <c r="S126">
        <v>1.4506545122534669E-4</v>
      </c>
      <c r="T126">
        <v>8.9458457499542464E-5</v>
      </c>
    </row>
    <row r="127" spans="1:20" x14ac:dyDescent="0.3">
      <c r="A127">
        <v>84</v>
      </c>
      <c r="B127">
        <f t="shared" si="3"/>
        <v>140</v>
      </c>
      <c r="C127">
        <v>6.3198334689999998</v>
      </c>
      <c r="D127">
        <v>2853.2396762471226</v>
      </c>
      <c r="E127">
        <v>451473870.35478276</v>
      </c>
      <c r="F127">
        <v>5168.4167150511939</v>
      </c>
      <c r="G127">
        <v>4.8482220112973706E-2</v>
      </c>
      <c r="H127">
        <v>8.5225071427741383E-4</v>
      </c>
      <c r="I127">
        <v>9.0115152044070405E-6</v>
      </c>
      <c r="J127">
        <v>1.5215092008064669E-7</v>
      </c>
      <c r="K127">
        <v>7.0966395736228803E-7</v>
      </c>
      <c r="L127">
        <v>1.3715155569818427E-6</v>
      </c>
      <c r="M127">
        <v>3.7036386163133857E-3</v>
      </c>
      <c r="N127">
        <v>8.6048781877167855E-5</v>
      </c>
      <c r="O127">
        <v>-0.48682031598312642</v>
      </c>
      <c r="P127">
        <v>1.4586391820562178E-2</v>
      </c>
      <c r="Q127">
        <v>4.5726704637848024E-8</v>
      </c>
      <c r="R127">
        <v>1.3175138116550239E-9</v>
      </c>
      <c r="S127">
        <v>-1.5949122516895482E-4</v>
      </c>
      <c r="T127">
        <v>1.0646025888246438E-4</v>
      </c>
    </row>
    <row r="128" spans="1:20" x14ac:dyDescent="0.3">
      <c r="A128">
        <v>88</v>
      </c>
      <c r="B128">
        <f t="shared" si="3"/>
        <v>144</v>
      </c>
      <c r="C128">
        <v>6.3198334689999998</v>
      </c>
      <c r="D128">
        <v>2845.5131441509275</v>
      </c>
      <c r="E128">
        <v>450251285.59300137</v>
      </c>
      <c r="F128">
        <v>7465.5209733875963</v>
      </c>
      <c r="G128">
        <v>5.2497073453197325E-2</v>
      </c>
      <c r="H128">
        <v>6.7930550253099756E-4</v>
      </c>
      <c r="I128">
        <v>8.9394775506828583E-6</v>
      </c>
      <c r="J128">
        <v>1.2332045838715466E-7</v>
      </c>
      <c r="K128">
        <v>1.047882191277228E-7</v>
      </c>
      <c r="L128">
        <v>9.9330591671231103E-7</v>
      </c>
      <c r="M128">
        <v>2.6394565235303607E-3</v>
      </c>
      <c r="N128">
        <v>7.0695523729529756E-5</v>
      </c>
      <c r="O128">
        <v>1.1064576851175312</v>
      </c>
      <c r="P128">
        <v>1.725683429394842E-2</v>
      </c>
      <c r="Q128">
        <v>5.3328008708796087E-8</v>
      </c>
      <c r="R128">
        <v>1.8864463564013956E-9</v>
      </c>
      <c r="S128">
        <v>-2.7318792153872596E-4</v>
      </c>
      <c r="T128">
        <v>9.8950039747507497E-5</v>
      </c>
    </row>
    <row r="129" spans="1:20" x14ac:dyDescent="0.3">
      <c r="A129">
        <v>92</v>
      </c>
      <c r="B129">
        <f t="shared" si="3"/>
        <v>148</v>
      </c>
      <c r="C129">
        <v>6.3198334689999998</v>
      </c>
      <c r="D129">
        <v>2836.0911343091889</v>
      </c>
      <c r="E129">
        <v>448760421.96693349</v>
      </c>
      <c r="F129">
        <v>7936.3787220398945</v>
      </c>
      <c r="G129">
        <v>5.6395814391407464E-2</v>
      </c>
      <c r="H129">
        <v>7.4013727141993349E-4</v>
      </c>
      <c r="I129">
        <v>9.1061240853263245E-6</v>
      </c>
      <c r="J129">
        <v>1.2499917709425481E-7</v>
      </c>
      <c r="K129">
        <v>4.0815517509129606E-6</v>
      </c>
      <c r="L129">
        <v>9.5173010445108768E-7</v>
      </c>
      <c r="M129">
        <v>3.0630536530346125E-3</v>
      </c>
      <c r="N129">
        <v>7.9762437796935788E-5</v>
      </c>
      <c r="O129">
        <v>0.8002603156938326</v>
      </c>
      <c r="P129">
        <v>1.675472197020289E-2</v>
      </c>
      <c r="Q129">
        <v>4.8110642746833236E-8</v>
      </c>
      <c r="R129">
        <v>1.6178034886024043E-9</v>
      </c>
      <c r="S129">
        <v>-2.3268252431340474E-4</v>
      </c>
      <c r="T129">
        <v>1.0116702233406158E-4</v>
      </c>
    </row>
    <row r="130" spans="1:20" x14ac:dyDescent="0.3">
      <c r="A130">
        <v>96</v>
      </c>
      <c r="B130">
        <f t="shared" si="3"/>
        <v>152</v>
      </c>
      <c r="C130">
        <v>6.3198334689999998</v>
      </c>
      <c r="D130">
        <v>2842.729343819412</v>
      </c>
      <c r="E130">
        <v>449810799.25025672</v>
      </c>
      <c r="F130">
        <v>9124.5967527298071</v>
      </c>
      <c r="G130">
        <v>5.4862847247509346E-2</v>
      </c>
      <c r="H130">
        <v>6.6737755180245814E-4</v>
      </c>
      <c r="I130">
        <v>9.0892069521258928E-6</v>
      </c>
      <c r="J130">
        <v>1.1877577502480487E-7</v>
      </c>
      <c r="K130">
        <v>3.8685712315149529E-6</v>
      </c>
      <c r="L130">
        <v>8.7893776792967547E-7</v>
      </c>
      <c r="M130">
        <v>2.8065988060492044E-3</v>
      </c>
      <c r="N130">
        <v>7.4265712425143626E-5</v>
      </c>
      <c r="O130">
        <v>1.6769737932408415</v>
      </c>
      <c r="P130">
        <v>1.7120802665545942E-2</v>
      </c>
      <c r="Q130">
        <v>4.8228507623178266E-8</v>
      </c>
      <c r="R130">
        <v>1.6614435402896531E-9</v>
      </c>
      <c r="S130">
        <v>-1.4131886539351412E-4</v>
      </c>
      <c r="T130">
        <v>9.4945307428651485E-5</v>
      </c>
    </row>
    <row r="131" spans="1:20" x14ac:dyDescent="0.3">
      <c r="A131">
        <v>100</v>
      </c>
      <c r="B131">
        <f t="shared" si="3"/>
        <v>156</v>
      </c>
      <c r="C131">
        <v>6.3198334689999998</v>
      </c>
      <c r="D131">
        <v>2839.6190333833042</v>
      </c>
      <c r="E131">
        <v>449318648.55493146</v>
      </c>
      <c r="F131">
        <v>8260.7903800213662</v>
      </c>
      <c r="G131">
        <v>4.8323233137967957E-2</v>
      </c>
      <c r="H131">
        <v>6.0853597562916459E-4</v>
      </c>
      <c r="I131">
        <v>8.294622604539485E-6</v>
      </c>
      <c r="J131">
        <v>1.309991589983357E-7</v>
      </c>
      <c r="K131">
        <v>9.726252539475544E-7</v>
      </c>
      <c r="L131">
        <v>9.7729500620662208E-7</v>
      </c>
      <c r="M131">
        <v>2.5759235689454115E-3</v>
      </c>
      <c r="N131">
        <v>7.3069823631012609E-5</v>
      </c>
      <c r="O131">
        <v>2.8512861318880556</v>
      </c>
      <c r="P131">
        <v>1.8453755354631562E-2</v>
      </c>
      <c r="Q131">
        <v>5.0722773678564395E-8</v>
      </c>
      <c r="R131">
        <v>1.9051785662156974E-9</v>
      </c>
      <c r="S131">
        <v>-8.4913000682573033E-4</v>
      </c>
      <c r="T131">
        <v>1.1328585494929547E-4</v>
      </c>
    </row>
    <row r="132" spans="1:20" x14ac:dyDescent="0.3">
      <c r="A132">
        <v>104</v>
      </c>
      <c r="B132">
        <f t="shared" si="3"/>
        <v>160</v>
      </c>
      <c r="C132">
        <v>6.3198334689999998</v>
      </c>
      <c r="D132">
        <v>2841.317646527596</v>
      </c>
      <c r="E132">
        <v>449587423.53968757</v>
      </c>
      <c r="F132">
        <v>11076.651728031406</v>
      </c>
      <c r="G132">
        <v>5.4362838031419086E-2</v>
      </c>
      <c r="H132">
        <v>8.5149483876495111E-4</v>
      </c>
      <c r="I132">
        <v>8.2804747002022493E-6</v>
      </c>
      <c r="J132">
        <v>1.3697593058949963E-7</v>
      </c>
      <c r="K132">
        <v>1.5481256906761502E-8</v>
      </c>
      <c r="L132">
        <v>1.2848601586127302E-6</v>
      </c>
      <c r="M132">
        <v>2.8136844628251344E-3</v>
      </c>
      <c r="N132">
        <v>9.4648790876167418E-5</v>
      </c>
      <c r="O132">
        <v>-1.6331937617102135</v>
      </c>
      <c r="P132">
        <v>2.1007838500778364E-2</v>
      </c>
      <c r="Q132">
        <v>4.1859685851172676E-8</v>
      </c>
      <c r="R132">
        <v>1.6965419251921956E-9</v>
      </c>
      <c r="S132">
        <v>-5.8086082980785317E-4</v>
      </c>
      <c r="T132">
        <v>1.2590965951599076E-4</v>
      </c>
    </row>
    <row r="133" spans="1:20" x14ac:dyDescent="0.3">
      <c r="A133">
        <v>108</v>
      </c>
      <c r="B133">
        <f t="shared" si="3"/>
        <v>164</v>
      </c>
      <c r="C133">
        <v>6.3198334689999998</v>
      </c>
      <c r="D133">
        <v>3070.9902525829784</v>
      </c>
      <c r="E133">
        <v>485928983.35799152</v>
      </c>
      <c r="F133">
        <v>4454.8198808169736</v>
      </c>
      <c r="G133">
        <v>4.3794719560937362E-2</v>
      </c>
      <c r="H133">
        <v>8.1773071472763734E-4</v>
      </c>
      <c r="I133">
        <v>9.5130360025791124E-6</v>
      </c>
      <c r="J133">
        <v>1.5531145947913962E-7</v>
      </c>
      <c r="K133">
        <v>1.6319430651406516E-6</v>
      </c>
      <c r="L133">
        <v>1.4178804147758783E-6</v>
      </c>
      <c r="M133">
        <v>5.9723703815609246E-3</v>
      </c>
      <c r="N133">
        <v>1.039516166856211E-4</v>
      </c>
      <c r="O133">
        <v>-3.1473431716781337</v>
      </c>
      <c r="P133">
        <v>1.0783289622403602E-2</v>
      </c>
      <c r="Q133">
        <v>3.1634098258792443E-8</v>
      </c>
      <c r="R133">
        <v>6.3029423488124773E-10</v>
      </c>
      <c r="S133">
        <v>-3.2726576431984584E-4</v>
      </c>
      <c r="T133">
        <v>8.6747402380150305E-5</v>
      </c>
    </row>
    <row r="134" spans="1:20" x14ac:dyDescent="0.3">
      <c r="A134">
        <v>112</v>
      </c>
      <c r="B134">
        <f t="shared" si="3"/>
        <v>168</v>
      </c>
      <c r="C134">
        <v>6.3198334689999998</v>
      </c>
      <c r="D134">
        <v>2952.024987854556</v>
      </c>
      <c r="E134">
        <v>467104869.50879437</v>
      </c>
      <c r="F134">
        <v>24612.467934781445</v>
      </c>
      <c r="G134">
        <v>4.470046315977011E-2</v>
      </c>
      <c r="H134">
        <v>5.220110636367202E-4</v>
      </c>
      <c r="I134">
        <v>8.1793374686520144E-6</v>
      </c>
      <c r="J134">
        <v>1.2362807603688888E-7</v>
      </c>
      <c r="K134">
        <v>2.971848921589919E-6</v>
      </c>
      <c r="L134">
        <v>8.8925025176612061E-7</v>
      </c>
      <c r="M134">
        <v>2.757464040413504E-3</v>
      </c>
      <c r="N134">
        <v>1.070903133567325E-4</v>
      </c>
      <c r="O134">
        <v>2.5502863588314</v>
      </c>
      <c r="P134">
        <v>2.5080439513586184E-2</v>
      </c>
      <c r="Q134">
        <v>2.4776265526109387E-8</v>
      </c>
      <c r="R134">
        <v>1.1420530303968575E-9</v>
      </c>
      <c r="S134">
        <v>-2.665220917716725E-4</v>
      </c>
      <c r="T134">
        <v>1.005098558682931E-4</v>
      </c>
    </row>
    <row r="135" spans="1:20" x14ac:dyDescent="0.3">
      <c r="A135">
        <v>116</v>
      </c>
      <c r="B135">
        <f t="shared" si="3"/>
        <v>172</v>
      </c>
      <c r="C135">
        <v>6.3198334689999998</v>
      </c>
      <c r="D135">
        <v>3013.242087689438</v>
      </c>
      <c r="E135">
        <v>476791374.7205478</v>
      </c>
      <c r="F135">
        <v>8600.1371345789667</v>
      </c>
      <c r="G135">
        <v>4.707981242089436E-2</v>
      </c>
      <c r="H135">
        <v>6.5471244763409472E-4</v>
      </c>
      <c r="I135">
        <v>8.3842884614119086E-6</v>
      </c>
      <c r="J135">
        <v>1.3584610375792645E-7</v>
      </c>
      <c r="K135">
        <v>1.5686918828109433E-6</v>
      </c>
      <c r="L135">
        <v>1.081646099504489E-6</v>
      </c>
      <c r="M135">
        <v>3.8125812643900431E-3</v>
      </c>
      <c r="N135">
        <v>9.5020913545965568E-5</v>
      </c>
      <c r="O135">
        <v>-0.65801825645427447</v>
      </c>
      <c r="P135">
        <v>1.5994079866840039E-2</v>
      </c>
      <c r="Q135">
        <v>3.4578644399118193E-8</v>
      </c>
      <c r="R135">
        <v>1.0527742978666967E-9</v>
      </c>
      <c r="S135">
        <v>-2.5372542331808398E-4</v>
      </c>
      <c r="T135">
        <v>1.0922436573308691E-4</v>
      </c>
    </row>
    <row r="136" spans="1:20" x14ac:dyDescent="0.3">
      <c r="A136">
        <v>120</v>
      </c>
      <c r="B136">
        <f t="shared" si="3"/>
        <v>176</v>
      </c>
      <c r="C136">
        <v>6.3198334689999998</v>
      </c>
      <c r="D136">
        <v>3026.9671316001522</v>
      </c>
      <c r="E136">
        <v>478963116.10867745</v>
      </c>
      <c r="F136">
        <v>4580.0050450794934</v>
      </c>
      <c r="G136">
        <v>5.3549187411416926E-2</v>
      </c>
      <c r="H136">
        <v>8.3254165443372163E-4</v>
      </c>
      <c r="I136">
        <v>8.4284199387777801E-6</v>
      </c>
      <c r="J136">
        <v>1.3794585962806688E-7</v>
      </c>
      <c r="K136">
        <v>2.7934917720181013E-6</v>
      </c>
      <c r="L136">
        <v>1.219889383238352E-6</v>
      </c>
      <c r="M136">
        <v>5.0842087530301016E-3</v>
      </c>
      <c r="N136">
        <v>9.7147004365712337E-5</v>
      </c>
      <c r="O136">
        <v>-3.0961412275867644</v>
      </c>
      <c r="P136">
        <v>1.1922082376590648E-2</v>
      </c>
      <c r="Q136">
        <v>3.9294291169463113E-8</v>
      </c>
      <c r="R136">
        <v>8.9666333296693083E-10</v>
      </c>
      <c r="S136">
        <v>-2.3260957371426373E-4</v>
      </c>
      <c r="T136">
        <v>1.1938997243955556E-4</v>
      </c>
    </row>
    <row r="137" spans="1:20" x14ac:dyDescent="0.3">
      <c r="A137">
        <v>124</v>
      </c>
      <c r="B137">
        <f t="shared" si="3"/>
        <v>180</v>
      </c>
      <c r="C137">
        <v>6.3198334689999998</v>
      </c>
      <c r="D137">
        <v>3014.3749771486696</v>
      </c>
      <c r="E137">
        <v>476970634.10527503</v>
      </c>
      <c r="F137">
        <v>16228.413806190778</v>
      </c>
      <c r="G137">
        <v>5.3357146970225242E-2</v>
      </c>
      <c r="H137">
        <v>7.8810560787127143E-5</v>
      </c>
      <c r="I137">
        <v>8.2473680534216302E-6</v>
      </c>
      <c r="J137">
        <v>6.385181734183831E-8</v>
      </c>
      <c r="K137">
        <v>1.4381529187208211E-8</v>
      </c>
      <c r="M137">
        <v>3.4991778761505983E-3</v>
      </c>
      <c r="N137">
        <v>1.172208964418716E-4</v>
      </c>
      <c r="O137">
        <v>-1.0580949834681226</v>
      </c>
      <c r="P137">
        <v>2.1169086177464269E-2</v>
      </c>
      <c r="Q137">
        <v>3.2438720488984411E-8</v>
      </c>
      <c r="R137">
        <v>1.270896139209612E-9</v>
      </c>
      <c r="S137">
        <v>-4.1616329295126605E-4</v>
      </c>
      <c r="T137">
        <v>8.0806661254709922E-5</v>
      </c>
    </row>
    <row r="138" spans="1:20" x14ac:dyDescent="0.3">
      <c r="A138">
        <v>128</v>
      </c>
      <c r="B138">
        <f t="shared" si="3"/>
        <v>184</v>
      </c>
      <c r="C138">
        <v>6.3198334689999998</v>
      </c>
      <c r="D138">
        <v>2808.841878940922</v>
      </c>
      <c r="E138">
        <v>444448717.31491542</v>
      </c>
      <c r="F138">
        <v>190944.53821968948</v>
      </c>
      <c r="G138">
        <v>4.9499718015603003E-2</v>
      </c>
      <c r="H138">
        <v>7.0747977984670848E-4</v>
      </c>
      <c r="I138">
        <v>8.7431557845308026E-6</v>
      </c>
      <c r="J138">
        <v>1.3687155304641143E-7</v>
      </c>
      <c r="K138">
        <v>3.1002844516934369E-6</v>
      </c>
      <c r="L138">
        <v>1.0714942096624603E-6</v>
      </c>
      <c r="M138">
        <v>1.4649868473163572E-2</v>
      </c>
      <c r="N138">
        <v>6.1792116045261778E-4</v>
      </c>
      <c r="O138">
        <v>1.5690496474073765</v>
      </c>
      <c r="P138">
        <v>4.3382342406444563E-2</v>
      </c>
      <c r="Q138">
        <v>5.3596627115115067E-9</v>
      </c>
      <c r="S138">
        <v>-2.1081066778560928E-4</v>
      </c>
      <c r="T138">
        <v>1.0554216340286811E-4</v>
      </c>
    </row>
    <row r="139" spans="1:20" x14ac:dyDescent="0.3">
      <c r="A139">
        <v>132</v>
      </c>
      <c r="B139">
        <v>0</v>
      </c>
      <c r="C139">
        <v>6.3198334689999998</v>
      </c>
      <c r="D139">
        <v>2832.8675360809189</v>
      </c>
      <c r="E139">
        <v>448250345.51569748</v>
      </c>
      <c r="F139">
        <v>8750.8071653086281</v>
      </c>
      <c r="G139">
        <v>6.5620436396178997E-2</v>
      </c>
      <c r="H139">
        <v>8.8249333262899188E-4</v>
      </c>
      <c r="I139">
        <v>8.3938742849589613E-6</v>
      </c>
      <c r="J139">
        <v>1.2470117861236891E-7</v>
      </c>
      <c r="K139">
        <v>8.5712647544560004E-6</v>
      </c>
      <c r="L139">
        <v>9.7684045250248356E-7</v>
      </c>
      <c r="M139">
        <v>3.5385230728099018E-3</v>
      </c>
      <c r="N139">
        <v>1.0111888331180183E-4</v>
      </c>
      <c r="O139">
        <v>-0.72075122170636174</v>
      </c>
      <c r="P139">
        <v>1.7852230084486886E-2</v>
      </c>
      <c r="Q139">
        <v>4.1110075907584543E-8</v>
      </c>
      <c r="R139">
        <v>1.4205001295804463E-9</v>
      </c>
      <c r="S139">
        <v>-2.3435908818184037E-4</v>
      </c>
      <c r="T139">
        <v>1.2997274833080282E-4</v>
      </c>
    </row>
    <row r="140" spans="1:20" x14ac:dyDescent="0.3">
      <c r="A140">
        <v>136</v>
      </c>
      <c r="B140">
        <f t="shared" ref="B140:B157" si="4">B139+4</f>
        <v>4</v>
      </c>
      <c r="C140">
        <v>6.3198334689999998</v>
      </c>
      <c r="D140">
        <v>2816.1169856084493</v>
      </c>
      <c r="E140">
        <v>445599872.12037241</v>
      </c>
      <c r="F140">
        <v>4803.8691471963266</v>
      </c>
      <c r="G140">
        <v>6.4557603569230376E-2</v>
      </c>
      <c r="H140">
        <v>7.6542057757078563E-4</v>
      </c>
      <c r="I140">
        <v>8.213791978113147E-6</v>
      </c>
      <c r="J140">
        <v>1.2334321393159828E-7</v>
      </c>
      <c r="K140">
        <v>7.5729537934373889E-6</v>
      </c>
      <c r="L140">
        <v>8.5562698295951316E-7</v>
      </c>
      <c r="M140">
        <v>4.9453269254377255E-3</v>
      </c>
      <c r="N140">
        <v>9.7922006628063836E-5</v>
      </c>
      <c r="O140">
        <v>1.5324085046679754</v>
      </c>
      <c r="P140">
        <v>1.2773086351943408E-2</v>
      </c>
      <c r="Q140">
        <v>4.3387740403350559E-8</v>
      </c>
      <c r="R140">
        <v>1.0947260766509226E-9</v>
      </c>
      <c r="S140">
        <v>-7.3403474023373189E-4</v>
      </c>
      <c r="T140">
        <v>1.3824930713085483E-4</v>
      </c>
    </row>
    <row r="141" spans="1:20" x14ac:dyDescent="0.3">
      <c r="A141">
        <v>140</v>
      </c>
      <c r="B141">
        <f t="shared" si="4"/>
        <v>8</v>
      </c>
      <c r="C141">
        <v>6.3198334689999998</v>
      </c>
      <c r="D141">
        <v>2780.1036838094956</v>
      </c>
      <c r="E141">
        <v>439901414.72025168</v>
      </c>
      <c r="F141">
        <v>7202.1746985451164</v>
      </c>
      <c r="G141">
        <v>5.221714040872185E-2</v>
      </c>
      <c r="H141">
        <v>6.9751592644238039E-4</v>
      </c>
      <c r="I141">
        <v>8.5567046293207023E-6</v>
      </c>
      <c r="J141">
        <v>1.3354359905870864E-7</v>
      </c>
      <c r="K141">
        <v>4.4186594443505247E-6</v>
      </c>
      <c r="L141">
        <v>9.8710275325003542E-7</v>
      </c>
      <c r="M141">
        <v>4.7003944655471452E-3</v>
      </c>
      <c r="N141">
        <v>1.0142190407709268E-4</v>
      </c>
      <c r="O141">
        <v>2.0421376857116722</v>
      </c>
      <c r="P141">
        <v>1.3876634246515751E-2</v>
      </c>
      <c r="Q141">
        <v>3.4678501390161506E-8</v>
      </c>
      <c r="R141">
        <v>9.2079748690128604E-10</v>
      </c>
      <c r="S141">
        <v>-7.0449343378714666E-5</v>
      </c>
      <c r="T141">
        <v>1.1368350581303165E-4</v>
      </c>
    </row>
    <row r="142" spans="1:20" x14ac:dyDescent="0.3">
      <c r="A142">
        <v>144</v>
      </c>
      <c r="B142">
        <f t="shared" si="4"/>
        <v>12</v>
      </c>
      <c r="C142">
        <v>6.3198334689999998</v>
      </c>
      <c r="D142">
        <v>2757.1276298077828</v>
      </c>
      <c r="E142">
        <v>436265867.34160405</v>
      </c>
      <c r="F142">
        <v>6110.0191096619128</v>
      </c>
      <c r="G142">
        <v>5.4748386666425307E-2</v>
      </c>
      <c r="H142">
        <v>8.7537743201786256E-4</v>
      </c>
      <c r="I142">
        <v>8.0815642672549704E-6</v>
      </c>
      <c r="J142">
        <v>1.4055539209510396E-7</v>
      </c>
      <c r="K142">
        <v>2.0820231307992196E-8</v>
      </c>
      <c r="L142">
        <v>1.3283018978045289E-6</v>
      </c>
      <c r="M142">
        <v>5.5636300369416901E-3</v>
      </c>
      <c r="N142">
        <v>1.15545121936659E-4</v>
      </c>
      <c r="O142">
        <v>-1.27164545546651</v>
      </c>
      <c r="P142">
        <v>1.2809659835642417E-2</v>
      </c>
      <c r="Q142">
        <v>3.4345280433414408E-8</v>
      </c>
      <c r="R142">
        <v>8.1994397919681332E-10</v>
      </c>
      <c r="S142">
        <v>-3.1647291717921885E-4</v>
      </c>
      <c r="T142">
        <v>1.3603249997689229E-4</v>
      </c>
    </row>
    <row r="143" spans="1:20" x14ac:dyDescent="0.3">
      <c r="A143">
        <v>148</v>
      </c>
      <c r="B143">
        <f t="shared" si="4"/>
        <v>16</v>
      </c>
      <c r="C143">
        <v>6.3198334689999998</v>
      </c>
      <c r="D143">
        <v>2743.0211392763422</v>
      </c>
      <c r="E143">
        <v>434033768.88511217</v>
      </c>
      <c r="F143">
        <v>4924.553366758566</v>
      </c>
      <c r="G143">
        <v>5.3894982635859665E-2</v>
      </c>
      <c r="H143">
        <v>9.6593724617360238E-4</v>
      </c>
      <c r="I143">
        <v>8.5593103412287714E-6</v>
      </c>
      <c r="J143">
        <v>1.4644485835892415E-7</v>
      </c>
      <c r="K143">
        <v>4.8043337098060995E-7</v>
      </c>
      <c r="L143">
        <v>1.4613262957650078E-6</v>
      </c>
      <c r="M143">
        <v>5.7861407533585565E-3</v>
      </c>
      <c r="N143">
        <v>1.1077434724670069E-4</v>
      </c>
      <c r="O143">
        <v>3.0456141248268374</v>
      </c>
      <c r="P143">
        <v>1.1700340230535788E-2</v>
      </c>
      <c r="Q143">
        <v>3.6423480005450414E-8</v>
      </c>
      <c r="R143">
        <v>7.9601348580295222E-10</v>
      </c>
      <c r="S143">
        <v>-2.2273398176889938E-4</v>
      </c>
      <c r="T143">
        <v>1.2198590810729318E-4</v>
      </c>
    </row>
    <row r="144" spans="1:20" x14ac:dyDescent="0.3">
      <c r="A144">
        <v>152</v>
      </c>
      <c r="B144">
        <f t="shared" si="4"/>
        <v>20</v>
      </c>
      <c r="C144">
        <v>6.3198334689999998</v>
      </c>
      <c r="D144">
        <v>2732.4758999074484</v>
      </c>
      <c r="E144">
        <v>432365174.38485819</v>
      </c>
      <c r="F144">
        <v>4865.7142871777469</v>
      </c>
      <c r="G144">
        <v>5.3300458323274347E-2</v>
      </c>
      <c r="H144">
        <v>8.413716760629561E-4</v>
      </c>
      <c r="I144">
        <v>8.3124209521326903E-6</v>
      </c>
      <c r="J144">
        <v>1.3715118637692701E-7</v>
      </c>
      <c r="K144">
        <v>2.9578440017246137E-8</v>
      </c>
      <c r="L144">
        <v>1.2944348052370231E-6</v>
      </c>
      <c r="M144">
        <v>5.8507312619556738E-3</v>
      </c>
      <c r="N144">
        <v>1.0610009619708505E-4</v>
      </c>
      <c r="O144">
        <v>-0.80439331062294506</v>
      </c>
      <c r="P144">
        <v>1.1205376222395591E-2</v>
      </c>
      <c r="Q144">
        <v>3.5494954320037555E-8</v>
      </c>
      <c r="R144">
        <v>7.4682933232228114E-10</v>
      </c>
      <c r="S144">
        <v>-8.5534473275663192E-4</v>
      </c>
      <c r="T144">
        <v>1.2249652133611321E-4</v>
      </c>
    </row>
    <row r="145" spans="1:20" x14ac:dyDescent="0.3">
      <c r="A145">
        <v>156</v>
      </c>
      <c r="B145">
        <f t="shared" si="4"/>
        <v>24</v>
      </c>
      <c r="C145">
        <v>6.3198334689999998</v>
      </c>
      <c r="D145">
        <v>2730.2102762897312</v>
      </c>
      <c r="E145">
        <v>432006680.18895411</v>
      </c>
      <c r="F145">
        <v>5802.0271658520969</v>
      </c>
      <c r="G145">
        <v>5.301289142124456E-2</v>
      </c>
      <c r="H145">
        <v>9.6804005098680493E-4</v>
      </c>
      <c r="I145">
        <v>8.4652960584433429E-6</v>
      </c>
      <c r="J145">
        <v>1.5123463106917747E-7</v>
      </c>
      <c r="K145">
        <v>3.5522639520477355E-8</v>
      </c>
      <c r="L145">
        <v>1.499507014367116E-6</v>
      </c>
      <c r="M145">
        <v>4.7620855524979893E-3</v>
      </c>
      <c r="N145">
        <v>1.0399876649136355E-4</v>
      </c>
      <c r="O145">
        <v>-2.8257386018033355</v>
      </c>
      <c r="P145">
        <v>1.3383172453167003E-2</v>
      </c>
      <c r="Q145">
        <v>4.0471091575075263E-8</v>
      </c>
      <c r="R145">
        <v>1.0363518378163052E-9</v>
      </c>
      <c r="S145">
        <v>-3.3570191681883064E-4</v>
      </c>
      <c r="T145">
        <v>1.274847640933428E-4</v>
      </c>
    </row>
    <row r="146" spans="1:20" x14ac:dyDescent="0.3">
      <c r="A146">
        <v>160</v>
      </c>
      <c r="B146">
        <f t="shared" si="4"/>
        <v>28</v>
      </c>
      <c r="C146">
        <v>6.3198334689999998</v>
      </c>
      <c r="D146">
        <v>2744.1672124149763</v>
      </c>
      <c r="E146">
        <v>434215114.35002923</v>
      </c>
      <c r="F146">
        <v>3860.183188458821</v>
      </c>
      <c r="G146">
        <v>6.2845867745467174E-2</v>
      </c>
      <c r="H146">
        <v>7.9239292646177129E-4</v>
      </c>
      <c r="I146">
        <v>8.6663956498860171E-6</v>
      </c>
      <c r="J146">
        <v>1.2205905985364224E-7</v>
      </c>
      <c r="K146">
        <v>5.5257145537609236E-6</v>
      </c>
      <c r="L146">
        <v>9.2041214110892442E-7</v>
      </c>
      <c r="M146">
        <v>5.7238281463790073E-3</v>
      </c>
      <c r="N146">
        <v>9.5026565672250152E-5</v>
      </c>
      <c r="O146">
        <v>1.0485534865848791</v>
      </c>
      <c r="P146">
        <v>1.0658695370754812E-2</v>
      </c>
      <c r="Q146">
        <v>4.219330024403711E-8</v>
      </c>
      <c r="R146">
        <v>8.7961065797390305E-10</v>
      </c>
      <c r="S146">
        <v>-3.304227286439654E-4</v>
      </c>
      <c r="T146">
        <v>1.1974860520042139E-4</v>
      </c>
    </row>
    <row r="147" spans="1:20" x14ac:dyDescent="0.3">
      <c r="A147">
        <v>164</v>
      </c>
      <c r="B147">
        <f t="shared" si="4"/>
        <v>32</v>
      </c>
      <c r="C147">
        <v>6.3198334689999998</v>
      </c>
      <c r="D147">
        <v>2756.8068971527227</v>
      </c>
      <c r="E147">
        <v>436215117.16651893</v>
      </c>
      <c r="F147">
        <v>5167.1650497797646</v>
      </c>
      <c r="G147">
        <v>5.6542310283448291E-2</v>
      </c>
      <c r="H147">
        <v>7.9769024894401491E-4</v>
      </c>
      <c r="I147">
        <v>9.3330912942178692E-6</v>
      </c>
      <c r="J147">
        <v>1.3174114686241921E-7</v>
      </c>
      <c r="K147">
        <v>6.0342796684379265E-6</v>
      </c>
      <c r="L147">
        <v>9.9118848463711878E-7</v>
      </c>
      <c r="M147">
        <v>4.8184062418303759E-3</v>
      </c>
      <c r="N147">
        <v>9.5837299993488043E-5</v>
      </c>
      <c r="O147">
        <v>0.72038023524674821</v>
      </c>
      <c r="P147">
        <v>1.2694301243567074E-2</v>
      </c>
      <c r="Q147">
        <v>3.8891364341142868E-8</v>
      </c>
      <c r="R147">
        <v>9.5670177898886216E-10</v>
      </c>
      <c r="S147">
        <v>-1.8037920762917526E-4</v>
      </c>
      <c r="T147">
        <v>9.9867139890676162E-5</v>
      </c>
    </row>
    <row r="148" spans="1:20" x14ac:dyDescent="0.3">
      <c r="A148">
        <v>168</v>
      </c>
      <c r="B148">
        <f t="shared" si="4"/>
        <v>36</v>
      </c>
      <c r="C148">
        <v>6.3198334689999998</v>
      </c>
      <c r="D148">
        <v>2798.132334013394</v>
      </c>
      <c r="E148">
        <v>442754124.41463411</v>
      </c>
      <c r="F148">
        <v>5379.2632751792362</v>
      </c>
      <c r="G148">
        <v>7.0160291560899604E-2</v>
      </c>
      <c r="H148">
        <v>8.539550974576704E-4</v>
      </c>
      <c r="I148">
        <v>9.2026829189722804E-6</v>
      </c>
      <c r="J148">
        <v>1.1708682406409982E-7</v>
      </c>
      <c r="K148">
        <v>8.9454485559481356E-6</v>
      </c>
      <c r="L148">
        <v>8.2332092514671692E-7</v>
      </c>
      <c r="M148">
        <v>5.8929970172924354E-3</v>
      </c>
      <c r="N148">
        <v>1.0486429662241161E-4</v>
      </c>
      <c r="O148">
        <v>0.78486712989845941</v>
      </c>
      <c r="P148">
        <v>1.1403600093535304E-2</v>
      </c>
      <c r="Q148">
        <v>3.8606467508888119E-8</v>
      </c>
      <c r="R148">
        <v>8.5153401430903376E-10</v>
      </c>
      <c r="S148">
        <v>-2.3223228204890932E-4</v>
      </c>
      <c r="T148">
        <v>1.1183805535433202E-4</v>
      </c>
    </row>
    <row r="149" spans="1:20" x14ac:dyDescent="0.3">
      <c r="A149">
        <v>172</v>
      </c>
      <c r="B149">
        <f t="shared" si="4"/>
        <v>40</v>
      </c>
      <c r="C149">
        <v>6.3198334689999998</v>
      </c>
      <c r="D149">
        <v>2831.8985440665897</v>
      </c>
      <c r="E149">
        <v>448097019.95433861</v>
      </c>
      <c r="F149">
        <v>5493.3885050012514</v>
      </c>
      <c r="G149">
        <v>6.6356618625169436E-2</v>
      </c>
      <c r="H149">
        <v>7.82844937526464E-4</v>
      </c>
      <c r="I149">
        <v>8.7124324195417705E-6</v>
      </c>
      <c r="J149">
        <v>1.2132050061257533E-7</v>
      </c>
      <c r="K149">
        <v>6.7075642687198217E-6</v>
      </c>
      <c r="L149">
        <v>8.3179937516885536E-7</v>
      </c>
      <c r="M149">
        <v>6.1716637693441066E-3</v>
      </c>
      <c r="N149">
        <v>1.0826950863728488E-4</v>
      </c>
      <c r="O149">
        <v>2.6284936306434874</v>
      </c>
      <c r="P149">
        <v>1.1375549047043076E-2</v>
      </c>
      <c r="Q149">
        <v>3.7787972741974536E-8</v>
      </c>
      <c r="R149">
        <v>8.3501955660372625E-10</v>
      </c>
      <c r="S149">
        <v>-4.800661149468375E-4</v>
      </c>
      <c r="T149">
        <v>1.2640877270927506E-4</v>
      </c>
    </row>
    <row r="150" spans="1:20" x14ac:dyDescent="0.3">
      <c r="A150">
        <v>176</v>
      </c>
      <c r="B150">
        <f t="shared" si="4"/>
        <v>44</v>
      </c>
      <c r="C150">
        <v>6.3198334689999998</v>
      </c>
      <c r="D150">
        <v>2856.7150357793912</v>
      </c>
      <c r="E150">
        <v>452023783.50507629</v>
      </c>
      <c r="F150">
        <v>6274.5014841603106</v>
      </c>
      <c r="G150">
        <v>5.7712102499209446E-2</v>
      </c>
      <c r="H150">
        <v>9.9839562444782592E-5</v>
      </c>
      <c r="I150">
        <v>8.8745010740669942E-6</v>
      </c>
      <c r="J150">
        <v>6.8701125791331668E-8</v>
      </c>
      <c r="K150">
        <v>1.0052020842588016E-9</v>
      </c>
      <c r="M150">
        <v>4.5026165268788991E-3</v>
      </c>
      <c r="N150">
        <v>1.2077804477445692E-4</v>
      </c>
      <c r="O150">
        <v>1.5477798568872001</v>
      </c>
      <c r="P150">
        <v>1.6418991812921613E-2</v>
      </c>
      <c r="Q150">
        <v>3.8808599422228787E-8</v>
      </c>
      <c r="R150">
        <v>1.2058310217790171E-9</v>
      </c>
      <c r="S150">
        <v>-7.1943173654445951E-4</v>
      </c>
      <c r="T150">
        <v>8.0824684711695881E-5</v>
      </c>
    </row>
    <row r="151" spans="1:20" x14ac:dyDescent="0.3">
      <c r="A151">
        <v>180</v>
      </c>
      <c r="B151">
        <f t="shared" si="4"/>
        <v>48</v>
      </c>
      <c r="C151">
        <v>6.3198334689999998</v>
      </c>
      <c r="D151">
        <v>2905.1131610173566</v>
      </c>
      <c r="E151">
        <v>459681916.50420797</v>
      </c>
      <c r="F151">
        <v>6444.2576285517198</v>
      </c>
      <c r="G151">
        <v>6.9852688599110466E-2</v>
      </c>
      <c r="H151">
        <v>9.1441340156633161E-4</v>
      </c>
      <c r="I151">
        <v>9.2235060368304126E-6</v>
      </c>
      <c r="J151">
        <v>1.2492426863936144E-7</v>
      </c>
      <c r="K151">
        <v>8.8980178534989833E-6</v>
      </c>
      <c r="L151">
        <v>8.868958007619569E-7</v>
      </c>
      <c r="M151">
        <v>5.7549954880482916E-3</v>
      </c>
      <c r="N151">
        <v>1.1693656325818813E-4</v>
      </c>
      <c r="O151">
        <v>-0.43265720748771236</v>
      </c>
      <c r="P151">
        <v>1.2974021030682237E-2</v>
      </c>
      <c r="Q151">
        <v>3.6214603403567656E-8</v>
      </c>
      <c r="R151">
        <v>9.0015439764341971E-10</v>
      </c>
      <c r="S151">
        <v>1.3178583355091434E-4</v>
      </c>
      <c r="T151">
        <v>1.1792838103635347E-4</v>
      </c>
    </row>
    <row r="152" spans="1:20" x14ac:dyDescent="0.3">
      <c r="A152">
        <v>184</v>
      </c>
      <c r="B152">
        <f t="shared" si="4"/>
        <v>52</v>
      </c>
      <c r="C152">
        <v>6.3198334689999998</v>
      </c>
      <c r="D152">
        <v>2925.2350655260771</v>
      </c>
      <c r="E152">
        <v>462865846.05036169</v>
      </c>
      <c r="F152">
        <v>6281.1625902714495</v>
      </c>
      <c r="G152">
        <v>5.3190375287198485E-2</v>
      </c>
      <c r="H152">
        <v>9.5140870026553734E-4</v>
      </c>
      <c r="I152">
        <v>8.9556041963910334E-6</v>
      </c>
      <c r="J152">
        <v>1.4806988383088048E-7</v>
      </c>
      <c r="K152">
        <v>1.9006553542034282E-8</v>
      </c>
      <c r="L152">
        <v>1.4271442927831895E-6</v>
      </c>
      <c r="M152">
        <v>3.6640425041258142E-3</v>
      </c>
      <c r="N152">
        <v>9.4782535547028451E-5</v>
      </c>
      <c r="O152">
        <v>-3.1312139521496904</v>
      </c>
      <c r="P152">
        <v>1.6116630072503746E-2</v>
      </c>
      <c r="Q152">
        <v>4.3651609380358819E-8</v>
      </c>
      <c r="R152">
        <v>1.3661269091332283E-9</v>
      </c>
      <c r="S152">
        <v>-3.1144170521893108E-4</v>
      </c>
      <c r="T152">
        <v>1.1327233504569863E-4</v>
      </c>
    </row>
    <row r="153" spans="1:20" x14ac:dyDescent="0.3">
      <c r="A153">
        <v>188</v>
      </c>
      <c r="B153">
        <f t="shared" si="4"/>
        <v>56</v>
      </c>
      <c r="C153">
        <v>6.3198334689999998</v>
      </c>
      <c r="D153">
        <v>2928.700451082359</v>
      </c>
      <c r="E153">
        <v>463414180.99831253</v>
      </c>
      <c r="F153">
        <v>5384.3799904251809</v>
      </c>
      <c r="G153">
        <v>5.8880835586689897E-2</v>
      </c>
      <c r="H153">
        <v>7.1320152415922308E-4</v>
      </c>
      <c r="I153">
        <v>8.3841099645176058E-6</v>
      </c>
      <c r="J153">
        <v>1.225828623093146E-7</v>
      </c>
      <c r="K153">
        <v>5.8860648837350036E-6</v>
      </c>
      <c r="L153">
        <v>8.8713234905344299E-7</v>
      </c>
      <c r="M153">
        <v>3.7834758643445284E-3</v>
      </c>
      <c r="N153">
        <v>8.6953569608459649E-5</v>
      </c>
      <c r="O153">
        <v>0.52460626255570653</v>
      </c>
      <c r="P153">
        <v>1.4853650476144231E-2</v>
      </c>
      <c r="Q153">
        <v>4.474162395126499E-8</v>
      </c>
      <c r="R153">
        <v>1.3154295029032436E-9</v>
      </c>
      <c r="S153">
        <v>-9.7443820584946356E-5</v>
      </c>
      <c r="T153">
        <v>1.2113906132736835E-4</v>
      </c>
    </row>
    <row r="154" spans="1:20" x14ac:dyDescent="0.3">
      <c r="A154">
        <v>192</v>
      </c>
      <c r="B154">
        <f t="shared" si="4"/>
        <v>60</v>
      </c>
      <c r="C154">
        <v>6.3198334689999998</v>
      </c>
      <c r="D154">
        <v>3311.6514539824525</v>
      </c>
      <c r="E154">
        <v>524009290.78697103</v>
      </c>
      <c r="F154">
        <v>87902.11978071394</v>
      </c>
      <c r="G154">
        <v>6.4055855970882619E-2</v>
      </c>
      <c r="H154">
        <v>9.6528225951928587E-4</v>
      </c>
      <c r="I154">
        <v>8.8230604838823019E-6</v>
      </c>
      <c r="J154">
        <v>1.3963772515703044E-7</v>
      </c>
      <c r="K154">
        <v>6.2592405472832698E-6</v>
      </c>
      <c r="L154">
        <v>1.0934919354421926E-6</v>
      </c>
      <c r="M154">
        <v>2.9063907754664467E-3</v>
      </c>
      <c r="N154">
        <v>1.8646956139157069E-4</v>
      </c>
      <c r="O154">
        <v>-2.6921720675790355</v>
      </c>
      <c r="P154">
        <v>4.0032016673088755E-2</v>
      </c>
      <c r="Q154">
        <v>2.2252811851766866E-8</v>
      </c>
      <c r="R154">
        <v>1.5473671312337345E-9</v>
      </c>
      <c r="S154">
        <v>-4.2426886920417142E-4</v>
      </c>
      <c r="T154">
        <v>1.3226913082852999E-4</v>
      </c>
    </row>
    <row r="155" spans="1:20" x14ac:dyDescent="0.3">
      <c r="A155">
        <v>196</v>
      </c>
      <c r="B155">
        <f t="shared" si="4"/>
        <v>64</v>
      </c>
      <c r="C155">
        <v>6.3198334689999998</v>
      </c>
      <c r="D155">
        <v>3287.6819021997258</v>
      </c>
      <c r="E155">
        <v>520216540.25006181</v>
      </c>
      <c r="F155">
        <v>9744.5876953150546</v>
      </c>
      <c r="G155">
        <v>6.0684347793750676E-2</v>
      </c>
      <c r="H155">
        <v>9.2398371616669861E-4</v>
      </c>
      <c r="I155">
        <v>8.794302385186085E-6</v>
      </c>
      <c r="J155">
        <v>1.3753461983704586E-7</v>
      </c>
      <c r="K155">
        <v>4.348329471110771E-6</v>
      </c>
      <c r="L155">
        <v>1.1405039484805672E-6</v>
      </c>
      <c r="M155">
        <v>4.6379461007355453E-3</v>
      </c>
      <c r="N155">
        <v>1.2817325532649441E-4</v>
      </c>
      <c r="O155">
        <v>2.925052101183411</v>
      </c>
      <c r="P155">
        <v>1.7454103078700101E-2</v>
      </c>
      <c r="Q155">
        <v>3.1565918979483396E-8</v>
      </c>
      <c r="R155">
        <v>1.0165695825002582E-9</v>
      </c>
      <c r="S155">
        <v>-1.8612977087787148E-4</v>
      </c>
      <c r="T155">
        <v>1.2461147783474964E-4</v>
      </c>
    </row>
    <row r="156" spans="1:20" x14ac:dyDescent="0.3">
      <c r="A156">
        <v>200</v>
      </c>
      <c r="B156">
        <f t="shared" si="4"/>
        <v>68</v>
      </c>
      <c r="C156">
        <v>6.3198334689999998</v>
      </c>
      <c r="D156">
        <v>3273.3133519792282</v>
      </c>
      <c r="E156">
        <v>517942975.56026769</v>
      </c>
      <c r="F156">
        <v>6313.4272071940777</v>
      </c>
      <c r="G156">
        <v>5.812175883839675E-2</v>
      </c>
      <c r="H156">
        <v>8.8718743963422247E-4</v>
      </c>
      <c r="I156">
        <v>8.4933930212294441E-6</v>
      </c>
      <c r="J156">
        <v>1.3570551063656316E-7</v>
      </c>
      <c r="K156">
        <v>1.0160096863962686E-6</v>
      </c>
      <c r="L156">
        <v>1.2158627635005789E-6</v>
      </c>
      <c r="M156">
        <v>5.7101814844465193E-3</v>
      </c>
      <c r="N156">
        <v>1.2300017774271666E-4</v>
      </c>
      <c r="O156">
        <v>1.9891020206656418</v>
      </c>
      <c r="P156">
        <v>1.3506557792854368E-2</v>
      </c>
      <c r="Q156">
        <v>3.215409792623907E-8</v>
      </c>
      <c r="R156">
        <v>8.0249284292173471E-10</v>
      </c>
      <c r="S156">
        <v>-5.1468600989333462E-4</v>
      </c>
      <c r="T156">
        <v>1.274951980396103E-4</v>
      </c>
    </row>
    <row r="157" spans="1:20" x14ac:dyDescent="0.3">
      <c r="A157">
        <v>204</v>
      </c>
      <c r="B157">
        <f t="shared" si="4"/>
        <v>72</v>
      </c>
      <c r="C157">
        <v>6.3198334689999998</v>
      </c>
      <c r="D157">
        <v>3264.2795376248932</v>
      </c>
      <c r="E157">
        <v>516513536.88935208</v>
      </c>
      <c r="F157">
        <v>8382.4050529646138</v>
      </c>
      <c r="G157">
        <v>5.9046386198377071E-2</v>
      </c>
      <c r="H157">
        <v>8.381557262384931E-4</v>
      </c>
      <c r="I157">
        <v>8.6713170413177667E-6</v>
      </c>
      <c r="J157">
        <v>1.2510808476215259E-7</v>
      </c>
      <c r="K157">
        <v>1.7642463348618784E-6</v>
      </c>
      <c r="L157">
        <v>1.1107788069590317E-6</v>
      </c>
      <c r="M157">
        <v>6.0115105455116882E-3</v>
      </c>
      <c r="N157">
        <v>1.3362312222451418E-4</v>
      </c>
      <c r="O157">
        <v>1.9422095520141172</v>
      </c>
      <c r="P157">
        <v>1.3759269374041372E-2</v>
      </c>
      <c r="Q157">
        <v>2.7062261890593577E-8</v>
      </c>
      <c r="R157">
        <v>6.6928393207314118E-10</v>
      </c>
      <c r="S157">
        <v>-2.4043700947249245E-4</v>
      </c>
      <c r="T157">
        <v>1.1405624491589874E-4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Tungsten Calibration</vt:lpstr>
      <vt:lpstr>Fe36Cr Max + MD + Variance</vt:lpstr>
      <vt:lpstr>Fe36Cr Max + MD</vt:lpstr>
      <vt:lpstr>Fe36Cr Max Reformat</vt:lpstr>
      <vt:lpstr>Fe25Cr Max Edits</vt:lpstr>
      <vt:lpstr>Fe25Cr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Maxwell Rae</cp:lastModifiedBy>
  <cp:revision/>
  <dcterms:created xsi:type="dcterms:W3CDTF">2024-07-08T18:10:32Z</dcterms:created>
  <dcterms:modified xsi:type="dcterms:W3CDTF">2026-06-05T11:34:47Z</dcterms:modified>
  <cp:category/>
  <cp:contentStatus/>
</cp:coreProperties>
</file>